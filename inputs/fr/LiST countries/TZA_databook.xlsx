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BCC349FB-C812-49CF-AE00-FE683D803754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A37" i="2"/>
  <c r="A29" i="2"/>
  <c r="A28" i="2"/>
  <c r="A20" i="2"/>
  <c r="A19" i="2"/>
  <c r="H13" i="2"/>
  <c r="G13" i="2"/>
  <c r="I13" i="2" s="1"/>
  <c r="H12" i="2"/>
  <c r="G12" i="2"/>
  <c r="I12" i="2" s="1"/>
  <c r="H11" i="2"/>
  <c r="G11" i="2"/>
  <c r="H10" i="2"/>
  <c r="G10" i="2"/>
  <c r="I10" i="2" s="1"/>
  <c r="H9" i="2"/>
  <c r="G9" i="2"/>
  <c r="I9" i="2" s="1"/>
  <c r="H8" i="2"/>
  <c r="G8" i="2"/>
  <c r="I8" i="2" s="1"/>
  <c r="H7" i="2"/>
  <c r="G7" i="2"/>
  <c r="H6" i="2"/>
  <c r="G6" i="2"/>
  <c r="I6" i="2" s="1"/>
  <c r="H5" i="2"/>
  <c r="G5" i="2"/>
  <c r="I5" i="2" s="1"/>
  <c r="H4" i="2"/>
  <c r="G4" i="2"/>
  <c r="I4" i="2" s="1"/>
  <c r="H3" i="2"/>
  <c r="G3" i="2"/>
  <c r="H2" i="2"/>
  <c r="G2" i="2"/>
  <c r="I2" i="2" s="1"/>
  <c r="A2" i="2"/>
  <c r="A40" i="2" s="1"/>
  <c r="C33" i="1"/>
  <c r="C20" i="1"/>
  <c r="A21" i="2" l="1"/>
  <c r="A31" i="2"/>
  <c r="A23" i="2"/>
  <c r="A39" i="2"/>
  <c r="A3" i="2"/>
  <c r="A16" i="2"/>
  <c r="A25" i="2"/>
  <c r="A34" i="2"/>
  <c r="I3" i="2"/>
  <c r="I7" i="2"/>
  <c r="I11" i="2"/>
  <c r="A17" i="2"/>
  <c r="A26" i="2"/>
  <c r="A35" i="2"/>
  <c r="A32" i="2"/>
  <c r="A15" i="2"/>
  <c r="A24" i="2"/>
  <c r="A33" i="2"/>
  <c r="A18" i="2"/>
  <c r="A27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<sst xmlns="http://schemas.openxmlformats.org/spreadsheetml/2006/main" count="2101" uniqueCount="337">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</sst>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1263402.15625</v>
      </c>
    </row>
    <row r="8" spans="1:3" ht="15" customHeight="1" x14ac:dyDescent="0.25">
      <c r="B8" s="5" t="s">
        <v>19</v>
      </c>
      <c r="C8" s="44">
        <v>4.8000000000000001E-2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0.23430719375610401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0.47099999999999997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0.1169</v>
      </c>
    </row>
    <row r="24" spans="1:3" ht="15" customHeight="1" x14ac:dyDescent="0.25">
      <c r="B24" s="15" t="s">
        <v>33</v>
      </c>
      <c r="C24" s="45">
        <v>0.50690000000000002</v>
      </c>
    </row>
    <row r="25" spans="1:3" ht="15" customHeight="1" x14ac:dyDescent="0.25">
      <c r="B25" s="15" t="s">
        <v>34</v>
      </c>
      <c r="C25" s="45">
        <v>0.31080000000000002</v>
      </c>
    </row>
    <row r="26" spans="1:3" ht="15" customHeight="1" x14ac:dyDescent="0.25">
      <c r="B26" s="15" t="s">
        <v>35</v>
      </c>
      <c r="C26" s="45">
        <v>6.54E-2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0.32097876330389902</v>
      </c>
    </row>
    <row r="30" spans="1:3" ht="14.25" customHeight="1" x14ac:dyDescent="0.25">
      <c r="B30" s="25" t="s">
        <v>38</v>
      </c>
      <c r="C30" s="99">
        <v>0.11435649369624799</v>
      </c>
    </row>
    <row r="31" spans="1:3" ht="14.25" customHeight="1" x14ac:dyDescent="0.25">
      <c r="B31" s="25" t="s">
        <v>39</v>
      </c>
      <c r="C31" s="99">
        <v>0.128931423055959</v>
      </c>
    </row>
    <row r="32" spans="1:3" ht="14.25" customHeight="1" x14ac:dyDescent="0.25">
      <c r="B32" s="25" t="s">
        <v>40</v>
      </c>
      <c r="C32" s="99">
        <v>0.43573331994389503</v>
      </c>
    </row>
    <row r="33" spans="1:5" ht="13" customHeight="1" x14ac:dyDescent="0.25">
      <c r="B33" s="27" t="s">
        <v>41</v>
      </c>
      <c r="C33" s="48">
        <f>SUM(C29:C32)</f>
        <v>1.0000000000000011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13.569990000000001</v>
      </c>
    </row>
    <row r="38" spans="1:5" ht="15" customHeight="1" x14ac:dyDescent="0.25">
      <c r="B38" s="11" t="s">
        <v>45</v>
      </c>
      <c r="C38" s="43">
        <v>27.63936</v>
      </c>
      <c r="D38" s="12"/>
      <c r="E38" s="13"/>
    </row>
    <row r="39" spans="1:5" ht="15" customHeight="1" x14ac:dyDescent="0.25">
      <c r="B39" s="11" t="s">
        <v>46</v>
      </c>
      <c r="C39" s="43">
        <v>31.419</v>
      </c>
      <c r="D39" s="12"/>
      <c r="E39" s="12"/>
    </row>
    <row r="40" spans="1:5" ht="15" customHeight="1" x14ac:dyDescent="0.25">
      <c r="B40" s="11" t="s">
        <v>47</v>
      </c>
      <c r="C40" s="100">
        <v>0.17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9.1299799999999998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5.9144999999999996E-3</v>
      </c>
      <c r="D45" s="12"/>
    </row>
    <row r="46" spans="1:5" ht="15.75" customHeight="1" x14ac:dyDescent="0.25">
      <c r="B46" s="11" t="s">
        <v>52</v>
      </c>
      <c r="C46" s="45">
        <v>6.3550899999999994E-2</v>
      </c>
      <c r="D46" s="12"/>
    </row>
    <row r="47" spans="1:5" ht="15.75" customHeight="1" x14ac:dyDescent="0.25">
      <c r="B47" s="11" t="s">
        <v>53</v>
      </c>
      <c r="C47" s="45">
        <v>7.5376799999999994E-2</v>
      </c>
      <c r="D47" s="12"/>
      <c r="E47" s="13"/>
    </row>
    <row r="48" spans="1:5" ht="15" customHeight="1" x14ac:dyDescent="0.25">
      <c r="B48" s="11" t="s">
        <v>54</v>
      </c>
      <c r="C48" s="46">
        <v>0.85515780000000008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2.8</v>
      </c>
      <c r="D51" s="12"/>
    </row>
    <row r="52" spans="1:4" ht="15" customHeight="1" x14ac:dyDescent="0.25">
      <c r="B52" s="11" t="s">
        <v>57</v>
      </c>
      <c r="C52" s="100">
        <v>2.8</v>
      </c>
    </row>
    <row r="53" spans="1:4" ht="15.75" customHeight="1" x14ac:dyDescent="0.25">
      <c r="B53" s="11" t="s">
        <v>58</v>
      </c>
      <c r="C53" s="100">
        <v>2.8</v>
      </c>
    </row>
    <row r="54" spans="1:4" ht="15.75" customHeight="1" x14ac:dyDescent="0.25">
      <c r="B54" s="11" t="s">
        <v>59</v>
      </c>
      <c r="C54" s="100">
        <v>2.8</v>
      </c>
    </row>
    <row r="55" spans="1:4" ht="15.75" customHeight="1" x14ac:dyDescent="0.25">
      <c r="B55" s="11" t="s">
        <v>60</v>
      </c>
      <c r="C55" s="100">
        <v>2.8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1.6428571428571431E-2</v>
      </c>
    </row>
    <row r="59" spans="1:4" ht="15.75" customHeight="1" x14ac:dyDescent="0.25">
      <c r="B59" s="11" t="s">
        <v>63</v>
      </c>
      <c r="C59" s="45">
        <v>0.58725400000000005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0.10496649</v>
      </c>
    </row>
    <row r="63" spans="1:4" ht="15.75" customHeight="1" x14ac:dyDescent="0.3">
      <c r="A63" s="4"/>
    </row>
  </sheetData>
  <sheetProtection algorithmName="SHA-512" hashValue="+6Blr/LeCXWFcXaPaub/wyUuK+U5jqRMPe9rDv7HaKt/xGTyk/G6pffQNqFDVuFpMArZstBotEculWhJp1OFWA==" saltValue="LAtCeWXU7tXnavc+uZ+H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2416633</v>
      </c>
      <c r="C2" s="49">
        <v>4619149</v>
      </c>
      <c r="D2" s="49">
        <v>5806295</v>
      </c>
      <c r="E2" s="49">
        <v>4324552</v>
      </c>
      <c r="F2" s="49">
        <v>2611899</v>
      </c>
      <c r="G2" s="17">
        <f t="shared" ref="G2:G13" si="0">C2+D2+E2+F2</f>
        <v>17361895</v>
      </c>
      <c r="H2" s="17">
        <f t="shared" ref="H2:H13" si="1">(B2 + stillbirth*B2/(1000-stillbirth))/(1-abortion)</f>
        <v>2771477.3968399647</v>
      </c>
      <c r="I2" s="17">
        <f t="shared" ref="I2:I13" si="2">G2-H2</f>
        <v>14590417.603160035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2446942</v>
      </c>
      <c r="C3" s="50">
        <v>4724884</v>
      </c>
      <c r="D3" s="50">
        <v>6030799.5</v>
      </c>
      <c r="E3" s="50">
        <v>4403188</v>
      </c>
      <c r="F3" s="50">
        <v>2747410.5</v>
      </c>
      <c r="G3" s="17">
        <f t="shared" si="0"/>
        <v>17906282</v>
      </c>
      <c r="H3" s="17">
        <f t="shared" si="1"/>
        <v>2806236.7949036439</v>
      </c>
      <c r="I3" s="17">
        <f t="shared" si="2"/>
        <v>15100045.205096357</v>
      </c>
    </row>
    <row r="4" spans="1:9" ht="15.75" customHeight="1" x14ac:dyDescent="0.25">
      <c r="A4" s="5">
        <f t="shared" si="3"/>
        <v>2026</v>
      </c>
      <c r="B4" s="49">
        <v>2482397</v>
      </c>
      <c r="C4" s="50">
        <v>4819044.5</v>
      </c>
      <c r="D4" s="50">
        <v>6256111.5</v>
      </c>
      <c r="E4" s="50">
        <v>4493230.5</v>
      </c>
      <c r="F4" s="50">
        <v>2882318</v>
      </c>
      <c r="G4" s="17">
        <f t="shared" si="0"/>
        <v>18450704.5</v>
      </c>
      <c r="H4" s="17">
        <f t="shared" si="1"/>
        <v>2846897.8018107582</v>
      </c>
      <c r="I4" s="17">
        <f t="shared" si="2"/>
        <v>15603806.698189242</v>
      </c>
    </row>
    <row r="5" spans="1:9" ht="15.75" customHeight="1" x14ac:dyDescent="0.25">
      <c r="A5" s="5">
        <f t="shared" si="3"/>
        <v>2027</v>
      </c>
      <c r="B5" s="49">
        <v>2517660</v>
      </c>
      <c r="C5" s="50">
        <v>4920401</v>
      </c>
      <c r="D5" s="50">
        <v>6479876</v>
      </c>
      <c r="E5" s="50">
        <v>4592857.5</v>
      </c>
      <c r="F5" s="50">
        <v>3013574.5</v>
      </c>
      <c r="G5" s="17">
        <f t="shared" si="0"/>
        <v>19006709</v>
      </c>
      <c r="H5" s="17">
        <f t="shared" si="1"/>
        <v>2887338.6165495985</v>
      </c>
      <c r="I5" s="17">
        <f t="shared" si="2"/>
        <v>16119370.383450402</v>
      </c>
    </row>
    <row r="6" spans="1:9" ht="15.75" customHeight="1" x14ac:dyDescent="0.25">
      <c r="A6" s="5">
        <f t="shared" si="3"/>
        <v>2028</v>
      </c>
      <c r="B6" s="49">
        <v>2554608</v>
      </c>
      <c r="C6" s="50">
        <v>5042170.5</v>
      </c>
      <c r="D6" s="50">
        <v>6702982</v>
      </c>
      <c r="E6" s="50">
        <v>4699942</v>
      </c>
      <c r="F6" s="50">
        <v>3137718.5</v>
      </c>
      <c r="G6" s="17">
        <f t="shared" si="0"/>
        <v>19582813</v>
      </c>
      <c r="H6" s="17">
        <f t="shared" si="1"/>
        <v>2929711.8469318878</v>
      </c>
      <c r="I6" s="17">
        <f t="shared" si="2"/>
        <v>16653101.153068112</v>
      </c>
    </row>
    <row r="7" spans="1:9" ht="15.75" customHeight="1" x14ac:dyDescent="0.25">
      <c r="A7" s="5">
        <f t="shared" si="3"/>
        <v>2029</v>
      </c>
      <c r="B7" s="49">
        <v>2583691</v>
      </c>
      <c r="C7" s="50">
        <v>5175783</v>
      </c>
      <c r="D7" s="50">
        <v>6924557</v>
      </c>
      <c r="E7" s="50">
        <v>4818036.5</v>
      </c>
      <c r="F7" s="50">
        <v>3255143.5</v>
      </c>
      <c r="G7" s="17">
        <f t="shared" si="0"/>
        <v>20173520</v>
      </c>
      <c r="H7" s="17">
        <f t="shared" si="1"/>
        <v>2963065.226254398</v>
      </c>
      <c r="I7" s="17">
        <f t="shared" si="2"/>
        <v>17210454.773745604</v>
      </c>
    </row>
    <row r="8" spans="1:9" ht="15.75" customHeight="1" x14ac:dyDescent="0.25">
      <c r="A8" s="5">
        <f t="shared" si="3"/>
        <v>2030</v>
      </c>
      <c r="B8" s="49">
        <v>2618789</v>
      </c>
      <c r="C8" s="50">
        <v>5317584</v>
      </c>
      <c r="D8" s="50">
        <v>7141920.4999999991</v>
      </c>
      <c r="E8" s="50">
        <v>4950691</v>
      </c>
      <c r="F8" s="50">
        <v>3365886.5</v>
      </c>
      <c r="G8" s="17">
        <f t="shared" si="0"/>
        <v>20776082</v>
      </c>
      <c r="H8" s="17">
        <f t="shared" si="1"/>
        <v>3003316.8133486272</v>
      </c>
      <c r="I8" s="17">
        <f t="shared" si="2"/>
        <v>17772765.186651371</v>
      </c>
    </row>
    <row r="9" spans="1:9" ht="15.75" customHeight="1" x14ac:dyDescent="0.25">
      <c r="A9" s="5">
        <f t="shared" si="3"/>
        <v>2031</v>
      </c>
      <c r="B9" s="49">
        <v>2661087</v>
      </c>
      <c r="C9" s="50">
        <v>5470340</v>
      </c>
      <c r="D9" s="50">
        <v>7348283</v>
      </c>
      <c r="E9" s="50">
        <v>5101501.5</v>
      </c>
      <c r="F9" s="50">
        <v>3467196</v>
      </c>
      <c r="G9" s="17">
        <f t="shared" si="0"/>
        <v>21387320.5</v>
      </c>
      <c r="H9" s="17">
        <f t="shared" si="1"/>
        <v>3051825.6067531444</v>
      </c>
      <c r="I9" s="17">
        <f t="shared" si="2"/>
        <v>18335494.893246856</v>
      </c>
    </row>
    <row r="10" spans="1:9" ht="15.75" customHeight="1" x14ac:dyDescent="0.25">
      <c r="A10" s="5">
        <f t="shared" si="3"/>
        <v>2032</v>
      </c>
      <c r="B10" s="49">
        <v>2696627</v>
      </c>
      <c r="C10" s="50">
        <v>5633988.4999999991</v>
      </c>
      <c r="D10" s="50">
        <v>7542555</v>
      </c>
      <c r="E10" s="50">
        <v>5268999</v>
      </c>
      <c r="F10" s="50">
        <v>3559075</v>
      </c>
      <c r="G10" s="17">
        <f t="shared" si="0"/>
        <v>22004617.5</v>
      </c>
      <c r="H10" s="17">
        <f t="shared" si="1"/>
        <v>3092584.0945680887</v>
      </c>
      <c r="I10" s="17">
        <f t="shared" si="2"/>
        <v>18912033.405431911</v>
      </c>
    </row>
    <row r="11" spans="1:9" ht="15.75" customHeight="1" x14ac:dyDescent="0.25">
      <c r="A11" s="5">
        <f t="shared" si="3"/>
        <v>2033</v>
      </c>
      <c r="B11" s="49">
        <v>2737070</v>
      </c>
      <c r="C11" s="50">
        <v>5795246.4999999991</v>
      </c>
      <c r="D11" s="50">
        <v>7737675.5</v>
      </c>
      <c r="E11" s="50">
        <v>5455316.5</v>
      </c>
      <c r="F11" s="50">
        <v>3642969</v>
      </c>
      <c r="G11" s="17">
        <f t="shared" si="0"/>
        <v>22631207.5</v>
      </c>
      <c r="H11" s="17">
        <f t="shared" si="1"/>
        <v>3138965.5105134966</v>
      </c>
      <c r="I11" s="17">
        <f t="shared" si="2"/>
        <v>19492241.989486504</v>
      </c>
    </row>
    <row r="12" spans="1:9" ht="15.75" customHeight="1" x14ac:dyDescent="0.25">
      <c r="A12" s="5">
        <f t="shared" si="3"/>
        <v>2034</v>
      </c>
      <c r="B12" s="49">
        <v>2783878</v>
      </c>
      <c r="C12" s="50">
        <v>5941306.5000000009</v>
      </c>
      <c r="D12" s="50">
        <v>7943202.5</v>
      </c>
      <c r="E12" s="50">
        <v>5663874</v>
      </c>
      <c r="F12" s="50">
        <v>3717155</v>
      </c>
      <c r="G12" s="17">
        <f t="shared" si="0"/>
        <v>23265538</v>
      </c>
      <c r="H12" s="17">
        <f t="shared" si="1"/>
        <v>3192646.5262040393</v>
      </c>
      <c r="I12" s="17">
        <f t="shared" si="2"/>
        <v>20072891.473795962</v>
      </c>
    </row>
    <row r="13" spans="1:9" ht="15.75" customHeight="1" x14ac:dyDescent="0.25">
      <c r="A13" s="5">
        <f t="shared" si="3"/>
        <v>2035</v>
      </c>
      <c r="B13" s="49">
        <v>2811205</v>
      </c>
      <c r="C13" s="50">
        <v>6077727.9999999991</v>
      </c>
      <c r="D13" s="50">
        <v>8151855</v>
      </c>
      <c r="E13" s="50">
        <v>5886503.5</v>
      </c>
      <c r="F13" s="50">
        <v>3782645.5</v>
      </c>
      <c r="G13" s="17">
        <f t="shared" si="0"/>
        <v>23898732</v>
      </c>
      <c r="H13" s="17">
        <f t="shared" si="1"/>
        <v>3223986.0646542083</v>
      </c>
      <c r="I13" s="17">
        <f t="shared" si="2"/>
        <v>20674745.935345791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BkWY100upkXuSAtnWFMysjwygFe8OfoRJfeQO+Ud0r28Zls//ZCdZ5DX6NIrrHjryUT8SCSJ2TBFEHliDoJ3g==" saltValue="LWNTV37mqmBPCWoT8QGjA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3.0741955489755001E-3</v>
      </c>
    </row>
    <row r="4" spans="1:8" ht="15.75" customHeight="1" x14ac:dyDescent="0.25">
      <c r="B4" s="19" t="s">
        <v>79</v>
      </c>
      <c r="C4" s="101">
        <v>4.5714087306233192E-2</v>
      </c>
    </row>
    <row r="5" spans="1:8" ht="15.75" customHeight="1" x14ac:dyDescent="0.25">
      <c r="B5" s="19" t="s">
        <v>80</v>
      </c>
      <c r="C5" s="101">
        <v>6.2934905662831719E-2</v>
      </c>
    </row>
    <row r="6" spans="1:8" ht="15.75" customHeight="1" x14ac:dyDescent="0.25">
      <c r="B6" s="19" t="s">
        <v>81</v>
      </c>
      <c r="C6" s="101">
        <v>0.20706367546229029</v>
      </c>
    </row>
    <row r="7" spans="1:8" ht="15.75" customHeight="1" x14ac:dyDescent="0.25">
      <c r="B7" s="19" t="s">
        <v>82</v>
      </c>
      <c r="C7" s="101">
        <v>0.45319363919792882</v>
      </c>
    </row>
    <row r="8" spans="1:8" ht="15.75" customHeight="1" x14ac:dyDescent="0.25">
      <c r="B8" s="19" t="s">
        <v>83</v>
      </c>
      <c r="C8" s="101">
        <v>3.9374278179925862E-4</v>
      </c>
    </row>
    <row r="9" spans="1:8" ht="15.75" customHeight="1" x14ac:dyDescent="0.25">
      <c r="B9" s="19" t="s">
        <v>84</v>
      </c>
      <c r="C9" s="101">
        <v>0.12922187821010439</v>
      </c>
    </row>
    <row r="10" spans="1:8" ht="15.75" customHeight="1" x14ac:dyDescent="0.25">
      <c r="B10" s="19" t="s">
        <v>85</v>
      </c>
      <c r="C10" s="101">
        <v>9.8403875829836771E-2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0.1633072076199294</v>
      </c>
      <c r="D14" s="55">
        <v>0.1633072076199294</v>
      </c>
      <c r="E14" s="55">
        <v>0.1633072076199294</v>
      </c>
      <c r="F14" s="55">
        <v>0.1633072076199294</v>
      </c>
    </row>
    <row r="15" spans="1:8" ht="15.75" customHeight="1" x14ac:dyDescent="0.25">
      <c r="B15" s="19" t="s">
        <v>88</v>
      </c>
      <c r="C15" s="101">
        <v>0.40822241936014758</v>
      </c>
      <c r="D15" s="101">
        <v>0.40822241936014758</v>
      </c>
      <c r="E15" s="101">
        <v>0.40822241936014758</v>
      </c>
      <c r="F15" s="101">
        <v>0.40822241936014758</v>
      </c>
    </row>
    <row r="16" spans="1:8" ht="15.75" customHeight="1" x14ac:dyDescent="0.25">
      <c r="B16" s="19" t="s">
        <v>89</v>
      </c>
      <c r="C16" s="101">
        <v>2.46705865376926E-2</v>
      </c>
      <c r="D16" s="101">
        <v>2.46705865376926E-2</v>
      </c>
      <c r="E16" s="101">
        <v>2.46705865376926E-2</v>
      </c>
      <c r="F16" s="101">
        <v>2.46705865376926E-2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9.4156144041897885E-3</v>
      </c>
      <c r="D19" s="101">
        <v>9.4156144041897885E-3</v>
      </c>
      <c r="E19" s="101">
        <v>9.4156144041897885E-3</v>
      </c>
      <c r="F19" s="101">
        <v>9.4156144041897885E-3</v>
      </c>
    </row>
    <row r="20" spans="1:8" ht="15.75" customHeight="1" x14ac:dyDescent="0.25">
      <c r="B20" s="19" t="s">
        <v>93</v>
      </c>
      <c r="C20" s="101">
        <v>1.6199682475618121E-2</v>
      </c>
      <c r="D20" s="101">
        <v>1.6199682475618121E-2</v>
      </c>
      <c r="E20" s="101">
        <v>1.6199682475618121E-2</v>
      </c>
      <c r="F20" s="101">
        <v>1.6199682475618121E-2</v>
      </c>
    </row>
    <row r="21" spans="1:8" ht="15.75" customHeight="1" x14ac:dyDescent="0.25">
      <c r="B21" s="19" t="s">
        <v>94</v>
      </c>
      <c r="C21" s="101">
        <v>0.20382368632032299</v>
      </c>
      <c r="D21" s="101">
        <v>0.20382368632032299</v>
      </c>
      <c r="E21" s="101">
        <v>0.20382368632032299</v>
      </c>
      <c r="F21" s="101">
        <v>0.20382368632032299</v>
      </c>
    </row>
    <row r="22" spans="1:8" ht="15.75" customHeight="1" x14ac:dyDescent="0.25">
      <c r="B22" s="19" t="s">
        <v>95</v>
      </c>
      <c r="C22" s="101">
        <v>0.17436080328209949</v>
      </c>
      <c r="D22" s="101">
        <v>0.17436080328209949</v>
      </c>
      <c r="E22" s="101">
        <v>0.17436080328209949</v>
      </c>
      <c r="F22" s="101">
        <v>0.17436080328209949</v>
      </c>
    </row>
    <row r="23" spans="1:8" ht="15.75" customHeight="1" x14ac:dyDescent="0.25">
      <c r="B23" s="27" t="s">
        <v>41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5.4573182999999997E-2</v>
      </c>
    </row>
    <row r="27" spans="1:8" ht="15.75" customHeight="1" x14ac:dyDescent="0.25">
      <c r="B27" s="19" t="s">
        <v>102</v>
      </c>
      <c r="C27" s="101">
        <v>5.9409878999999999E-2</v>
      </c>
    </row>
    <row r="28" spans="1:8" ht="15.75" customHeight="1" x14ac:dyDescent="0.25">
      <c r="B28" s="19" t="s">
        <v>103</v>
      </c>
      <c r="C28" s="101">
        <v>0.12098242100000001</v>
      </c>
    </row>
    <row r="29" spans="1:8" ht="15.75" customHeight="1" x14ac:dyDescent="0.25">
      <c r="B29" s="19" t="s">
        <v>104</v>
      </c>
      <c r="C29" s="101">
        <v>0.13495797500000001</v>
      </c>
    </row>
    <row r="30" spans="1:8" ht="15.75" customHeight="1" x14ac:dyDescent="0.25">
      <c r="B30" s="19" t="s">
        <v>2</v>
      </c>
      <c r="C30" s="101">
        <v>8.1454253000000018E-2</v>
      </c>
    </row>
    <row r="31" spans="1:8" ht="15.75" customHeight="1" x14ac:dyDescent="0.25">
      <c r="B31" s="19" t="s">
        <v>105</v>
      </c>
      <c r="C31" s="101">
        <v>6.5903797E-2</v>
      </c>
    </row>
    <row r="32" spans="1:8" ht="15.75" customHeight="1" x14ac:dyDescent="0.25">
      <c r="B32" s="19" t="s">
        <v>106</v>
      </c>
      <c r="C32" s="101">
        <v>0.13216685</v>
      </c>
    </row>
    <row r="33" spans="2:3" ht="15.75" customHeight="1" x14ac:dyDescent="0.25">
      <c r="B33" s="19" t="s">
        <v>107</v>
      </c>
      <c r="C33" s="101">
        <v>0.12743632599999999</v>
      </c>
    </row>
    <row r="34" spans="2:3" ht="15.75" customHeight="1" x14ac:dyDescent="0.25">
      <c r="B34" s="19" t="s">
        <v>108</v>
      </c>
      <c r="C34" s="101">
        <v>0.22311531600000001</v>
      </c>
    </row>
    <row r="35" spans="2:3" ht="15.75" customHeight="1" x14ac:dyDescent="0.25">
      <c r="B35" s="27" t="s">
        <v>41</v>
      </c>
      <c r="C35" s="48">
        <f>SUM(C26:C34)</f>
        <v>1</v>
      </c>
    </row>
  </sheetData>
  <sheetProtection algorithmName="SHA-512" hashValue="CFmLRE2Yw1quBuhy4U/mBF5ZXJSgAw7FgFkR0CXqsvXF3kAdA3SlkWixsWxP2ySxQdK9//4V5lRP8rr3xyZcWA==" saltValue="23OJURode3yLxifgXdcc8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0.69269518779269001</v>
      </c>
      <c r="D2" s="52">
        <f>IFERROR(1-_xlfn.NORM.DIST(_xlfn.NORM.INV(SUM(D4:D5), 0, 1) + 1, 0, 1, TRUE), "")</f>
        <v>0.69269518779269001</v>
      </c>
      <c r="E2" s="52">
        <f>IFERROR(1-_xlfn.NORM.DIST(_xlfn.NORM.INV(SUM(E4:E5), 0, 1) + 1, 0, 1, TRUE), "")</f>
        <v>0.68353608890151563</v>
      </c>
      <c r="F2" s="52">
        <f>IFERROR(1-_xlfn.NORM.DIST(_xlfn.NORM.INV(SUM(F4:F5), 0, 1) + 1, 0, 1, TRUE), "")</f>
        <v>0.47013527764712237</v>
      </c>
      <c r="G2" s="52">
        <f>IFERROR(1-_xlfn.NORM.DIST(_xlfn.NORM.INV(SUM(G4:G5), 0, 1) + 1, 0, 1, TRUE), "")</f>
        <v>0.42555735724829358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0.24095031220731</v>
      </c>
      <c r="D3" s="52">
        <f>IFERROR(_xlfn.NORM.DIST(_xlfn.NORM.INV(SUM(D4:D5), 0, 1) + 1, 0, 1, TRUE) - SUM(D4:D5), "")</f>
        <v>0.24095031220731</v>
      </c>
      <c r="E3" s="52">
        <f>IFERROR(_xlfn.NORM.DIST(_xlfn.NORM.INV(SUM(E4:E5), 0, 1) + 1, 0, 1, TRUE) - SUM(E4:E5), "")</f>
        <v>0.24670781109848439</v>
      </c>
      <c r="F3" s="52">
        <f>IFERROR(_xlfn.NORM.DIST(_xlfn.NORM.INV(SUM(F4:F5), 0, 1) + 1, 0, 1, TRUE) - SUM(F4:F5), "")</f>
        <v>0.3524000223528776</v>
      </c>
      <c r="G3" s="52">
        <f>IFERROR(_xlfn.NORM.DIST(_xlfn.NORM.INV(SUM(G4:G5), 0, 1) + 1, 0, 1, TRUE) - SUM(G4:G5), "")</f>
        <v>0.36613394275170641</v>
      </c>
    </row>
    <row r="4" spans="1:15" ht="15.75" customHeight="1" x14ac:dyDescent="0.25">
      <c r="B4" s="5" t="s">
        <v>114</v>
      </c>
      <c r="C4" s="45">
        <v>5.35565E-2</v>
      </c>
      <c r="D4" s="53">
        <v>5.35565E-2</v>
      </c>
      <c r="E4" s="53">
        <v>5.1997099999999997E-2</v>
      </c>
      <c r="F4" s="53">
        <v>0.1270577</v>
      </c>
      <c r="G4" s="53">
        <v>0.15624679999999999</v>
      </c>
    </row>
    <row r="5" spans="1:15" ht="15.75" customHeight="1" x14ac:dyDescent="0.25">
      <c r="B5" s="5" t="s">
        <v>115</v>
      </c>
      <c r="C5" s="45">
        <v>1.2798E-2</v>
      </c>
      <c r="D5" s="53">
        <v>1.2798E-2</v>
      </c>
      <c r="E5" s="53">
        <v>1.7759E-2</v>
      </c>
      <c r="F5" s="53">
        <v>5.0407E-2</v>
      </c>
      <c r="G5" s="53">
        <v>5.2061900000000001E-2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0.53697548759743674</v>
      </c>
      <c r="D8" s="52">
        <f>IFERROR(1-_xlfn.NORM.DIST(_xlfn.NORM.INV(SUM(D10:D11), 0, 1) + 1, 0, 1, TRUE), "")</f>
        <v>0.53697548759743674</v>
      </c>
      <c r="E8" s="52">
        <f>IFERROR(1-_xlfn.NORM.DIST(_xlfn.NORM.INV(SUM(E10:E11), 0, 1) + 1, 0, 1, TRUE), "")</f>
        <v>0.60945313934775447</v>
      </c>
      <c r="F8" s="52">
        <f>IFERROR(1-_xlfn.NORM.DIST(_xlfn.NORM.INV(SUM(F10:F11), 0, 1) + 1, 0, 1, TRUE), "")</f>
        <v>0.67786541738420714</v>
      </c>
      <c r="G8" s="52">
        <f>IFERROR(1-_xlfn.NORM.DIST(_xlfn.NORM.INV(SUM(G10:G11), 0, 1) + 1, 0, 1, TRUE), "")</f>
        <v>0.81277360377809094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0.32578741240256326</v>
      </c>
      <c r="D9" s="52">
        <f>IFERROR(_xlfn.NORM.DIST(_xlfn.NORM.INV(SUM(D10:D11), 0, 1) + 1, 0, 1, TRUE) - SUM(D10:D11), "")</f>
        <v>0.32578741240256326</v>
      </c>
      <c r="E9" s="52">
        <f>IFERROR(_xlfn.NORM.DIST(_xlfn.NORM.INV(SUM(E10:E11), 0, 1) + 1, 0, 1, TRUE) - SUM(E10:E11), "")</f>
        <v>0.28990346065224554</v>
      </c>
      <c r="F9" s="52">
        <f>IFERROR(_xlfn.NORM.DIST(_xlfn.NORM.INV(SUM(F10:F11), 0, 1) + 1, 0, 1, TRUE) - SUM(F10:F11), "")</f>
        <v>0.25022808261579293</v>
      </c>
      <c r="G9" s="52">
        <f>IFERROR(_xlfn.NORM.DIST(_xlfn.NORM.INV(SUM(G10:G11), 0, 1) + 1, 0, 1, TRUE) - SUM(G10:G11), "")</f>
        <v>0.15772439622190906</v>
      </c>
    </row>
    <row r="10" spans="1:15" ht="15.75" customHeight="1" x14ac:dyDescent="0.25">
      <c r="B10" s="5" t="s">
        <v>119</v>
      </c>
      <c r="C10" s="45">
        <v>8.0079399999999995E-2</v>
      </c>
      <c r="D10" s="53">
        <v>8.0079399999999995E-2</v>
      </c>
      <c r="E10" s="53">
        <v>6.7815399999999998E-2</v>
      </c>
      <c r="F10" s="53">
        <v>5.0678099999999997E-2</v>
      </c>
      <c r="G10" s="53">
        <v>2.08116E-2</v>
      </c>
    </row>
    <row r="11" spans="1:15" ht="15.75" customHeight="1" x14ac:dyDescent="0.25">
      <c r="B11" s="5" t="s">
        <v>120</v>
      </c>
      <c r="C11" s="45">
        <v>5.7157699999999999E-2</v>
      </c>
      <c r="D11" s="53">
        <v>5.7157699999999999E-2</v>
      </c>
      <c r="E11" s="53">
        <v>3.2828000000000003E-2</v>
      </c>
      <c r="F11" s="53">
        <v>2.1228400000000001E-2</v>
      </c>
      <c r="G11" s="53">
        <v>8.6904000000000009E-3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0.90404206074999993</v>
      </c>
      <c r="D14" s="54">
        <v>0.87950470141100001</v>
      </c>
      <c r="E14" s="54">
        <v>0.87950470141100001</v>
      </c>
      <c r="F14" s="54">
        <v>0.57788545592399998</v>
      </c>
      <c r="G14" s="54">
        <v>0.57788545592399998</v>
      </c>
      <c r="H14" s="45">
        <v>0.33500000000000002</v>
      </c>
      <c r="I14" s="55">
        <v>0.33500000000000002</v>
      </c>
      <c r="J14" s="55">
        <v>0.33500000000000002</v>
      </c>
      <c r="K14" s="55">
        <v>0.33500000000000002</v>
      </c>
      <c r="L14" s="45">
        <v>0.30299999999999999</v>
      </c>
      <c r="M14" s="55">
        <v>0.30299999999999999</v>
      </c>
      <c r="N14" s="55">
        <v>0.30299999999999999</v>
      </c>
      <c r="O14" s="55">
        <v>0.30299999999999999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0.53090231634368046</v>
      </c>
      <c r="D15" s="52">
        <f t="shared" si="0"/>
        <v>0.5164926539224155</v>
      </c>
      <c r="E15" s="52">
        <f t="shared" si="0"/>
        <v>0.5164926539224155</v>
      </c>
      <c r="F15" s="52">
        <f t="shared" si="0"/>
        <v>0.3393655455331927</v>
      </c>
      <c r="G15" s="52">
        <f t="shared" si="0"/>
        <v>0.3393655455331927</v>
      </c>
      <c r="H15" s="52">
        <f t="shared" si="0"/>
        <v>0.19673009000000002</v>
      </c>
      <c r="I15" s="52">
        <f t="shared" si="0"/>
        <v>0.19673009000000002</v>
      </c>
      <c r="J15" s="52">
        <f t="shared" si="0"/>
        <v>0.19673009000000002</v>
      </c>
      <c r="K15" s="52">
        <f t="shared" si="0"/>
        <v>0.19673009000000002</v>
      </c>
      <c r="L15" s="52">
        <f t="shared" si="0"/>
        <v>0.17793796200000001</v>
      </c>
      <c r="M15" s="52">
        <f t="shared" si="0"/>
        <v>0.17793796200000001</v>
      </c>
      <c r="N15" s="52">
        <f t="shared" si="0"/>
        <v>0.17793796200000001</v>
      </c>
      <c r="O15" s="52">
        <f t="shared" si="0"/>
        <v>0.17793796200000001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NR/AAd+1f8ao5QSglf1NPflg8MLF4EwzUYGAHnMpueAv3jc7btzmjHa52huFZLVu8NyUUWg1yR6ZP3l1/daMw==" saltValue="0CWcYVySjj8lUFYnNn24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0.55160949999999997</v>
      </c>
      <c r="D2" s="53">
        <v>0.31436900000000001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0.26624439999999999</v>
      </c>
      <c r="D3" s="53">
        <v>0.36587259999999999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0.12542239999999999</v>
      </c>
      <c r="D4" s="53">
        <v>0.27279639999999999</v>
      </c>
      <c r="E4" s="53">
        <v>0.90193730000000005</v>
      </c>
      <c r="F4" s="53">
        <v>0.57143710000000003</v>
      </c>
      <c r="G4" s="53">
        <v>0</v>
      </c>
    </row>
    <row r="5" spans="1:7" x14ac:dyDescent="0.25">
      <c r="B5" s="3" t="s">
        <v>132</v>
      </c>
      <c r="C5" s="52">
        <v>5.6723700000000002E-2</v>
      </c>
      <c r="D5" s="52">
        <v>4.6961899999999987E-2</v>
      </c>
      <c r="E5" s="52">
        <f>1-SUM(E2:E4)</f>
        <v>9.8062699999999947E-2</v>
      </c>
      <c r="F5" s="52">
        <f>1-SUM(F2:F4)</f>
        <v>0.42856289999999997</v>
      </c>
      <c r="G5" s="52">
        <f>1-SUM(G2:G4)</f>
        <v>1</v>
      </c>
    </row>
  </sheetData>
  <sheetProtection algorithmName="SHA-512" hashValue="A14iSU1KcP0OF2/RKhR41AgpczLGiVznYvk6fzoTBzDQjjVNMtsnW5NYGxq26pZ18kXQrzMI2YDBFbr3LKquRg==" saltValue="D0WsLiZyt0shZEZiD2oZP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MvC80Ff9n4jcMBxSN+NG8VozrZXQcpya1pii38VOnuUGICH14vm7npV/egwKxrdSmK7VFC8d4Pdcmw85U73YCw==" saltValue="wINsRK8Lv10RT1wYRxpib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6i3WlD25yeDmkgHGDv5wjd9ambLvPlRJ1b2ihXW6HbrUD8vSA1hoLZvpB0rGdCSBZRnh5vHtcrwxqpiVQN0oUA==" saltValue="Icj0Di2eErswdYX30fm1K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90mfmeaOouv/3WcD7R+4QBPi21dzefQ9MTrxLwrA6LeCOqmq6lHm0Yp8jQaKOZLTfVIKWFyIq6PzxOHsV2cizw==" saltValue="kwB9XnYk5M1eDNynX07UY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rjXHau2vhTIHDj0VRuHoiX29FqO6i2Cmw8aARDmgU8VHRO5c3UvIgbLyrtXzmd24cwH2/a7Ty3smTPgYfh9uDg==" saltValue="Gm5GQVUKtIX7+ZYK82Dwo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46.430010640794293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12.72892325046246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0.21403234422682621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0.46280465114316638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0.78848199824391296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0.41709554979569308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2.19022E-2</v>
      </c>
      <c r="C10" s="98">
        <v>0.95</v>
      </c>
      <c r="D10" s="56">
        <v>14.21292537547621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14.21292537547621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14.21292537547621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14.21292537547621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2.19022E-2</v>
      </c>
      <c r="C14" s="98">
        <v>0.95</v>
      </c>
      <c r="D14" s="56">
        <v>14.21292537547621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14.21292537547621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2.4996741559535431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0.23</v>
      </c>
      <c r="C18" s="98">
        <v>0.95</v>
      </c>
      <c r="D18" s="56">
        <v>12.72892325046246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0.31436900000000001</v>
      </c>
      <c r="C19" s="98">
        <v>0.95</v>
      </c>
      <c r="D19" s="56">
        <v>12.72892325046246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10.471935905766539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24.240556138631131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1.96765E-2</v>
      </c>
      <c r="C23" s="98">
        <v>0.95</v>
      </c>
      <c r="D23" s="56">
        <v>4.6734447573928826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0.63038645218564004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2.19022E-2</v>
      </c>
      <c r="C26" s="98">
        <v>0.95</v>
      </c>
      <c r="D26" s="56">
        <v>5.6424683617397928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21.89373473422777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0.61705699999999997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0.22507530000000001</v>
      </c>
      <c r="C29" s="98">
        <v>0.95</v>
      </c>
      <c r="D29" s="56">
        <v>88.005851455993124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109.2090650659315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0.95</v>
      </c>
      <c r="C32" s="98">
        <v>0.95</v>
      </c>
      <c r="D32" s="56">
        <v>0.48537362251525101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0.72953559999999995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0.52023419999999998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2.6733799999999999E-2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0.65150499999999989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0.19674449999999999</v>
      </c>
      <c r="C38" s="98">
        <v>0.95</v>
      </c>
      <c r="D38" s="56">
        <v>6.7102903312733444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3.4277904548683669</v>
      </c>
      <c r="E39" s="56" t="s">
        <v>201</v>
      </c>
      <c r="F39" s="98">
        <v>1</v>
      </c>
      <c r="G39" s="98">
        <v>1</v>
      </c>
    </row>
  </sheetData>
  <sheetProtection algorithmName="SHA-512" hashValue="9dsOmCBVWAFMvUBPfZxUKTs3DTs5H+qwicJK3ILJDkxYRErNNw2Sh7klzFKwTffOvCabpP/Lu2AwCPDPrCizlQ==" saltValue="Xb1/ObvyAJ/NVAZ6DJ2f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dIChGzHSF86EEbllZTpAUmg9XG8G80hShIHd5ZYo1JZnzNgK6Mt6ael30aqYOzKK3OEt6Wndzeqljt2yJAH6aA==" saltValue="YHLIBqL/8/qRT5P2bBt00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BHeFzjZcRHgJdmFWxDZ1WUrPHIgXXyN5QGml1TLAKUkmaXj/dKb3Jj7vbA3unaXh+DfNd1Lm3pFT5Douf53uxg==" saltValue="hWwHVfPTjEjUkhKOdadkV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2.8</v>
      </c>
      <c r="C2" s="21">
        <f>'Données pop de l''année de ref'!C52</f>
        <v>2.8</v>
      </c>
      <c r="D2" s="21">
        <f>'Données pop de l''année de ref'!C53</f>
        <v>2.8</v>
      </c>
      <c r="E2" s="21">
        <f>'Données pop de l''année de ref'!C54</f>
        <v>2.8</v>
      </c>
      <c r="F2" s="21">
        <f>'Données pop de l''année de ref'!C55</f>
        <v>2.8</v>
      </c>
    </row>
    <row r="3" spans="1:6" ht="15.75" customHeight="1" x14ac:dyDescent="0.25">
      <c r="A3" s="3" t="s">
        <v>209</v>
      </c>
      <c r="B3" s="21">
        <f>frac_mam_1month * 2.6</f>
        <v>0.20820643999999999</v>
      </c>
      <c r="C3" s="21">
        <f>frac_mam_1_5months * 2.6</f>
        <v>0.20820643999999999</v>
      </c>
      <c r="D3" s="21">
        <f>frac_mam_6_11months * 2.6</f>
        <v>0.17632004000000001</v>
      </c>
      <c r="E3" s="21">
        <f>frac_mam_12_23months * 2.6</f>
        <v>0.13176305999999999</v>
      </c>
      <c r="F3" s="21">
        <f>frac_mam_24_59months * 2.6</f>
        <v>5.4110159999999997E-2</v>
      </c>
    </row>
    <row r="4" spans="1:6" ht="15.75" customHeight="1" x14ac:dyDescent="0.25">
      <c r="A4" s="3" t="s">
        <v>208</v>
      </c>
      <c r="B4" s="21">
        <f>frac_sam_1month * 2.6</f>
        <v>0.14861002000000001</v>
      </c>
      <c r="C4" s="21">
        <f>frac_sam_1_5months * 2.6</f>
        <v>0.14861002000000001</v>
      </c>
      <c r="D4" s="21">
        <f>frac_sam_6_11months * 2.6</f>
        <v>8.5352800000000006E-2</v>
      </c>
      <c r="E4" s="21">
        <f>frac_sam_12_23months * 2.6</f>
        <v>5.5193840000000008E-2</v>
      </c>
      <c r="F4" s="21">
        <f>frac_sam_24_59months * 2.6</f>
        <v>2.2595040000000004E-2</v>
      </c>
    </row>
  </sheetData>
  <sheetProtection algorithmName="SHA-512" hashValue="0TqFFw9150fCNdjHq8MUQj+wAP0tsfXIbal/DkZtuWo4dkU1MPDnODnUMolhbhng2USJsKF9InhlPstkJIJimg==" saltValue="FwLWyBAyf2RbLHNHIDhYw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4.8000000000000001E-2</v>
      </c>
      <c r="E2" s="60">
        <f>food_insecure</f>
        <v>4.8000000000000001E-2</v>
      </c>
      <c r="F2" s="60">
        <f>food_insecure</f>
        <v>4.8000000000000001E-2</v>
      </c>
      <c r="G2" s="60">
        <f>food_insecure</f>
        <v>4.8000000000000001E-2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4.8000000000000001E-2</v>
      </c>
      <c r="F5" s="60">
        <f>food_insecure</f>
        <v>4.8000000000000001E-2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4.8000000000000001E-2</v>
      </c>
      <c r="F8" s="60">
        <f>food_insecure</f>
        <v>4.8000000000000001E-2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4.8000000000000001E-2</v>
      </c>
      <c r="F9" s="60">
        <f>food_insecure</f>
        <v>4.8000000000000001E-2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4.8000000000000001E-2</v>
      </c>
      <c r="I15" s="60">
        <f>food_insecure</f>
        <v>4.8000000000000001E-2</v>
      </c>
      <c r="J15" s="60">
        <f>food_insecure</f>
        <v>4.8000000000000001E-2</v>
      </c>
      <c r="K15" s="60">
        <f>food_insecure</f>
        <v>4.8000000000000001E-2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0.47099999999999997</v>
      </c>
      <c r="M24" s="60">
        <f>famplan_unmet_need</f>
        <v>0.47099999999999997</v>
      </c>
      <c r="N24" s="60">
        <f>famplan_unmet_need</f>
        <v>0.47099999999999997</v>
      </c>
      <c r="O24" s="60">
        <f>famplan_unmet_need</f>
        <v>0.47099999999999997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0.38290765854644748</v>
      </c>
      <c r="M25" s="60">
        <f>(1-food_insecure)*(0.49)+food_insecure*(0.7)</f>
        <v>0.50007999999999997</v>
      </c>
      <c r="N25" s="60">
        <f>(1-food_insecure)*(0.49)+food_insecure*(0.7)</f>
        <v>0.50007999999999997</v>
      </c>
      <c r="O25" s="60">
        <f>(1-food_insecure)*(0.49)+food_insecure*(0.7)</f>
        <v>0.50007999999999997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0.16410328223419177</v>
      </c>
      <c r="M26" s="60">
        <f>(1-food_insecure)*(0.21)+food_insecure*(0.3)</f>
        <v>0.21431999999999998</v>
      </c>
      <c r="N26" s="60">
        <f>(1-food_insecure)*(0.21)+food_insecure*(0.3)</f>
        <v>0.21431999999999998</v>
      </c>
      <c r="O26" s="60">
        <f>(1-food_insecure)*(0.21)+food_insecure*(0.3)</f>
        <v>0.21431999999999998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0.21868186546325669</v>
      </c>
      <c r="M27" s="60">
        <f>(1-food_insecure)*(0.3)</f>
        <v>0.28559999999999997</v>
      </c>
      <c r="N27" s="60">
        <f>(1-food_insecure)*(0.3)</f>
        <v>0.28559999999999997</v>
      </c>
      <c r="O27" s="60">
        <f>(1-food_insecure)*(0.3)</f>
        <v>0.28559999999999997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0.23430719375610398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XKN5nqKBPEOSN2gPFFTXf67nttcquVej0pms0FltO5t+LSxfnkpIzY/QvM9Ab/mH1h44Q91TFcMY+8b2F1/+6Q==" saltValue="/WoJmZegxRpHGQCc0RIoC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I59akhLcpKQxD069jGoY+zuGzEoImzPDqyq0e7sKPaFGXaGxG9ogzb6o5t/D+x2u12fPG0jYg772ArQGCSrY6g==" saltValue="vpSB9ROYCoHmsKXJWOmvi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5vgddQw3rp/W3LE9gCXS11X7L18yhcS3JGhpBe9uZydvnNLDzc8w2kkfMdkOG5DSjlMB1h2YqZ19Uz4fdpq40g==" saltValue="xWOHoFSNCrKsw8mZ0lEUu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PtjT6BR/xUt1vASkhWJkswF7TaktucyjONM6r6d5vZTr37sZO3zHex/lVIhVEoICDBgxkmFjgfZeJ31jgbk2Dw==" saltValue="CCXkvRlzJbwfs1s9kAYg8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2FZ24y4+IMQsbX4V4eKrQ83vnUPWEe43pR7PsBEnud5dtPPPOrlqTZzbH5af7MYE1YwHXnxTBfBWGtHJY2liEw==" saltValue="RIfkn+SY41ojO4WXhte/g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+7ZD8hxPze4MCteakoO4mOvxpdd/W7UYOejguKo2u++MtgMrK7ly0e1D+o3RPM3M+cTqpC2DJyAbjZb4Cc+b4A==" saltValue="A1J6VUYSY9KMVrLbI/d3h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XkyGEilb3LGMfgiB/1UTL+Ey3VgsblCgEw1E6KgtVuPSi+AYomn2trJ2AcG9xs4+hlIvUtg3gixkq8Vq2cEt2g==" saltValue="l0cxrHrKTzn7H/ReTWZD8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8SAGDGXptanpm84LD7tZJhAY9qU/CgbUGmszJXvH+ykVumGH/RH1/I+ue5BnCXdnx3zozNWXJCFXLOteZKBA4Q==" saltValue="EK2yEI0R/zr904PRLNF1P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YZlQQcVoVzaf6bidZruulDTIPb/D7jtmA5gmdUPsu9bNLRvKNuOIP/ILdiRZH8Lcy1FNqfn5IpoAPZWlj81RPA==" saltValue="pN6GWZBU8C70m2Zu8o13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pD8Ox6vne8RMxsvsC0xf9DJR62gZBsS6VNXieHeZUJHAQVoRpPcatB/EjvShsMPJG30Wmw452+JXMeFGYLeIIQ==" saltValue="tB+YWH6QxmIqYDMIz0oxg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gjNMoA2MYipp7pQyhAmN5bWJykdrbNhoK6YfMy4UHA5tO2295grYFeRi/jobfEoSpDZQZm6vXK4Bm2RzSjrK9A==" saltValue="1EGIHKIaEHyxsQkMqBkx3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HrtsNRNwqiqr+PW7MpgGfqDwTBPtdz+aLNUyXuasrqG04kAZ1O5zZV9UC9UKjXypr3feyEN+fNHWCmlUZciJRw==" saltValue="TxC2qEcMT7hh4h+KmIwt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NiZfLKQo3UtpvWlZTWBxXhOPE6e9hotbLVId0GQWUBUohR3Y8CvALpm053VN5QhjK+wshGWQwqysfGNiQZwDQg==" saltValue="bOYelwRmsdlwtOsBqHaWF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0.1067744912297901</v>
      </c>
      <c r="G18" s="90">
        <f>MIN(MAX(1-0.89/(1-frac_sam_12_23months+(frac_sam_12_23months*0.89)),0),1)</f>
        <v>0.1079168752854841</v>
      </c>
      <c r="H18" s="90">
        <f>MIN(MAX(1-0.89/(1-frac_sam_24_59months+(frac_sam_24_59months*0.89)),0),1)</f>
        <v>0.10914839575403068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0.10331097425478253</v>
      </c>
      <c r="G20" s="90">
        <f>MIN(MAX(1-0.89/(1-frac_mam_12_23months+(frac_mam_12_23months*0.89)),0),1)</f>
        <v>0.1050108012676495</v>
      </c>
      <c r="H20" s="90">
        <f>MIN(MAX(1-0.89/(1-frac_mam_24_59months+(frac_mam_24_59months*0.89)),0),1)</f>
        <v>0.10795786935933538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9.6748960748834767E-3</v>
      </c>
      <c r="G73" s="90">
        <f>MIN(MAX(1-0.99/(1-frac_sam_12_23months+(frac_sam_12_23months*0.99)),0),1)</f>
        <v>9.7897942166754737E-3</v>
      </c>
      <c r="H73" s="90">
        <f>MIN(MAX(1-0.99/(1-frac_sam_24_59months+(frac_sam_24_59months*0.99)),0),1)</f>
        <v>9.9139575625680765E-3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9.3281719371118843E-3</v>
      </c>
      <c r="G75" s="90">
        <f>MIN(MAX(1-0.99/(1-frac_mam_12_23months+(frac_mam_12_23months*0.99)),0),1)</f>
        <v>9.4980324223691293E-3</v>
      </c>
      <c r="H75" s="90">
        <f>MIN(MAX(1-0.99/(1-frac_mam_24_59months+(frac_mam_24_59months*0.99)),0),1)</f>
        <v>9.7939222719275465E-3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0.19471280640171107</v>
      </c>
      <c r="G128" s="90">
        <f>MIN(MAX(1-0.8/(1-frac_sam_12_23months+(frac_sam_12_23months*0.8)),0),1)</f>
        <v>0.19658897387459984</v>
      </c>
      <c r="H128" s="90">
        <f>MIN(MAX(1-0.8/(1-frac_sam_24_59months+(frac_sam_24_59months*0.8)),0),1)</f>
        <v>0.19860711505453399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0.18900034682400169</v>
      </c>
      <c r="G130" s="90">
        <f>MIN(MAX(1-0.8/(1-frac_mam_12_23months+(frac_mam_12_23months*0.8)),0),1)</f>
        <v>0.19180847784420729</v>
      </c>
      <c r="H130" s="90">
        <f>MIN(MAX(1-0.8/(1-frac_mam_24_59months+(frac_mam_24_59months*0.8)),0),1)</f>
        <v>0.19665622614320033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oAyS+qEg4paifc+JZgtQLC/II0A8AQZ4KJHFrNQzi1NreMaOw/xHFcRkGPIG1UYUZ10P8MlbZ54PxblBs7ZkQ==" saltValue="e/QTbqfdx8qRPwSiddMq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rJVHtQdYiuJi5NFGiN43NsHoToRd2hcA1T12oqBLpcdP2ykpS3q1uCJttoNjCq4yfSAYewEzDb/Y6slXXJnQPw==" saltValue="+I1eHmXRmTX9ubGeKIPBN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2024-08-06T09:54:40Z</dcterms:modified>
</cp:coreProperties>
</file>