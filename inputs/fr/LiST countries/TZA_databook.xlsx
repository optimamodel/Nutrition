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3CC2B965-6105-49FF-A943-72322C909DC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I39" i="2" s="1"/>
  <c r="H38" i="2"/>
  <c r="G38" i="2"/>
  <c r="I38" i="2" s="1"/>
  <c r="A34" i="2"/>
  <c r="A31" i="2"/>
  <c r="A26" i="2"/>
  <c r="A2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I6" i="2"/>
  <c r="I12" i="2"/>
  <c r="A35" i="2"/>
  <c r="A36" i="2"/>
  <c r="I7" i="2"/>
  <c r="I13" i="2"/>
  <c r="A37" i="2"/>
  <c r="I2" i="2"/>
  <c r="I8" i="2"/>
  <c r="A19" i="2"/>
  <c r="A22" i="2"/>
  <c r="I3" i="2"/>
  <c r="I9" i="2"/>
  <c r="A23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<sst xmlns="http://schemas.openxmlformats.org/spreadsheetml/2006/main" count="2169" uniqueCount="369">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</sst>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11187258.5</v>
      </c>
    </row>
    <row r="8" spans="1:3" ht="15" customHeight="1" x14ac:dyDescent="0.25">
      <c r="B8" s="5" t="s">
        <v>37</v>
      </c>
      <c r="C8" s="44">
        <v>0.26400000000000001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0.2731307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0.1169</v>
      </c>
    </row>
    <row r="24" spans="1:3" ht="15" customHeight="1" x14ac:dyDescent="0.25">
      <c r="B24" s="15" t="s">
        <v>51</v>
      </c>
      <c r="C24" s="45">
        <v>0.50690000000000002</v>
      </c>
    </row>
    <row r="25" spans="1:3" ht="15" customHeight="1" x14ac:dyDescent="0.25">
      <c r="B25" s="15" t="s">
        <v>52</v>
      </c>
      <c r="C25" s="45">
        <v>0.31080000000000002</v>
      </c>
    </row>
    <row r="26" spans="1:3" ht="15" customHeight="1" x14ac:dyDescent="0.25">
      <c r="B26" s="15" t="s">
        <v>53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0.32097876330389902</v>
      </c>
    </row>
    <row r="30" spans="1:3" ht="14.25" customHeight="1" x14ac:dyDescent="0.25">
      <c r="B30" s="25" t="s">
        <v>56</v>
      </c>
      <c r="C30" s="97">
        <v>0.11435649369624799</v>
      </c>
    </row>
    <row r="31" spans="1:3" ht="14.25" customHeight="1" x14ac:dyDescent="0.25">
      <c r="B31" s="25" t="s">
        <v>57</v>
      </c>
      <c r="C31" s="97">
        <v>0.128931423055959</v>
      </c>
    </row>
    <row r="32" spans="1:3" ht="14.25" customHeight="1" x14ac:dyDescent="0.25">
      <c r="B32" s="25" t="s">
        <v>58</v>
      </c>
      <c r="C32" s="97">
        <v>0.43573331994389503</v>
      </c>
    </row>
    <row r="33" spans="1:5" ht="13.25" customHeight="1" x14ac:dyDescent="0.25">
      <c r="B33" s="27" t="s">
        <v>59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13.569990000000001</v>
      </c>
    </row>
    <row r="38" spans="1:5" ht="15" customHeight="1" x14ac:dyDescent="0.25">
      <c r="B38" s="11" t="s">
        <v>63</v>
      </c>
      <c r="C38" s="43">
        <v>27.63936</v>
      </c>
      <c r="D38" s="12"/>
      <c r="E38" s="13"/>
    </row>
    <row r="39" spans="1:5" ht="15" customHeight="1" x14ac:dyDescent="0.25">
      <c r="B39" s="11" t="s">
        <v>64</v>
      </c>
      <c r="C39" s="43">
        <v>31.419</v>
      </c>
      <c r="D39" s="12"/>
      <c r="E39" s="12"/>
    </row>
    <row r="40" spans="1:5" ht="15" customHeight="1" x14ac:dyDescent="0.25">
      <c r="B40" s="11" t="s">
        <v>65</v>
      </c>
      <c r="C40" s="98">
        <v>0.17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5.9144999999999996E-3</v>
      </c>
      <c r="D45" s="12"/>
    </row>
    <row r="46" spans="1:5" ht="15.75" customHeight="1" x14ac:dyDescent="0.25">
      <c r="B46" s="11" t="s">
        <v>70</v>
      </c>
      <c r="C46" s="45">
        <v>6.3550899999999994E-2</v>
      </c>
      <c r="D46" s="12"/>
    </row>
    <row r="47" spans="1:5" ht="15.75" customHeight="1" x14ac:dyDescent="0.25">
      <c r="B47" s="11" t="s">
        <v>71</v>
      </c>
      <c r="C47" s="45">
        <v>7.5376799999999994E-2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1.95</v>
      </c>
      <c r="D51" s="12"/>
    </row>
    <row r="52" spans="1:4" ht="15" customHeight="1" x14ac:dyDescent="0.25">
      <c r="B52" s="11" t="s">
        <v>75</v>
      </c>
      <c r="C52" s="98">
        <v>1.95</v>
      </c>
    </row>
    <row r="53" spans="1:4" ht="15.75" customHeight="1" x14ac:dyDescent="0.25">
      <c r="B53" s="11" t="s">
        <v>76</v>
      </c>
      <c r="C53" s="98">
        <v>4.8360000000000003</v>
      </c>
    </row>
    <row r="54" spans="1:4" ht="15.75" customHeight="1" x14ac:dyDescent="0.25">
      <c r="B54" s="11" t="s">
        <v>77</v>
      </c>
      <c r="C54" s="98">
        <v>3.952</v>
      </c>
    </row>
    <row r="55" spans="1:4" ht="15.75" customHeight="1" x14ac:dyDescent="0.25">
      <c r="B55" s="11" t="s">
        <v>78</v>
      </c>
      <c r="C55" s="98">
        <v>1.3606666666666669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0.58725400000000005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9.7035635879999999E-2</v>
      </c>
    </row>
    <row r="63" spans="1:4" ht="15.75" customHeight="1" x14ac:dyDescent="0.3">
      <c r="A63" s="4"/>
    </row>
  </sheetData>
  <sheetProtection algorithmName="SHA-512" hashValue="go05EA7NrCixEso2cfb/RdrvPfEM3IbGx4f1KP03vtsGN8YNBzyuwjxyBQXnm6PG+WCXF5lPxb4OmjTS+hb9YA==" saltValue="/pZuHYFdfodY92YIInjP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2385984</v>
      </c>
      <c r="C2" s="49">
        <v>3720956.5</v>
      </c>
      <c r="D2" s="49">
        <v>5877352.5</v>
      </c>
      <c r="E2" s="49">
        <v>4125888</v>
      </c>
      <c r="F2" s="49">
        <v>2894238</v>
      </c>
      <c r="G2" s="17">
        <f t="shared" ref="G2:G13" si="0">C2+D2+E2+F2</f>
        <v>16618435</v>
      </c>
      <c r="H2" s="17">
        <f t="shared" ref="H2:H13" si="1">(B2 + stillbirth*B2/(1000-stillbirth))/(1-abortion)</f>
        <v>2736328.0751449666</v>
      </c>
      <c r="I2" s="17">
        <f t="shared" ref="I2:I13" si="2">G2-H2</f>
        <v>13882106.924855033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2419272</v>
      </c>
      <c r="C3" s="50">
        <v>3793164.5</v>
      </c>
      <c r="D3" s="50">
        <v>6073421.5</v>
      </c>
      <c r="E3" s="50">
        <v>4258950</v>
      </c>
      <c r="F3" s="50">
        <v>2995191.5</v>
      </c>
      <c r="G3" s="17">
        <f t="shared" si="0"/>
        <v>17120727.5</v>
      </c>
      <c r="H3" s="17">
        <f t="shared" si="1"/>
        <v>2774503.8923195265</v>
      </c>
      <c r="I3" s="17">
        <f t="shared" si="2"/>
        <v>14346223.607680473</v>
      </c>
    </row>
    <row r="4" spans="1:9" ht="15.75" customHeight="1" x14ac:dyDescent="0.25">
      <c r="A4" s="5">
        <f t="shared" si="3"/>
        <v>2026</v>
      </c>
      <c r="B4" s="49">
        <v>2459538</v>
      </c>
      <c r="C4" s="50">
        <v>3860668</v>
      </c>
      <c r="D4" s="50">
        <v>6267362.9999999991</v>
      </c>
      <c r="E4" s="50">
        <v>4403649.5</v>
      </c>
      <c r="F4" s="50">
        <v>3096166.5</v>
      </c>
      <c r="G4" s="17">
        <f t="shared" si="0"/>
        <v>17627847</v>
      </c>
      <c r="H4" s="17">
        <f t="shared" si="1"/>
        <v>2820682.3186098067</v>
      </c>
      <c r="I4" s="17">
        <f t="shared" si="2"/>
        <v>14807164.681390192</v>
      </c>
    </row>
    <row r="5" spans="1:9" ht="15.75" customHeight="1" x14ac:dyDescent="0.25">
      <c r="A5" s="5">
        <f t="shared" si="3"/>
        <v>2027</v>
      </c>
      <c r="B5" s="49">
        <v>2494507</v>
      </c>
      <c r="C5" s="50">
        <v>3934696</v>
      </c>
      <c r="D5" s="50">
        <v>6455538.5000000009</v>
      </c>
      <c r="E5" s="50">
        <v>4553597.5</v>
      </c>
      <c r="F5" s="50">
        <v>3197340.5</v>
      </c>
      <c r="G5" s="17">
        <f t="shared" si="0"/>
        <v>18141172.5</v>
      </c>
      <c r="H5" s="17">
        <f t="shared" si="1"/>
        <v>2860785.9640909764</v>
      </c>
      <c r="I5" s="17">
        <f t="shared" si="2"/>
        <v>15280386.535909023</v>
      </c>
    </row>
    <row r="6" spans="1:9" ht="15.75" customHeight="1" x14ac:dyDescent="0.25">
      <c r="A6" s="5">
        <f t="shared" si="3"/>
        <v>2028</v>
      </c>
      <c r="B6" s="49">
        <v>2528941</v>
      </c>
      <c r="C6" s="50">
        <v>4028147</v>
      </c>
      <c r="D6" s="50">
        <v>6637328.5</v>
      </c>
      <c r="E6" s="50">
        <v>4707016.5</v>
      </c>
      <c r="F6" s="50">
        <v>3301018</v>
      </c>
      <c r="G6" s="17">
        <f t="shared" si="0"/>
        <v>18673510</v>
      </c>
      <c r="H6" s="17">
        <f t="shared" si="1"/>
        <v>2900276.0532699246</v>
      </c>
      <c r="I6" s="17">
        <f t="shared" si="2"/>
        <v>15773233.946730075</v>
      </c>
    </row>
    <row r="7" spans="1:9" ht="15.75" customHeight="1" x14ac:dyDescent="0.25">
      <c r="A7" s="5">
        <f t="shared" si="3"/>
        <v>2029</v>
      </c>
      <c r="B7" s="49">
        <v>2567418</v>
      </c>
      <c r="C7" s="50">
        <v>4139706</v>
      </c>
      <c r="D7" s="50">
        <v>6816209.5</v>
      </c>
      <c r="E7" s="50">
        <v>4866302.5</v>
      </c>
      <c r="F7" s="50">
        <v>3407693.5</v>
      </c>
      <c r="G7" s="17">
        <f t="shared" si="0"/>
        <v>19229911.5</v>
      </c>
      <c r="H7" s="17">
        <f t="shared" si="1"/>
        <v>2944402.79315894</v>
      </c>
      <c r="I7" s="17">
        <f t="shared" si="2"/>
        <v>16285508.706841059</v>
      </c>
    </row>
    <row r="8" spans="1:9" ht="15.75" customHeight="1" x14ac:dyDescent="0.25">
      <c r="A8" s="5">
        <f t="shared" si="3"/>
        <v>2030</v>
      </c>
      <c r="B8" s="49">
        <v>2604947</v>
      </c>
      <c r="C8" s="50">
        <v>4257185</v>
      </c>
      <c r="D8" s="50">
        <v>6995133.5</v>
      </c>
      <c r="E8" s="50">
        <v>5031657.5</v>
      </c>
      <c r="F8" s="50">
        <v>3516080.5</v>
      </c>
      <c r="G8" s="17">
        <f t="shared" si="0"/>
        <v>19800056.5</v>
      </c>
      <c r="H8" s="17">
        <f t="shared" si="1"/>
        <v>2987442.3342171009</v>
      </c>
      <c r="I8" s="17">
        <f t="shared" si="2"/>
        <v>16812614.165782899</v>
      </c>
    </row>
    <row r="9" spans="1:9" ht="15.75" customHeight="1" x14ac:dyDescent="0.25">
      <c r="A9" s="5">
        <f t="shared" si="3"/>
        <v>2031</v>
      </c>
      <c r="B9" s="49">
        <v>2647100</v>
      </c>
      <c r="C9" s="50">
        <v>4383812</v>
      </c>
      <c r="D9" s="50">
        <v>7170707</v>
      </c>
      <c r="E9" s="50">
        <v>5203170.5</v>
      </c>
      <c r="F9" s="50">
        <v>3627158</v>
      </c>
      <c r="G9" s="17">
        <f t="shared" si="0"/>
        <v>20384847.5</v>
      </c>
      <c r="H9" s="17">
        <f t="shared" si="1"/>
        <v>3035784.8366612019</v>
      </c>
      <c r="I9" s="17">
        <f t="shared" si="2"/>
        <v>17349062.663338799</v>
      </c>
    </row>
    <row r="10" spans="1:9" ht="15.75" customHeight="1" x14ac:dyDescent="0.25">
      <c r="A10" s="5">
        <f t="shared" si="3"/>
        <v>2032</v>
      </c>
      <c r="B10" s="49">
        <v>2676718</v>
      </c>
      <c r="C10" s="50">
        <v>4523641</v>
      </c>
      <c r="D10" s="50">
        <v>7347722.5</v>
      </c>
      <c r="E10" s="50">
        <v>5379992</v>
      </c>
      <c r="F10" s="50">
        <v>3741170</v>
      </c>
      <c r="G10" s="17">
        <f t="shared" si="0"/>
        <v>20992525.5</v>
      </c>
      <c r="H10" s="17">
        <f t="shared" si="1"/>
        <v>3069751.772285935</v>
      </c>
      <c r="I10" s="17">
        <f t="shared" si="2"/>
        <v>17922773.727714065</v>
      </c>
    </row>
    <row r="11" spans="1:9" ht="15.75" customHeight="1" x14ac:dyDescent="0.25">
      <c r="A11" s="5">
        <f t="shared" si="3"/>
        <v>2033</v>
      </c>
      <c r="B11" s="49">
        <v>2715622</v>
      </c>
      <c r="C11" s="50">
        <v>4661204</v>
      </c>
      <c r="D11" s="50">
        <v>7533575.5</v>
      </c>
      <c r="E11" s="50">
        <v>5564419.5</v>
      </c>
      <c r="F11" s="50">
        <v>3856900.5</v>
      </c>
      <c r="G11" s="17">
        <f t="shared" si="0"/>
        <v>21616099.5</v>
      </c>
      <c r="H11" s="17">
        <f t="shared" si="1"/>
        <v>3114368.2103825193</v>
      </c>
      <c r="I11" s="17">
        <f t="shared" si="2"/>
        <v>18501731.289617479</v>
      </c>
    </row>
    <row r="12" spans="1:9" ht="15.75" customHeight="1" x14ac:dyDescent="0.25">
      <c r="A12" s="5">
        <f t="shared" si="3"/>
        <v>2034</v>
      </c>
      <c r="B12" s="49">
        <v>2761758</v>
      </c>
      <c r="C12" s="50">
        <v>4789535</v>
      </c>
      <c r="D12" s="50">
        <v>7726864</v>
      </c>
      <c r="E12" s="50">
        <v>5758606</v>
      </c>
      <c r="F12" s="50">
        <v>3978458.5</v>
      </c>
      <c r="G12" s="17">
        <f t="shared" si="0"/>
        <v>22253463.5</v>
      </c>
      <c r="H12" s="17">
        <f t="shared" si="1"/>
        <v>3167278.5534841022</v>
      </c>
      <c r="I12" s="17">
        <f t="shared" si="2"/>
        <v>19086184.946515899</v>
      </c>
    </row>
    <row r="13" spans="1:9" ht="15.75" customHeight="1" x14ac:dyDescent="0.25">
      <c r="A13" s="5">
        <f t="shared" si="3"/>
        <v>2035</v>
      </c>
      <c r="B13" s="49">
        <v>2803251</v>
      </c>
      <c r="C13" s="50">
        <v>4916485.5</v>
      </c>
      <c r="D13" s="50">
        <v>7917039.5000000009</v>
      </c>
      <c r="E13" s="50">
        <v>5956140</v>
      </c>
      <c r="F13" s="50">
        <v>4110825.5</v>
      </c>
      <c r="G13" s="17">
        <f t="shared" si="0"/>
        <v>22900490.5</v>
      </c>
      <c r="H13" s="17">
        <f t="shared" si="1"/>
        <v>3214864.1453497605</v>
      </c>
      <c r="I13" s="17">
        <f t="shared" si="2"/>
        <v>19685626.35465024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O2M7vr3Ds2UY2Dnj5rsrvlVb6+kr+LzNjJTXGf8tiQnS7Qo6iTO2/OBeO4lRN4L8gh5QIMoSi2u43X/kRJ2Eg==" saltValue="vnNizeRuafzG0EF1icHJ8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3.0741955489755001E-3</v>
      </c>
    </row>
    <row r="4" spans="1:8" ht="15.75" customHeight="1" x14ac:dyDescent="0.25">
      <c r="B4" s="19" t="s">
        <v>97</v>
      </c>
      <c r="C4" s="99">
        <v>4.5714087306233192E-2</v>
      </c>
    </row>
    <row r="5" spans="1:8" ht="15.75" customHeight="1" x14ac:dyDescent="0.25">
      <c r="B5" s="19" t="s">
        <v>98</v>
      </c>
      <c r="C5" s="99">
        <v>6.2934905662831719E-2</v>
      </c>
    </row>
    <row r="6" spans="1:8" ht="15.75" customHeight="1" x14ac:dyDescent="0.25">
      <c r="B6" s="19" t="s">
        <v>99</v>
      </c>
      <c r="C6" s="99">
        <v>0.20706367546229029</v>
      </c>
    </row>
    <row r="7" spans="1:8" ht="15.75" customHeight="1" x14ac:dyDescent="0.25">
      <c r="B7" s="19" t="s">
        <v>100</v>
      </c>
      <c r="C7" s="99">
        <v>0.45319363919792882</v>
      </c>
    </row>
    <row r="8" spans="1:8" ht="15.75" customHeight="1" x14ac:dyDescent="0.25">
      <c r="B8" s="19" t="s">
        <v>101</v>
      </c>
      <c r="C8" s="99">
        <v>3.9374278179925862E-4</v>
      </c>
    </row>
    <row r="9" spans="1:8" ht="15.75" customHeight="1" x14ac:dyDescent="0.25">
      <c r="B9" s="19" t="s">
        <v>102</v>
      </c>
      <c r="C9" s="99">
        <v>0.12922187821010439</v>
      </c>
    </row>
    <row r="10" spans="1:8" ht="15.75" customHeight="1" x14ac:dyDescent="0.25">
      <c r="B10" s="19" t="s">
        <v>103</v>
      </c>
      <c r="C10" s="99">
        <v>9.8403875829836771E-2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106</v>
      </c>
      <c r="C15" s="99">
        <v>0.40822241936014758</v>
      </c>
      <c r="D15" s="99">
        <v>0.40822241936014758</v>
      </c>
      <c r="E15" s="99">
        <v>0.40822241936014758</v>
      </c>
      <c r="F15" s="99">
        <v>0.40822241936014758</v>
      </c>
    </row>
    <row r="16" spans="1:8" ht="15.75" customHeight="1" x14ac:dyDescent="0.25">
      <c r="B16" s="19" t="s">
        <v>107</v>
      </c>
      <c r="C16" s="99">
        <v>2.46705865376926E-2</v>
      </c>
      <c r="D16" s="99">
        <v>2.46705865376926E-2</v>
      </c>
      <c r="E16" s="99">
        <v>2.46705865376926E-2</v>
      </c>
      <c r="F16" s="99">
        <v>2.46705865376926E-2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9.4156144041897885E-3</v>
      </c>
      <c r="D19" s="99">
        <v>9.4156144041897885E-3</v>
      </c>
      <c r="E19" s="99">
        <v>9.4156144041897885E-3</v>
      </c>
      <c r="F19" s="99">
        <v>9.4156144041897885E-3</v>
      </c>
    </row>
    <row r="20" spans="1:8" ht="15.75" customHeight="1" x14ac:dyDescent="0.25">
      <c r="B20" s="19" t="s">
        <v>111</v>
      </c>
      <c r="C20" s="99">
        <v>1.6199682475618121E-2</v>
      </c>
      <c r="D20" s="99">
        <v>1.6199682475618121E-2</v>
      </c>
      <c r="E20" s="99">
        <v>1.6199682475618121E-2</v>
      </c>
      <c r="F20" s="99">
        <v>1.6199682475618121E-2</v>
      </c>
    </row>
    <row r="21" spans="1:8" ht="15.75" customHeight="1" x14ac:dyDescent="0.25">
      <c r="B21" s="19" t="s">
        <v>112</v>
      </c>
      <c r="C21" s="99">
        <v>0.20382368632032299</v>
      </c>
      <c r="D21" s="99">
        <v>0.20382368632032299</v>
      </c>
      <c r="E21" s="99">
        <v>0.20382368632032299</v>
      </c>
      <c r="F21" s="99">
        <v>0.20382368632032299</v>
      </c>
    </row>
    <row r="22" spans="1:8" ht="15.75" customHeight="1" x14ac:dyDescent="0.25">
      <c r="B22" s="19" t="s">
        <v>113</v>
      </c>
      <c r="C22" s="99">
        <v>0.17436080328209949</v>
      </c>
      <c r="D22" s="99">
        <v>0.17436080328209949</v>
      </c>
      <c r="E22" s="99">
        <v>0.17436080328209949</v>
      </c>
      <c r="F22" s="99">
        <v>0.17436080328209949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5.4573182999999997E-2</v>
      </c>
    </row>
    <row r="27" spans="1:8" ht="15.75" customHeight="1" x14ac:dyDescent="0.25">
      <c r="B27" s="19" t="s">
        <v>120</v>
      </c>
      <c r="C27" s="99">
        <v>5.9409878999999999E-2</v>
      </c>
    </row>
    <row r="28" spans="1:8" ht="15.75" customHeight="1" x14ac:dyDescent="0.25">
      <c r="B28" s="19" t="s">
        <v>121</v>
      </c>
      <c r="C28" s="99">
        <v>0.12098242100000001</v>
      </c>
    </row>
    <row r="29" spans="1:8" ht="15.75" customHeight="1" x14ac:dyDescent="0.25">
      <c r="B29" s="19" t="s">
        <v>122</v>
      </c>
      <c r="C29" s="99">
        <v>0.13495797500000001</v>
      </c>
    </row>
    <row r="30" spans="1:8" ht="15.75" customHeight="1" x14ac:dyDescent="0.25">
      <c r="B30" s="19" t="s">
        <v>2</v>
      </c>
      <c r="C30" s="99">
        <v>8.1454253000000018E-2</v>
      </c>
    </row>
    <row r="31" spans="1:8" ht="15.75" customHeight="1" x14ac:dyDescent="0.25">
      <c r="B31" s="19" t="s">
        <v>123</v>
      </c>
      <c r="C31" s="99">
        <v>6.5903797E-2</v>
      </c>
    </row>
    <row r="32" spans="1:8" ht="15.75" customHeight="1" x14ac:dyDescent="0.25">
      <c r="B32" s="19" t="s">
        <v>124</v>
      </c>
      <c r="C32" s="99">
        <v>0.13216685</v>
      </c>
    </row>
    <row r="33" spans="2:3" ht="15.75" customHeight="1" x14ac:dyDescent="0.25">
      <c r="B33" s="19" t="s">
        <v>125</v>
      </c>
      <c r="C33" s="99">
        <v>0.12743632599999999</v>
      </c>
    </row>
    <row r="34" spans="2:3" ht="15.75" customHeight="1" x14ac:dyDescent="0.25">
      <c r="B34" s="19" t="s">
        <v>126</v>
      </c>
      <c r="C34" s="99">
        <v>0.22311531600000001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VCybwFnzuWJwXtXuflhhv/YiZbelzQtHRzVlLX8wqLlOeVTFYEDz8uhEq6w4NOfVej5VdnciwQWcc+XcQ3V2ag==" saltValue="AEJSR62+uuwVQZaRfcKNd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132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133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137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138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+gTL4VGUfOSdBKtuiIyeNMn0IZbaDv0KsJX28pKFv4pdKNThqgn6KZOAW/H+yfgxengchxFskvKYN+VC6B2gg==" saltValue="oUSru4/97PmlWOvFfKd6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3ZDysrxuD6KcnDGQ1RU8uGMm5RXurZxYmK2Xa2UJtqLK8cun9qc4KUMNa2ejo8E+AHjNvTrEyBwbWSgX1O7ltA==" saltValue="tEJYrMF8RrR4KUgX7/u1t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hzCrgSjuQoJ3ooGiOaqPIXuQNwK4hhpW2drSpzU9p0SxT5llaHu12U1Kc2Lzl7T26MH+dsEiRKahsye68BDLA==" saltValue="wP1eSRZQYs8EmXcn26nJp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1192.76647949219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0.54902000000000006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0.78305000000000002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2.5664287235020775E-2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94933.443270000003</v>
      </c>
      <c r="C22" s="107">
        <v>94177.866850000006</v>
      </c>
      <c r="D22" s="107">
        <v>93852.443669999993</v>
      </c>
      <c r="E22" s="107">
        <v>93332.122340000002</v>
      </c>
      <c r="F22" s="107">
        <v>92616.516900000002</v>
      </c>
      <c r="G22" s="107">
        <v>91691.325100000002</v>
      </c>
      <c r="H22" s="107">
        <v>90462.714840000001</v>
      </c>
      <c r="I22" s="107">
        <v>88820.775750000001</v>
      </c>
      <c r="J22" s="107">
        <v>86592.444430000003</v>
      </c>
      <c r="K22" s="107">
        <v>83689.157200000001</v>
      </c>
      <c r="L22" s="107">
        <v>79765.358919999999</v>
      </c>
      <c r="M22" s="107">
        <v>74677.631829999998</v>
      </c>
      <c r="N22" s="107">
        <v>67594.334990000003</v>
      </c>
      <c r="O22" s="107">
        <v>58414.177989999996</v>
      </c>
    </row>
  </sheetData>
  <sheetProtection algorithmName="SHA-512" hashValue="KBCTO/p6Qxdlt8fs+hqSvInkXVyc0qQoebqLynQ5iPLAzvW17kwZm96R3QXu7bxAlpi0LyB4sJ1RmRS9mNOtRw==" saltValue="5e3JloPUQ7Cd75HjBP5xP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oAtCOcpyHDX8neK4+LJSuLVygpzJetIDDw3GeLe5MnCyyyCBaoLQI1ZhPznlHJQaNX5AtNW7AIcUPuPEIipy3Q==" saltValue="u3CytX+vacSY6RPpsLU8h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BKASej+/QSUlXoHBNkmw9DuTclmVGsF9SvlkycDPYxldLr88ac764vbc9Nemloo4lhLFLp6c4sRxM0O3+PI7CA==" saltValue="7q1HYDhcMFpULB5mUMdlw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12.73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0.46280465114316638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2.19022E-2</v>
      </c>
      <c r="C10" s="96">
        <v>0.95</v>
      </c>
      <c r="D10" s="56">
        <v>14.21292537547621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14.21292537547621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14.21292537547621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14.21292537547621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0.38819999999999999</v>
      </c>
      <c r="C14" s="96">
        <v>0.95</v>
      </c>
      <c r="D14" s="56">
        <v>4.586811392844738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14.21292537547621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2.4996908648836405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0.23</v>
      </c>
      <c r="C18" s="96">
        <v>0.95</v>
      </c>
      <c r="D18" s="56">
        <v>12.729008336227858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0.31436900000000001</v>
      </c>
      <c r="C19" s="96">
        <v>0.95</v>
      </c>
      <c r="D19" s="56">
        <v>2.121285075768927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10.472005904828066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12.73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1.96765E-2</v>
      </c>
      <c r="C23" s="96">
        <v>0.95</v>
      </c>
      <c r="D23" s="56">
        <v>4.6734447573928826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0.63038645218564004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1.4999999999999999E-2</v>
      </c>
      <c r="C26" s="96">
        <v>0.95</v>
      </c>
      <c r="D26" s="56">
        <v>5.6425060784994798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0.61705699999999997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0.22507530000000001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109.20979506773186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0.95</v>
      </c>
      <c r="C32" s="96">
        <v>0.95</v>
      </c>
      <c r="D32" s="56">
        <v>0.48537686696769716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0.72953559999999995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0.52023419999999998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2.6733799999999999E-2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0.65150499999999989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0.19674449999999999</v>
      </c>
      <c r="C38" s="96">
        <v>0.95</v>
      </c>
      <c r="D38" s="56">
        <v>6.7103351858284128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13.111054247697034</v>
      </c>
      <c r="E39" s="56" t="s">
        <v>230</v>
      </c>
      <c r="F39" s="96">
        <v>1</v>
      </c>
      <c r="G39" s="96">
        <v>1</v>
      </c>
    </row>
  </sheetData>
  <sheetProtection algorithmName="SHA-512" hashValue="FjneDnv025GKLbx+87F4uqhaxxfZax06vrGNqVQcl9ckIK9ztr3LGkiIoLW2TaN9wTZ4K7QKDyJ+KdBHOXoPIA==" saltValue="FFQntJ8SwVQYdXb/arT/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VfBIE71aRP9wpB42qs7viT5yX4AHVsgJxTcKsKhs7Sh58V27awfpBP7JSy99RsxNlGLsLtNOTQENdKjI0HcLQ==" saltValue="StStgkfrmXFGi4qSo1KR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VPxH9mfs4PoXK5En/5F5OU+Mvfafx5sVUR2DhVqmd93jMlhuYBjbWKGdFNYHsK2wQQYTVEy1U4QbVQfeerIMg==" saltValue="um/HmadkQU91fY8ZeEHUw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1.95</v>
      </c>
      <c r="C2" s="21">
        <f>'Données pop de l''année de ref'!C52</f>
        <v>1.95</v>
      </c>
      <c r="D2" s="21">
        <f>'Données pop de l''année de ref'!C53</f>
        <v>4.8360000000000003</v>
      </c>
      <c r="E2" s="21">
        <f>'Données pop de l''année de ref'!C54</f>
        <v>3.952</v>
      </c>
      <c r="F2" s="21">
        <f>'Données pop de l''année de ref'!C55</f>
        <v>1.3606666666666669</v>
      </c>
    </row>
    <row r="3" spans="1:6" ht="15.75" customHeight="1" x14ac:dyDescent="0.25">
      <c r="A3" s="3" t="s">
        <v>238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237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VV0TGtXRK/knjm2YBSJHZs5JXl/kBVcDJOlLAolRv0gQNb6HhtkpNHDG8toudPo2mU0GIzLLoYleB5BT2HmfwA==" saltValue="nWThy+soZw84DQDYcwFYr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0.26400000000000001</v>
      </c>
      <c r="F2" s="60">
        <f>food_insecure</f>
        <v>0.26400000000000001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0.26400000000000001</v>
      </c>
      <c r="F5" s="60">
        <f>food_insecure</f>
        <v>0.26400000000000001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3.2035714285714292E-2</v>
      </c>
      <c r="D7" s="60">
        <f>diarrhoea_1_5mo*frac_diarrhea_severe</f>
        <v>3.2035714285714292E-2</v>
      </c>
      <c r="E7" s="60">
        <f>diarrhoea_6_11mo*frac_diarrhea_severe</f>
        <v>7.9448571428571452E-2</v>
      </c>
      <c r="F7" s="60">
        <f>diarrhoea_12_23mo*frac_diarrhea_severe</f>
        <v>6.4925714285714295E-2</v>
      </c>
      <c r="G7" s="60">
        <f>diarrhoea_24_59mo*frac_diarrhea_severe</f>
        <v>2.2353809523809533E-2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0.26400000000000001</v>
      </c>
      <c r="F8" s="60">
        <f>food_insecure</f>
        <v>0.26400000000000001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0.26400000000000001</v>
      </c>
      <c r="F9" s="60">
        <f>food_insecure</f>
        <v>0.26400000000000001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3.2035714285714292E-2</v>
      </c>
      <c r="D12" s="60">
        <f>diarrhoea_1_5mo*frac_diarrhea_severe</f>
        <v>3.2035714285714292E-2</v>
      </c>
      <c r="E12" s="60">
        <f>diarrhoea_6_11mo*frac_diarrhea_severe</f>
        <v>7.9448571428571452E-2</v>
      </c>
      <c r="F12" s="60">
        <f>diarrhoea_12_23mo*frac_diarrhea_severe</f>
        <v>6.4925714285714295E-2</v>
      </c>
      <c r="G12" s="60">
        <f>diarrhoea_24_59mo*frac_diarrhea_severe</f>
        <v>2.2353809523809533E-2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0.26400000000000001</v>
      </c>
      <c r="I15" s="60">
        <f t="shared" si="0"/>
        <v>0.26400000000000001</v>
      </c>
      <c r="J15" s="60">
        <f t="shared" si="0"/>
        <v>0.26400000000000001</v>
      </c>
      <c r="K15" s="60">
        <f t="shared" si="0"/>
        <v>0.26400000000000001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0.26400000000000001</v>
      </c>
      <c r="I16" s="60">
        <f t="shared" si="0"/>
        <v>0.26400000000000001</v>
      </c>
      <c r="J16" s="60">
        <f t="shared" si="0"/>
        <v>0.26400000000000001</v>
      </c>
      <c r="K16" s="60">
        <f t="shared" si="0"/>
        <v>0.26400000000000001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0.3964635909919999</v>
      </c>
      <c r="M25" s="60">
        <f>(1-food_insecure)*(0.49)+food_insecure*(0.7)</f>
        <v>0.54543999999999992</v>
      </c>
      <c r="N25" s="60">
        <f>(1-food_insecure)*(0.49)+food_insecure*(0.7)</f>
        <v>0.54543999999999992</v>
      </c>
      <c r="O25" s="60">
        <f>(1-food_insecure)*(0.49)+food_insecure*(0.7)</f>
        <v>0.54543999999999992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0.16991296756800001</v>
      </c>
      <c r="M26" s="60">
        <f>(1-food_insecure)*(0.21)+food_insecure*(0.3)</f>
        <v>0.23376000000000002</v>
      </c>
      <c r="N26" s="60">
        <f>(1-food_insecure)*(0.21)+food_insecure*(0.3)</f>
        <v>0.23376000000000002</v>
      </c>
      <c r="O26" s="60">
        <f>(1-food_insecure)*(0.21)+food_insecure*(0.3)</f>
        <v>0.23376000000000002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0.16049274143999998</v>
      </c>
      <c r="M27" s="60">
        <f>(1-food_insecure)*(0.3)</f>
        <v>0.2208</v>
      </c>
      <c r="N27" s="60">
        <f>(1-food_insecure)*(0.3)</f>
        <v>0.2208</v>
      </c>
      <c r="O27" s="60">
        <f>(1-food_insecure)*(0.3)</f>
        <v>0.2208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0.2731307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4BAmOIhUnkOa51dNJtde8YSO5F/4CNJmQetgajcAK4Z/+gjR0dmEjs3Sh0I+IqLPX5KmBzLMFltBnaoSbfgrYQ==" saltValue="pPOrA5ihxaipXCfQP0aY4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d8kw6Q0HaDQlQ6zQXt8dsoEBfFRZzbe9qay2/B2Frjpq5/GZjum3+h67UGq1rD2Xpooth2Mpdrf3B6oN/vq2bw==" saltValue="3P7e3EP04tGjJmZiSB2Ti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+QnAzIlX/A2GIMBPv/G1aZQVpve6hju1o4/Ahopfi0x5l764amuBW4FSLlgk3iwoKhzggxip81OHlfb7rnoGLw==" saltValue="59jHU3Lt91CnmKj6EIE6s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YdBUv4FSkBL2B/SuCgtoBjxBtlWeDOXRnnonCtG7YTnz0L8tvmFiBYgyjnrVvo0jhV83cT/uqVSJm4rS0LIjQ==" saltValue="vyOhTKXMbgy5EMP8GgIXf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b9MPBeTkKbtHp/wJljbm3S93ESXvmOYCqDfdzOe1AuJU35ILh48JnA1tyyGWYCz/x0DWNpDPN5CBwGKuNSpBLQ==" saltValue="nq+fRVv1Y+O77vlWFBRy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6SMl8DF6aLqAcrmyHRxwXWPlIXuC1P1jZBajW5uFdPaac98NOLPMn3TditToYCuxRehQBJrSPrOFVLij6lAJtg==" saltValue="EmwDJilzHpY1/mkZh/udk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CjuIhRWDftTR/+1HsnxuOy1/WVPoOavUSNspZ0PdRE3M3I0QWvb8MmcycGISaQJoerug8zfpIXU9p5Dx29FqQ==" saltValue="cFsQlsQWnRL0VCoyebsgP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z9Z8DVyTzuMTK23f36a1jFCOm7vt+XsWrW+cEmwkkICIej+x+Z/a4c6XHGjayiJcpIgMWuHfq/Mb4WTBQrd8A==" saltValue="VMZikzajebppw4Rtw/7r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BJbpiuklnvmb0MKP/IwAa8SMkPig+EOGjXP+G6SCt7hELiSaHeRP6J+pkUgnMh8lbsdnmlvVuNeKY1Zrh7a6DA==" saltValue="LwTZjKS8AXW0v025G7VA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q/qBVesGdhFd66ZBC88y35dZrYodaHB2YljvSoNeMOfu/TmxCikG0kKrmM0U0qWSlgpcra5vj6aWv79FWcPEQ==" saltValue="i6frxAPSh8BpV+0qs7Wg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ASFNVMFpxtZ0sL/2ZmmIi+kT8aHXXTy1lQI0WNqoOkq/RF0MtAO39rYC0AENQyefjEeRtgvQ4kHuB8Mo+OLRg==" saltValue="mTxp+iOL+PqpqhP61ykp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0VCaT/f1QqkXrCbXvKOptvibS4Q8KYCHam3oZ5FR/ibuDk8GYAsCWJpvwJFuRbOesAeYELkfo0w6WuLwQh9y8A==" saltValue="etbLmxgmrLQPIEoZ5uUp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nKKrUk0Y8ysxHg/cOhhfVWQbTjHG7kU9B3JPHWOjk1c0mYcj9PD6j1JXEeHHIAPKntd4CH3cxmjt6E6aWlWMw==" saltValue="MxBpONx/iqk8nbkrO0Y6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xIp/2wDIiSi2BQFEU+qZlQmJ0KhsLbjsNNzvEYry1Mdw0VyQfgTrRg1iDdBmPUNVbOhcDbUlDEKyxbypQ8MwA==" saltValue="d8gLUba7wBgM1ygc3yS9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f5yFNHMX9lrQQ95PCdVjxLBh8S6E8ch9iwipM+vEKSpPhnQoqXeE3jbpIj+3AQVIsD4zG9zsPwJswUcLFZB68A==" saltValue="DR9g0uiszFKShW2rhnSLZ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2026-04-29T07:49:33Z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