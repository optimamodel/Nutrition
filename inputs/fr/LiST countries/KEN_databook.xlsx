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196F364-15A0-4823-81DB-7802F6DF1DB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A34" i="2"/>
  <c r="A35" i="2"/>
  <c r="A36" i="2"/>
  <c r="I38" i="2"/>
  <c r="I3" i="2"/>
  <c r="I9" i="2"/>
  <c r="A23" i="2"/>
  <c r="I7" i="2"/>
  <c r="A37" i="2"/>
  <c r="A22" i="2"/>
  <c r="A24" i="2"/>
  <c r="A40" i="2"/>
  <c r="A25" i="2"/>
  <c r="A26" i="2"/>
  <c r="I13" i="2"/>
  <c r="A19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<sst xmlns="http://schemas.openxmlformats.org/spreadsheetml/2006/main" count="2169" uniqueCount="369">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</sst>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7124535.5</v>
      </c>
    </row>
    <row r="8" spans="1:3" ht="15" customHeight="1" x14ac:dyDescent="0.25">
      <c r="B8" s="5" t="s">
        <v>37</v>
      </c>
      <c r="C8" s="44">
        <v>0.36099999999999999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0.1066</v>
      </c>
    </row>
    <row r="24" spans="1:3" ht="15" customHeight="1" x14ac:dyDescent="0.25">
      <c r="B24" s="15" t="s">
        <v>51</v>
      </c>
      <c r="C24" s="45">
        <v>0.50460000000000005</v>
      </c>
    </row>
    <row r="25" spans="1:3" ht="15" customHeight="1" x14ac:dyDescent="0.25">
      <c r="B25" s="15" t="s">
        <v>52</v>
      </c>
      <c r="C25" s="45">
        <v>0.30659999999999998</v>
      </c>
    </row>
    <row r="26" spans="1:3" ht="15" customHeight="1" x14ac:dyDescent="0.25">
      <c r="B26" s="15" t="s">
        <v>53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0.30343875405119197</v>
      </c>
    </row>
    <row r="30" spans="1:3" ht="14.25" customHeight="1" x14ac:dyDescent="0.25">
      <c r="B30" s="25" t="s">
        <v>56</v>
      </c>
      <c r="C30" s="97">
        <v>4.7279900721229402E-2</v>
      </c>
    </row>
    <row r="31" spans="1:3" ht="14.25" customHeight="1" x14ac:dyDescent="0.25">
      <c r="B31" s="25" t="s">
        <v>57</v>
      </c>
      <c r="C31" s="97">
        <v>7.19970607137842E-2</v>
      </c>
    </row>
    <row r="32" spans="1:3" ht="14.25" customHeight="1" x14ac:dyDescent="0.25">
      <c r="B32" s="25" t="s">
        <v>58</v>
      </c>
      <c r="C32" s="97">
        <v>0.57728428451379499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18.424029999999998</v>
      </c>
    </row>
    <row r="38" spans="1:5" ht="15" customHeight="1" x14ac:dyDescent="0.25">
      <c r="B38" s="11" t="s">
        <v>63</v>
      </c>
      <c r="C38" s="43">
        <v>27.988019999999999</v>
      </c>
      <c r="D38" s="12"/>
      <c r="E38" s="13"/>
    </row>
    <row r="39" spans="1:5" ht="15" customHeight="1" x14ac:dyDescent="0.25">
      <c r="B39" s="11" t="s">
        <v>64</v>
      </c>
      <c r="C39" s="43">
        <v>37.152619999999999</v>
      </c>
      <c r="D39" s="12"/>
      <c r="E39" s="12"/>
    </row>
    <row r="40" spans="1:5" ht="15" customHeight="1" x14ac:dyDescent="0.25">
      <c r="B40" s="11" t="s">
        <v>65</v>
      </c>
      <c r="C40" s="98">
        <v>5.3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71</v>
      </c>
      <c r="C47" s="45">
        <v>7.3910099999999992E-2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3.665999999999999</v>
      </c>
      <c r="D51" s="12"/>
    </row>
    <row r="52" spans="1:4" ht="15" customHeight="1" x14ac:dyDescent="0.25">
      <c r="B52" s="11" t="s">
        <v>75</v>
      </c>
      <c r="C52" s="98">
        <v>3.665999999999999</v>
      </c>
    </row>
    <row r="53" spans="1:4" ht="15.75" customHeight="1" x14ac:dyDescent="0.25">
      <c r="B53" s="11" t="s">
        <v>76</v>
      </c>
      <c r="C53" s="98">
        <v>5.98</v>
      </c>
    </row>
    <row r="54" spans="1:4" ht="15.75" customHeight="1" x14ac:dyDescent="0.25">
      <c r="B54" s="11" t="s">
        <v>77</v>
      </c>
      <c r="C54" s="98">
        <v>6.0839999999999996</v>
      </c>
    </row>
    <row r="55" spans="1:4" ht="15.75" customHeight="1" x14ac:dyDescent="0.25">
      <c r="B55" s="11" t="s">
        <v>78</v>
      </c>
      <c r="C55" s="98">
        <v>2.5393333333333339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0.43021899999999991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48os/CM3Kty48y0Df46Xg3pwsjckRU0FlN6QEG9dZvd6578uaW40DX4Omb+2YMZIrtFXVGJbo0W2FFf7r+t8xg==" saltValue="SyJ7fryCn55LDUBLEeMs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1521907</v>
      </c>
      <c r="C2" s="49">
        <v>3248339.5</v>
      </c>
      <c r="D2" s="49">
        <v>5224492</v>
      </c>
      <c r="E2" s="49">
        <v>3859963</v>
      </c>
      <c r="F2" s="49">
        <v>2574917.5</v>
      </c>
      <c r="G2" s="17">
        <f t="shared" ref="G2:G13" si="0">C2+D2+E2+F2</f>
        <v>14907712</v>
      </c>
      <c r="H2" s="17">
        <f t="shared" ref="H2:H13" si="1">(B2 + stillbirth*B2/(1000-stillbirth))/(1-abortion)</f>
        <v>1762088.7935261128</v>
      </c>
      <c r="I2" s="17">
        <f t="shared" ref="I2:I13" si="2">G2-H2</f>
        <v>13145623.206473887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1540813</v>
      </c>
      <c r="C3" s="50">
        <v>3314668</v>
      </c>
      <c r="D3" s="50">
        <v>5372289.0000000009</v>
      </c>
      <c r="E3" s="50">
        <v>3961625.5</v>
      </c>
      <c r="F3" s="50">
        <v>2671537.5</v>
      </c>
      <c r="G3" s="17">
        <f t="shared" si="0"/>
        <v>15320120</v>
      </c>
      <c r="H3" s="17">
        <f t="shared" si="1"/>
        <v>1783978.4692621497</v>
      </c>
      <c r="I3" s="17">
        <f t="shared" si="2"/>
        <v>13536141.530737851</v>
      </c>
    </row>
    <row r="4" spans="1:9" ht="15.75" customHeight="1" x14ac:dyDescent="0.25">
      <c r="A4" s="5">
        <f t="shared" si="3"/>
        <v>2026</v>
      </c>
      <c r="B4" s="49">
        <v>1558303</v>
      </c>
      <c r="C4" s="50">
        <v>3364487.5</v>
      </c>
      <c r="D4" s="50">
        <v>5520683.5</v>
      </c>
      <c r="E4" s="50">
        <v>4063086.5</v>
      </c>
      <c r="F4" s="50">
        <v>2773131.5</v>
      </c>
      <c r="G4" s="17">
        <f t="shared" si="0"/>
        <v>15721389</v>
      </c>
      <c r="H4" s="17">
        <f t="shared" si="1"/>
        <v>1804228.6770598479</v>
      </c>
      <c r="I4" s="17">
        <f t="shared" si="2"/>
        <v>13917160.322940152</v>
      </c>
    </row>
    <row r="5" spans="1:9" ht="15.75" customHeight="1" x14ac:dyDescent="0.25">
      <c r="A5" s="5">
        <f t="shared" si="3"/>
        <v>2027</v>
      </c>
      <c r="B5" s="49">
        <v>1576718</v>
      </c>
      <c r="C5" s="50">
        <v>3391085</v>
      </c>
      <c r="D5" s="50">
        <v>5671576.5</v>
      </c>
      <c r="E5" s="50">
        <v>4164026.5</v>
      </c>
      <c r="F5" s="50">
        <v>2879765.5</v>
      </c>
      <c r="G5" s="17">
        <f t="shared" si="0"/>
        <v>16106453.5</v>
      </c>
      <c r="H5" s="17">
        <f t="shared" si="1"/>
        <v>1825549.8649726333</v>
      </c>
      <c r="I5" s="17">
        <f t="shared" si="2"/>
        <v>14280903.635027368</v>
      </c>
    </row>
    <row r="6" spans="1:9" ht="15.75" customHeight="1" x14ac:dyDescent="0.25">
      <c r="A6" s="5">
        <f t="shared" si="3"/>
        <v>2028</v>
      </c>
      <c r="B6" s="49">
        <v>1594190</v>
      </c>
      <c r="C6" s="50">
        <v>3394249</v>
      </c>
      <c r="D6" s="50">
        <v>5821819.5</v>
      </c>
      <c r="E6" s="50">
        <v>4267891.5</v>
      </c>
      <c r="F6" s="50">
        <v>2989620.5</v>
      </c>
      <c r="G6" s="17">
        <f t="shared" si="0"/>
        <v>16473580.5</v>
      </c>
      <c r="H6" s="17">
        <f t="shared" si="1"/>
        <v>1845779.2320762002</v>
      </c>
      <c r="I6" s="17">
        <f t="shared" si="2"/>
        <v>14627801.2679238</v>
      </c>
    </row>
    <row r="7" spans="1:9" ht="15.75" customHeight="1" x14ac:dyDescent="0.25">
      <c r="A7" s="5">
        <f t="shared" si="3"/>
        <v>2029</v>
      </c>
      <c r="B7" s="49">
        <v>1610345</v>
      </c>
      <c r="C7" s="50">
        <v>3381382.5</v>
      </c>
      <c r="D7" s="50">
        <v>5967599.5</v>
      </c>
      <c r="E7" s="50">
        <v>4375431.0000000009</v>
      </c>
      <c r="F7" s="50">
        <v>3100712.5</v>
      </c>
      <c r="G7" s="17">
        <f t="shared" si="0"/>
        <v>16825125.5</v>
      </c>
      <c r="H7" s="17">
        <f t="shared" si="1"/>
        <v>1864483.7550591514</v>
      </c>
      <c r="I7" s="17">
        <f t="shared" si="2"/>
        <v>14960641.744940849</v>
      </c>
    </row>
    <row r="8" spans="1:9" ht="15.75" customHeight="1" x14ac:dyDescent="0.25">
      <c r="A8" s="5">
        <f t="shared" si="3"/>
        <v>2030</v>
      </c>
      <c r="B8" s="49">
        <v>1625043</v>
      </c>
      <c r="C8" s="50">
        <v>3363157.5</v>
      </c>
      <c r="D8" s="50">
        <v>6104579.5</v>
      </c>
      <c r="E8" s="50">
        <v>4487807.5000000009</v>
      </c>
      <c r="F8" s="50">
        <v>3211444.5</v>
      </c>
      <c r="G8" s="17">
        <f t="shared" si="0"/>
        <v>17166989</v>
      </c>
      <c r="H8" s="17">
        <f t="shared" si="1"/>
        <v>1881501.339633798</v>
      </c>
      <c r="I8" s="17">
        <f t="shared" si="2"/>
        <v>15285487.660366202</v>
      </c>
    </row>
    <row r="9" spans="1:9" ht="15.75" customHeight="1" x14ac:dyDescent="0.25">
      <c r="A9" s="5">
        <f t="shared" si="3"/>
        <v>2031</v>
      </c>
      <c r="B9" s="49">
        <v>1639893</v>
      </c>
      <c r="C9" s="50">
        <v>3347784.5</v>
      </c>
      <c r="D9" s="50">
        <v>6224131.4999999991</v>
      </c>
      <c r="E9" s="50">
        <v>4608776.5</v>
      </c>
      <c r="F9" s="50">
        <v>3319238.5</v>
      </c>
      <c r="G9" s="17">
        <f t="shared" si="0"/>
        <v>17499931</v>
      </c>
      <c r="H9" s="17">
        <f t="shared" si="1"/>
        <v>1898694.9122922211</v>
      </c>
      <c r="I9" s="17">
        <f t="shared" si="2"/>
        <v>15601236.087707778</v>
      </c>
    </row>
    <row r="10" spans="1:9" ht="15.75" customHeight="1" x14ac:dyDescent="0.25">
      <c r="A10" s="5">
        <f t="shared" si="3"/>
        <v>2032</v>
      </c>
      <c r="B10" s="49">
        <v>1649800</v>
      </c>
      <c r="C10" s="50">
        <v>3339685.5</v>
      </c>
      <c r="D10" s="50">
        <v>6321260.5</v>
      </c>
      <c r="E10" s="50">
        <v>4738486.5</v>
      </c>
      <c r="F10" s="50">
        <v>3422878.5</v>
      </c>
      <c r="G10" s="17">
        <f t="shared" si="0"/>
        <v>17822311</v>
      </c>
      <c r="H10" s="17">
        <f t="shared" si="1"/>
        <v>1910165.3987788879</v>
      </c>
      <c r="I10" s="17">
        <f t="shared" si="2"/>
        <v>15912145.601221113</v>
      </c>
    </row>
    <row r="11" spans="1:9" ht="15.75" customHeight="1" x14ac:dyDescent="0.25">
      <c r="A11" s="5">
        <f t="shared" si="3"/>
        <v>2033</v>
      </c>
      <c r="B11" s="49">
        <v>1656462</v>
      </c>
      <c r="C11" s="50">
        <v>3341159.5</v>
      </c>
      <c r="D11" s="50">
        <v>6397238</v>
      </c>
      <c r="E11" s="50">
        <v>4873762.5000000009</v>
      </c>
      <c r="F11" s="50">
        <v>3523388.5</v>
      </c>
      <c r="G11" s="17">
        <f t="shared" si="0"/>
        <v>18135548.5</v>
      </c>
      <c r="H11" s="17">
        <f t="shared" si="1"/>
        <v>1917878.771240195</v>
      </c>
      <c r="I11" s="17">
        <f t="shared" si="2"/>
        <v>16217669.728759805</v>
      </c>
    </row>
    <row r="12" spans="1:9" ht="15.75" customHeight="1" x14ac:dyDescent="0.25">
      <c r="A12" s="5">
        <f t="shared" si="3"/>
        <v>2034</v>
      </c>
      <c r="B12" s="49">
        <v>1661013</v>
      </c>
      <c r="C12" s="50">
        <v>3347592.5</v>
      </c>
      <c r="D12" s="50">
        <v>6455599</v>
      </c>
      <c r="E12" s="50">
        <v>5012556.0000000009</v>
      </c>
      <c r="F12" s="50">
        <v>3621068.5</v>
      </c>
      <c r="G12" s="17">
        <f t="shared" si="0"/>
        <v>18436816</v>
      </c>
      <c r="H12" s="17">
        <f t="shared" si="1"/>
        <v>1923147.9934064229</v>
      </c>
      <c r="I12" s="17">
        <f t="shared" si="2"/>
        <v>16513668.006593578</v>
      </c>
    </row>
    <row r="13" spans="1:9" ht="15.75" customHeight="1" x14ac:dyDescent="0.25">
      <c r="A13" s="5">
        <f t="shared" si="3"/>
        <v>2035</v>
      </c>
      <c r="B13" s="49">
        <v>1663820</v>
      </c>
      <c r="C13" s="50">
        <v>3354577</v>
      </c>
      <c r="D13" s="50">
        <v>6500344.4999999991</v>
      </c>
      <c r="E13" s="50">
        <v>5153342.0000000009</v>
      </c>
      <c r="F13" s="50">
        <v>3717822.5</v>
      </c>
      <c r="G13" s="17">
        <f t="shared" si="0"/>
        <v>18726086</v>
      </c>
      <c r="H13" s="17">
        <f t="shared" si="1"/>
        <v>1926397.9838745843</v>
      </c>
      <c r="I13" s="17">
        <f t="shared" si="2"/>
        <v>16799688.016125415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w0jO+oPfhfTexQtohtSSI9au3i8UtKZXJpY67Q/Srm7MCzGcBGcBs2rV0HymVRFSngPOquoM4O6ndWtfgrkSg==" saltValue="e0A9Do35GDf6wJVWEmdt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9.7482000000000072E-3</v>
      </c>
    </row>
    <row r="4" spans="1:8" ht="15.75" customHeight="1" x14ac:dyDescent="0.25">
      <c r="B4" s="19" t="s">
        <v>97</v>
      </c>
      <c r="C4" s="99">
        <v>5.9363900000000122E-2</v>
      </c>
    </row>
    <row r="5" spans="1:8" ht="15.75" customHeight="1" x14ac:dyDescent="0.25">
      <c r="B5" s="19" t="s">
        <v>98</v>
      </c>
      <c r="C5" s="99">
        <v>9.016319999999993E-2</v>
      </c>
    </row>
    <row r="6" spans="1:8" ht="15.75" customHeight="1" x14ac:dyDescent="0.25">
      <c r="B6" s="19" t="s">
        <v>99</v>
      </c>
      <c r="C6" s="99">
        <v>0.25618139999999923</v>
      </c>
    </row>
    <row r="7" spans="1:8" ht="15.75" customHeight="1" x14ac:dyDescent="0.25">
      <c r="B7" s="19" t="s">
        <v>100</v>
      </c>
      <c r="C7" s="99">
        <v>0.39435000000000081</v>
      </c>
    </row>
    <row r="8" spans="1:8" ht="15.75" customHeight="1" x14ac:dyDescent="0.25">
      <c r="B8" s="19" t="s">
        <v>101</v>
      </c>
      <c r="C8" s="99">
        <v>1.5295E-3</v>
      </c>
    </row>
    <row r="9" spans="1:8" ht="15.75" customHeight="1" x14ac:dyDescent="0.25">
      <c r="B9" s="19" t="s">
        <v>102</v>
      </c>
      <c r="C9" s="99">
        <v>6.629260000000009E-2</v>
      </c>
    </row>
    <row r="10" spans="1:8" ht="15.75" customHeight="1" x14ac:dyDescent="0.25">
      <c r="B10" s="19" t="s">
        <v>103</v>
      </c>
      <c r="C10" s="99">
        <v>0.1223712000000001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106</v>
      </c>
      <c r="C15" s="99">
        <v>0.2061607365318871</v>
      </c>
      <c r="D15" s="99">
        <v>0.2061607365318871</v>
      </c>
      <c r="E15" s="99">
        <v>0.2061607365318871</v>
      </c>
      <c r="F15" s="99">
        <v>0.2061607365318871</v>
      </c>
    </row>
    <row r="16" spans="1:8" ht="15.75" customHeight="1" x14ac:dyDescent="0.25">
      <c r="B16" s="19" t="s">
        <v>107</v>
      </c>
      <c r="C16" s="99">
        <v>2.5591654252644511E-2</v>
      </c>
      <c r="D16" s="99">
        <v>2.5591654252644511E-2</v>
      </c>
      <c r="E16" s="99">
        <v>2.5591654252644511E-2</v>
      </c>
      <c r="F16" s="99">
        <v>2.5591654252644511E-2</v>
      </c>
    </row>
    <row r="17" spans="1:8" ht="15.75" customHeight="1" x14ac:dyDescent="0.25">
      <c r="B17" s="19" t="s">
        <v>108</v>
      </c>
      <c r="C17" s="99">
        <v>3.1951908863967829E-3</v>
      </c>
      <c r="D17" s="99">
        <v>3.1951908863967829E-3</v>
      </c>
      <c r="E17" s="99">
        <v>3.1951908863967829E-3</v>
      </c>
      <c r="F17" s="99">
        <v>3.1951908863967829E-3</v>
      </c>
    </row>
    <row r="18" spans="1:8" ht="15.75" customHeight="1" x14ac:dyDescent="0.25">
      <c r="B18" s="19" t="s">
        <v>109</v>
      </c>
      <c r="C18" s="99">
        <v>0.1190673350883891</v>
      </c>
      <c r="D18" s="99">
        <v>0.1190673350883891</v>
      </c>
      <c r="E18" s="99">
        <v>0.1190673350883891</v>
      </c>
      <c r="F18" s="99">
        <v>0.1190673350883891</v>
      </c>
    </row>
    <row r="19" spans="1:8" ht="15.75" customHeight="1" x14ac:dyDescent="0.25">
      <c r="B19" s="19" t="s">
        <v>110</v>
      </c>
      <c r="C19" s="99">
        <v>5.1494508389113812E-2</v>
      </c>
      <c r="D19" s="99">
        <v>5.1494508389113812E-2</v>
      </c>
      <c r="E19" s="99">
        <v>5.1494508389113812E-2</v>
      </c>
      <c r="F19" s="99">
        <v>5.1494508389113812E-2</v>
      </c>
    </row>
    <row r="20" spans="1:8" ht="15.75" customHeight="1" x14ac:dyDescent="0.25">
      <c r="B20" s="19" t="s">
        <v>111</v>
      </c>
      <c r="C20" s="99">
        <v>0.1285073777794245</v>
      </c>
      <c r="D20" s="99">
        <v>0.1285073777794245</v>
      </c>
      <c r="E20" s="99">
        <v>0.1285073777794245</v>
      </c>
      <c r="F20" s="99">
        <v>0.1285073777794245</v>
      </c>
    </row>
    <row r="21" spans="1:8" ht="15.75" customHeight="1" x14ac:dyDescent="0.25">
      <c r="B21" s="19" t="s">
        <v>112</v>
      </c>
      <c r="C21" s="99">
        <v>0.1293290571101246</v>
      </c>
      <c r="D21" s="99">
        <v>0.1293290571101246</v>
      </c>
      <c r="E21" s="99">
        <v>0.1293290571101246</v>
      </c>
      <c r="F21" s="99">
        <v>0.1293290571101246</v>
      </c>
    </row>
    <row r="22" spans="1:8" ht="15.75" customHeight="1" x14ac:dyDescent="0.25">
      <c r="B22" s="19" t="s">
        <v>113</v>
      </c>
      <c r="C22" s="99">
        <v>0.18205809441130791</v>
      </c>
      <c r="D22" s="99">
        <v>0.18205809441130791</v>
      </c>
      <c r="E22" s="99">
        <v>0.18205809441130791</v>
      </c>
      <c r="F22" s="99">
        <v>0.18205809441130791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8.4525216000000014E-2</v>
      </c>
    </row>
    <row r="27" spans="1:8" ht="15.75" customHeight="1" x14ac:dyDescent="0.25">
      <c r="B27" s="19" t="s">
        <v>120</v>
      </c>
      <c r="C27" s="99">
        <v>7.9220290000000006E-3</v>
      </c>
    </row>
    <row r="28" spans="1:8" ht="15.75" customHeight="1" x14ac:dyDescent="0.25">
      <c r="B28" s="19" t="s">
        <v>121</v>
      </c>
      <c r="C28" s="99">
        <v>0.14742909900000001</v>
      </c>
    </row>
    <row r="29" spans="1:8" ht="15.75" customHeight="1" x14ac:dyDescent="0.25">
      <c r="B29" s="19" t="s">
        <v>122</v>
      </c>
      <c r="C29" s="99">
        <v>0.16178519199999999</v>
      </c>
    </row>
    <row r="30" spans="1:8" ht="15.75" customHeight="1" x14ac:dyDescent="0.25">
      <c r="B30" s="19" t="s">
        <v>2</v>
      </c>
      <c r="C30" s="99">
        <v>9.954296E-2</v>
      </c>
    </row>
    <row r="31" spans="1:8" ht="15.75" customHeight="1" x14ac:dyDescent="0.25">
      <c r="B31" s="19" t="s">
        <v>123</v>
      </c>
      <c r="C31" s="99">
        <v>0.105429782</v>
      </c>
    </row>
    <row r="32" spans="1:8" ht="15.75" customHeight="1" x14ac:dyDescent="0.25">
      <c r="B32" s="19" t="s">
        <v>124</v>
      </c>
      <c r="C32" s="99">
        <v>1.8078941000000001E-2</v>
      </c>
    </row>
    <row r="33" spans="2:3" ht="15.75" customHeight="1" x14ac:dyDescent="0.25">
      <c r="B33" s="19" t="s">
        <v>125</v>
      </c>
      <c r="C33" s="99">
        <v>8.1120976999999997E-2</v>
      </c>
    </row>
    <row r="34" spans="2:3" ht="15.75" customHeight="1" x14ac:dyDescent="0.25">
      <c r="B34" s="19" t="s">
        <v>126</v>
      </c>
      <c r="C34" s="99">
        <v>0.29416580399999998</v>
      </c>
    </row>
    <row r="35" spans="2:3" ht="15.75" customHeight="1" x14ac:dyDescent="0.25">
      <c r="B35" s="27" t="s">
        <v>59</v>
      </c>
      <c r="C35" s="48">
        <f>SUM(C26:C34)</f>
        <v>0.99999999999999978</v>
      </c>
    </row>
  </sheetData>
  <sheetProtection algorithmName="SHA-512" hashValue="ncYqTwbxbhaCbHwfBte/+DotTqOAeqcOWw/LhM3lzzAm1xWrF/t+tzvU1rmYFGiJZ8IOvkuK4ZV63ckIKdYM/Q==" saltValue="PWLyIDhJpJIjXSyArJaf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132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133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137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uSuM8B5bpZh1GgGhN4dqwhBv3uFFyVgu2VNVsLSzvykzXmDPX3VJr39MWPg9R/kZwxVyMI5SizuJiTQhN0LgQ==" saltValue="vD0psXgAH1i3MZFRz3qt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KppFn061fZzYSzphWti70oQrsNZ2l6jcgTYIMeQtL+J/ECZi8BEATqJWyLRtdtjjNMI/8AZdZMnqGZG+LHvItw==" saltValue="A0n8OeJUmv51D5KKIv10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LytKqr62BNIwTJHE8Jvs3AWxDyutGQbXczAi2zKkTV3Dq5Q6RVci1gTNk3ThoJtFDYYvczmOb7Cm0iqh8/a6w==" saltValue="PnLhApmg2/nzaTcDta0Y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2099.30193826696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0.36021000000000003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0.72526999999999997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1.6066930992886919E-2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95575.509439999994</v>
      </c>
      <c r="C22" s="107">
        <v>95066.594159999993</v>
      </c>
      <c r="D22" s="107">
        <v>94632.229330000002</v>
      </c>
      <c r="E22" s="107">
        <v>94009.431419999994</v>
      </c>
      <c r="F22" s="107">
        <v>93194.023319999993</v>
      </c>
      <c r="G22" s="107">
        <v>92146.770839999997</v>
      </c>
      <c r="H22" s="107">
        <v>90660.450970000005</v>
      </c>
      <c r="I22" s="107">
        <v>88492.479059999998</v>
      </c>
      <c r="J22" s="107">
        <v>85482.7837</v>
      </c>
      <c r="K22" s="107">
        <v>81567.354089999993</v>
      </c>
      <c r="L22" s="107">
        <v>76717.922049999994</v>
      </c>
      <c r="M22" s="107">
        <v>70883.406140000006</v>
      </c>
      <c r="N22" s="107">
        <v>63495.244229999997</v>
      </c>
      <c r="O22" s="107">
        <v>54339.825230000002</v>
      </c>
    </row>
  </sheetData>
  <sheetProtection algorithmName="SHA-512" hashValue="LglJmegkF41Fd7Wgc9fYxDHqMaF590fPcCSGkFh5skyMsT+xXokdx9EMisdrH4KQAmG2xO5LhL/wUtA/wX7m3Q==" saltValue="GyaVjNKBoMlXcja13/AU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pljHthDusCFBrbHQ5xH282hVtJ9ftlF7Lv0gHHYj4U0xSCq+GQph9l2wO9ErhOeUdp8tRFsmaeE3NcK4V1Uag==" saltValue="dV1h0a9dn36okx/pab5L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Htk61SyIMdfmD8GuJp1r1WpYXrxF21U4XBIJwlDe5ViqZ6XYgv4u6uWImkr39lEIdXHk9/fYn4AVKfmMEyKYg==" saltValue="BozQPmkp9cWYVw6LlKBs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8.76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0.55150520000000003</v>
      </c>
      <c r="C10" s="96">
        <v>0.95</v>
      </c>
      <c r="D10" s="56">
        <v>13.605540133497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13.605540133497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13.605540133497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13.605540133497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2.8691959662033248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13.605540133497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0.44609280000000001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0.27808333333333302</v>
      </c>
      <c r="C17" s="96">
        <v>0.95</v>
      </c>
      <c r="D17" s="56">
        <v>3.1738893431452713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0.55200000000000005</v>
      </c>
      <c r="C18" s="96">
        <v>0.95</v>
      </c>
      <c r="D18" s="56">
        <v>8.7599345870809486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0.77429159999999997</v>
      </c>
      <c r="C19" s="96">
        <v>0.95</v>
      </c>
      <c r="D19" s="56">
        <v>3.4360491508281288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8.76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0.53746989999999994</v>
      </c>
      <c r="C23" s="96">
        <v>0.95</v>
      </c>
      <c r="D23" s="56">
        <v>4.5021845672301692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0.85640179061796795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0.13600000000000001</v>
      </c>
      <c r="C26" s="96">
        <v>0.95</v>
      </c>
      <c r="D26" s="56">
        <v>2.5391114745162171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0.48293360000000002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0.1904276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7.2099999999999997E-2</v>
      </c>
      <c r="C31" s="96">
        <v>0.95</v>
      </c>
      <c r="D31" s="56">
        <v>105.77938402834559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0.63600000000000001</v>
      </c>
      <c r="C32" s="96">
        <v>0.95</v>
      </c>
      <c r="D32" s="56">
        <v>0.71514841351074721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0.3759924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0.62608180000000002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1.1372200000000001E-2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0.33177259999999997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0.316</v>
      </c>
      <c r="C38" s="96">
        <v>0.95</v>
      </c>
      <c r="D38" s="56">
        <v>1.7012046879258655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24H29q1VvAoxpzoT44Rg3CzTXVoHkz71ePq+zDEsd3ZCMlhp30IV6otJzn0+ChpIN6iLdcki1rQv/jpEmvKGqA==" saltValue="U5R36yJ5vuUyU5QKx/MH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ry+txvhNUHzSRPtwmnsIn5WXEo9r7pZw7xXPbw2ahCoN4HtUgSQjmRFKqiGM0chlWAWJprlT4mFlmIJtA48Jg==" saltValue="zAFFQWsg1htfQffQoMwu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8a1YsTj2Amd7JE63zBz/wMllSh0UwdorqAc4FXoStqr2M+pCoQ4CJIQYg5SIoPw8n9mtH8HJq6vx11eB05Lx5g==" saltValue="fPdU1I0x/B/iJ4Ia6R1d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3.665999999999999</v>
      </c>
      <c r="C2" s="21">
        <f>'Données pop de l''année de ref'!C52</f>
        <v>3.665999999999999</v>
      </c>
      <c r="D2" s="21">
        <f>'Données pop de l''année de ref'!C53</f>
        <v>5.98</v>
      </c>
      <c r="E2" s="21">
        <f>'Données pop de l''année de ref'!C54</f>
        <v>6.0839999999999996</v>
      </c>
      <c r="F2" s="21">
        <f>'Données pop de l''année de ref'!C55</f>
        <v>2.5393333333333339</v>
      </c>
    </row>
    <row r="3" spans="1:6" ht="15.75" customHeight="1" x14ac:dyDescent="0.25">
      <c r="A3" s="3" t="s">
        <v>238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237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PxwEjdwui+BPppZUueeIp5bTDJ/SSVG3hG3NPoGGB5T3zKUfbMVRMx/vGjZawpMQHcHcXbSrwJIvcloRrvR4zw==" saltValue="9JGck5Vq2HguBRT2hnyV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oSZvj+W7lfDzsz/f5Zj8npS9mtXSuAzp/tROZXQgFCfhsqy9eh4gxs/nW35J0v7agLYiPrASqD4BowNg/XDoQ==" saltValue="GNlOE+LCRz4L2UjiylNr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QMyjD0SAtF+rZQ+R6c56/3qoZx7DSAHbkySSdTGkKdBQfAYCvnDBaO9UIqeKVTzVl+nMgJD40pjqhZLOr3LrA==" saltValue="v/Y5g+HEoetBMyGj0pbl0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C7dTyUkOrST3wTIY1uVocIElRYR/zO3Qcuh6GHeMFcbJX457ZKvSq4y6QMB1lW2cpjglZZan31/3dmPqNYR6g==" saltValue="vecXDe8CWArqnMNTw8Zp1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Cwh8M8HF6T+xiArRibj3b/VdCzpJK4iiCwiPprs3ji5MzzPzX0zTWpiVWwI/9Q3LrDKv5ei11++ztEcGr9k/A==" saltValue="B7h0yG76mhCb178kEa9j4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n0NXMud92GHEBnwMnFSdU4iX3ZBi3FarumwvcOJH6AGM3iUY4IYvlHqKoFK2tnpNawrdBKrs1H3m27s71LJ3g==" saltValue="Hg1TOGYo69QSb+T3IdPJ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whuAfkqA1bK/uklj6lkQ7o+6CvVSvfP+WaePNVaDir7NPzSooYruzXERfuiSH7ldP45/sSuqg1dqUXML74AxA==" saltValue="etICNg3/7XNn7K86A/tL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HYnojLZPUqUNxPTvGB5otUebKzSTC8ZP8dxLlxQjU+zJNEMA7N3OvTUE/sjxlB/ZipJfgGfqz0eymdvhUKicA==" saltValue="Dm2YtEh4loyHA7s2w3TMw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Wft1aE1bsdQh5HrwtDYeSUxOsfcotTl+qL3dEQAHSoRdCgxtkSIwx4PBV6hHYOyG6WmJJANvLkdxwg3JcE8JQ==" saltValue="tBlGmaRIg+NE+l1oUIU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4E+mhDVvreMrFRBd8veD/+R55bmUcfYbrK/hfrzUCkUrIhEMvk1sdHLJiMw77dGmZtzrRMyYYDswecEvNyVPQ==" saltValue="x/vizg1LZ2GkGcfN1OFX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KPK4ztHwSV/bl7iOx/ugXWo1lX/+lUPtwpU7JWGmwmmC2NjwoCeYZlxeGkeoWf+GJN7ykBHp6PCP+6S3/KItQ==" saltValue="ETP2sNqjJ+3T6pHEe4aq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G71S4EtCNbMhWM8fPHnXpILKbEkI36eCDk5OU3CGjIpDcwv157wdkPdz5QIcdCKfZoyJEbGVREJzbofNt2HdA==" saltValue="4CM9wWaNIeaPrUNrccER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+aJFOUypZTAa+PbrAQOK9xJ7BsTGAGUb4h8C7tlPHChFJClaPne8yyhRr5I3AyOViGakacQHd2FAM4wICcAeQ==" saltValue="GBXYjqtupjvmdVLSUZwI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2/Z/xTfA05C5hBM9GmURpHsu5PEFxpcmvPeW76OdLJH1ZGyGYb7mApMItCxVvT8HGoXBrKa4tRrJO0dVCUICA==" saltValue="A6rIPqeaYi9V7QZdFX7c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XEF0UgC/nDBLeZFHdbL+kxBW2Fx3gy7KQvrj5mXkwSKF+QhSFBWk47xp0DJDdcSGMWanlEoRYrgVaMPRZ2Kuw==" saltValue="x4K6OLXKykdHf5psMMr6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SMX9rGyz6xH58kr9bTLgF3OstoH7VExZEFrw4uhOwu7YI09HUfUzQ1hlGgtbkfuKSIiWSCbODb2j6y9MMPBfw==" saltValue="oVfyMHInBqUXkoVLXA1s8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