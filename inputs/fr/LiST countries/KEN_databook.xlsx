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D54CA573-429B-4257-AED7-3B90CA96A7B6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<sst xmlns="http://schemas.openxmlformats.org/spreadsheetml/2006/main" count="2102" uniqueCount="337">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</sst>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7196438.375</v>
      </c>
    </row>
    <row r="8" spans="1:3" ht="15" customHeight="1" x14ac:dyDescent="0.25">
      <c r="B8" s="5" t="s">
        <v>19</v>
      </c>
      <c r="C8" s="44">
        <v>0.36799999999999999</v>
      </c>
    </row>
    <row r="9" spans="1:3" ht="15" customHeight="1" x14ac:dyDescent="0.25">
      <c r="B9" s="5" t="s">
        <v>20</v>
      </c>
      <c r="C9" s="45">
        <v>0.21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0.224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0.1066</v>
      </c>
    </row>
    <row r="24" spans="1:3" ht="15" customHeight="1" x14ac:dyDescent="0.25">
      <c r="B24" s="15" t="s">
        <v>33</v>
      </c>
      <c r="C24" s="45">
        <v>0.50460000000000005</v>
      </c>
    </row>
    <row r="25" spans="1:3" ht="15" customHeight="1" x14ac:dyDescent="0.25">
      <c r="B25" s="15" t="s">
        <v>34</v>
      </c>
      <c r="C25" s="45">
        <v>0.30659999999999998</v>
      </c>
    </row>
    <row r="26" spans="1:3" ht="15" customHeight="1" x14ac:dyDescent="0.25">
      <c r="B26" s="15" t="s">
        <v>35</v>
      </c>
      <c r="C26" s="45">
        <v>8.2200000000000009E-2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0.30343875405119197</v>
      </c>
    </row>
    <row r="30" spans="1:3" ht="14.25" customHeight="1" x14ac:dyDescent="0.25">
      <c r="B30" s="25" t="s">
        <v>38</v>
      </c>
      <c r="C30" s="99">
        <v>4.7279900721229402E-2</v>
      </c>
    </row>
    <row r="31" spans="1:3" ht="14.25" customHeight="1" x14ac:dyDescent="0.25">
      <c r="B31" s="25" t="s">
        <v>39</v>
      </c>
      <c r="C31" s="99">
        <v>7.19970607137842E-2</v>
      </c>
    </row>
    <row r="32" spans="1:3" ht="14.25" customHeight="1" x14ac:dyDescent="0.25">
      <c r="B32" s="25" t="s">
        <v>40</v>
      </c>
      <c r="C32" s="99">
        <v>0.57728428451379499</v>
      </c>
    </row>
    <row r="33" spans="1:5" ht="13" customHeight="1" x14ac:dyDescent="0.25">
      <c r="B33" s="27" t="s">
        <v>41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18.424029999999998</v>
      </c>
    </row>
    <row r="38" spans="1:5" ht="15" customHeight="1" x14ac:dyDescent="0.25">
      <c r="B38" s="11" t="s">
        <v>45</v>
      </c>
      <c r="C38" s="43">
        <v>27.988019999999999</v>
      </c>
      <c r="D38" s="12"/>
      <c r="E38" s="13"/>
    </row>
    <row r="39" spans="1:5" ht="15" customHeight="1" x14ac:dyDescent="0.25">
      <c r="B39" s="11" t="s">
        <v>46</v>
      </c>
      <c r="C39" s="43">
        <v>37.152619999999999</v>
      </c>
      <c r="D39" s="12"/>
      <c r="E39" s="12"/>
    </row>
    <row r="40" spans="1:5" ht="15" customHeight="1" x14ac:dyDescent="0.25">
      <c r="B40" s="11" t="s">
        <v>47</v>
      </c>
      <c r="C40" s="100">
        <v>5.3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18.528590000000001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7.4561999999999996E-3</v>
      </c>
      <c r="D45" s="12"/>
    </row>
    <row r="46" spans="1:5" ht="15.75" customHeight="1" x14ac:dyDescent="0.25">
      <c r="B46" s="11" t="s">
        <v>52</v>
      </c>
      <c r="C46" s="45">
        <v>8.0115700000000012E-2</v>
      </c>
      <c r="D46" s="12"/>
    </row>
    <row r="47" spans="1:5" ht="15.75" customHeight="1" x14ac:dyDescent="0.25">
      <c r="B47" s="11" t="s">
        <v>53</v>
      </c>
      <c r="C47" s="45">
        <v>7.3910099999999992E-2</v>
      </c>
      <c r="D47" s="12"/>
      <c r="E47" s="13"/>
    </row>
    <row r="48" spans="1:5" ht="15" customHeight="1" x14ac:dyDescent="0.25">
      <c r="B48" s="11" t="s">
        <v>54</v>
      </c>
      <c r="C48" s="46">
        <v>0.83851799999999999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0.43021899999999991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0.11466808000000001</v>
      </c>
    </row>
    <row r="63" spans="1:4" ht="15.75" customHeight="1" x14ac:dyDescent="0.3">
      <c r="A63" s="4"/>
    </row>
  </sheetData>
  <sheetProtection algorithmName="SHA-512" hashValue="GuUSD7zJcpeVQnj2I5GM0eCnZP2yvTce8GXTpU+Q3fKEwtkcwXxUnHKGlNJstSIcsrJFGrJrPSaS0oMQ2GK8kA==" saltValue="3xRum1ywc14EJ3u5ibLS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1519473</v>
      </c>
      <c r="C2" s="49">
        <v>3930623</v>
      </c>
      <c r="D2" s="49">
        <v>5184523</v>
      </c>
      <c r="E2" s="49">
        <v>3887859.5</v>
      </c>
      <c r="F2" s="49">
        <v>2311141.5</v>
      </c>
      <c r="G2" s="17">
        <f t="shared" ref="G2:G13" si="0">C2+D2+E2+F2</f>
        <v>15314147</v>
      </c>
      <c r="H2" s="17">
        <f t="shared" ref="H2:H13" si="1">(B2 + stillbirth*B2/(1000-stillbirth))/(1-abortion)</f>
        <v>1759270.6685530082</v>
      </c>
      <c r="I2" s="17">
        <f t="shared" ref="I2:I13" si="2">G2-H2</f>
        <v>13554876.331446992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1540132</v>
      </c>
      <c r="C3" s="50">
        <v>3984168</v>
      </c>
      <c r="D3" s="50">
        <v>5339006.5</v>
      </c>
      <c r="E3" s="50">
        <v>3974193</v>
      </c>
      <c r="F3" s="50">
        <v>2398716.5</v>
      </c>
      <c r="G3" s="17">
        <f t="shared" si="0"/>
        <v>15696084</v>
      </c>
      <c r="H3" s="17">
        <f t="shared" si="1"/>
        <v>1783189.9963341774</v>
      </c>
      <c r="I3" s="17">
        <f t="shared" si="2"/>
        <v>13912894.003665823</v>
      </c>
    </row>
    <row r="4" spans="1:9" ht="15.75" customHeight="1" x14ac:dyDescent="0.25">
      <c r="A4" s="5">
        <f t="shared" si="3"/>
        <v>2026</v>
      </c>
      <c r="B4" s="49">
        <v>1558304</v>
      </c>
      <c r="C4" s="50">
        <v>4013577.5</v>
      </c>
      <c r="D4" s="50">
        <v>5499802</v>
      </c>
      <c r="E4" s="50">
        <v>4060074</v>
      </c>
      <c r="F4" s="50">
        <v>2490601.5</v>
      </c>
      <c r="G4" s="17">
        <f t="shared" si="0"/>
        <v>16064055</v>
      </c>
      <c r="H4" s="17">
        <f t="shared" si="1"/>
        <v>1804229.8348761885</v>
      </c>
      <c r="I4" s="17">
        <f t="shared" si="2"/>
        <v>14259825.165123811</v>
      </c>
    </row>
    <row r="5" spans="1:9" ht="15.75" customHeight="1" x14ac:dyDescent="0.25">
      <c r="A5" s="5">
        <f t="shared" si="3"/>
        <v>2027</v>
      </c>
      <c r="B5" s="49">
        <v>1581799</v>
      </c>
      <c r="C5" s="50">
        <v>4019352.5</v>
      </c>
      <c r="D5" s="50">
        <v>5667113.5</v>
      </c>
      <c r="E5" s="50">
        <v>4146040.5</v>
      </c>
      <c r="F5" s="50">
        <v>2586472.5</v>
      </c>
      <c r="G5" s="17">
        <f t="shared" si="0"/>
        <v>16418979</v>
      </c>
      <c r="H5" s="17">
        <f t="shared" si="1"/>
        <v>1831432.7297993975</v>
      </c>
      <c r="I5" s="17">
        <f t="shared" si="2"/>
        <v>14587546.270200603</v>
      </c>
    </row>
    <row r="6" spans="1:9" ht="15.75" customHeight="1" x14ac:dyDescent="0.25">
      <c r="A6" s="5">
        <f t="shared" si="3"/>
        <v>2028</v>
      </c>
      <c r="B6" s="49">
        <v>1596024</v>
      </c>
      <c r="C6" s="50">
        <v>4005764</v>
      </c>
      <c r="D6" s="50">
        <v>5834552</v>
      </c>
      <c r="E6" s="50">
        <v>4237242</v>
      </c>
      <c r="F6" s="50">
        <v>2685857.5</v>
      </c>
      <c r="G6" s="17">
        <f t="shared" si="0"/>
        <v>16763415.5</v>
      </c>
      <c r="H6" s="17">
        <f t="shared" si="1"/>
        <v>1847902.667244924</v>
      </c>
      <c r="I6" s="17">
        <f t="shared" si="2"/>
        <v>14915512.832755076</v>
      </c>
    </row>
    <row r="7" spans="1:9" ht="15.75" customHeight="1" x14ac:dyDescent="0.25">
      <c r="A7" s="5">
        <f t="shared" si="3"/>
        <v>2029</v>
      </c>
      <c r="B7" s="49">
        <v>1614199</v>
      </c>
      <c r="C7" s="50">
        <v>3987566.5</v>
      </c>
      <c r="D7" s="50">
        <v>5993928.5</v>
      </c>
      <c r="E7" s="50">
        <v>4335777</v>
      </c>
      <c r="F7" s="50">
        <v>2785637</v>
      </c>
      <c r="G7" s="17">
        <f t="shared" si="0"/>
        <v>17102909</v>
      </c>
      <c r="H7" s="17">
        <f t="shared" si="1"/>
        <v>1868945.9792359571</v>
      </c>
      <c r="I7" s="17">
        <f t="shared" si="2"/>
        <v>15233963.020764044</v>
      </c>
    </row>
    <row r="8" spans="1:9" ht="15.75" customHeight="1" x14ac:dyDescent="0.25">
      <c r="A8" s="5">
        <f t="shared" si="3"/>
        <v>2030</v>
      </c>
      <c r="B8" s="49">
        <v>1626292</v>
      </c>
      <c r="C8" s="50">
        <v>3978299</v>
      </c>
      <c r="D8" s="50">
        <v>6136930</v>
      </c>
      <c r="E8" s="50">
        <v>4442941.5</v>
      </c>
      <c r="F8" s="50">
        <v>2883825</v>
      </c>
      <c r="G8" s="17">
        <f t="shared" si="0"/>
        <v>17441995.5</v>
      </c>
      <c r="H8" s="17">
        <f t="shared" si="1"/>
        <v>1882947.4522432508</v>
      </c>
      <c r="I8" s="17">
        <f t="shared" si="2"/>
        <v>15559048.04775675</v>
      </c>
    </row>
    <row r="9" spans="1:9" ht="15.75" customHeight="1" x14ac:dyDescent="0.25">
      <c r="A9" s="5">
        <f t="shared" si="3"/>
        <v>2031</v>
      </c>
      <c r="B9" s="49">
        <v>1643601</v>
      </c>
      <c r="C9" s="50">
        <v>3978615.5</v>
      </c>
      <c r="D9" s="50">
        <v>6255208.5</v>
      </c>
      <c r="E9" s="50">
        <v>4563234</v>
      </c>
      <c r="F9" s="50">
        <v>2977797</v>
      </c>
      <c r="G9" s="17">
        <f t="shared" si="0"/>
        <v>17774855</v>
      </c>
      <c r="H9" s="17">
        <f t="shared" si="1"/>
        <v>1902988.0952832943</v>
      </c>
      <c r="I9" s="17">
        <f t="shared" si="2"/>
        <v>15871866.904716706</v>
      </c>
    </row>
    <row r="10" spans="1:9" ht="15.75" customHeight="1" x14ac:dyDescent="0.25">
      <c r="A10" s="5">
        <f t="shared" si="3"/>
        <v>2032</v>
      </c>
      <c r="B10" s="49">
        <v>1654013</v>
      </c>
      <c r="C10" s="50">
        <v>3983719.5</v>
      </c>
      <c r="D10" s="50">
        <v>6350626</v>
      </c>
      <c r="E10" s="50">
        <v>4695485</v>
      </c>
      <c r="F10" s="50">
        <v>3066015</v>
      </c>
      <c r="G10" s="17">
        <f t="shared" si="0"/>
        <v>18095845.5</v>
      </c>
      <c r="H10" s="17">
        <f t="shared" si="1"/>
        <v>1915043.2790219812</v>
      </c>
      <c r="I10" s="17">
        <f t="shared" si="2"/>
        <v>16180802.220978018</v>
      </c>
    </row>
    <row r="11" spans="1:9" ht="15.75" customHeight="1" x14ac:dyDescent="0.25">
      <c r="A11" s="5">
        <f t="shared" si="3"/>
        <v>2033</v>
      </c>
      <c r="B11" s="49">
        <v>1660468</v>
      </c>
      <c r="C11" s="50">
        <v>3995429</v>
      </c>
      <c r="D11" s="50">
        <v>6427421</v>
      </c>
      <c r="E11" s="50">
        <v>4835222.5</v>
      </c>
      <c r="F11" s="50">
        <v>3149761.5</v>
      </c>
      <c r="G11" s="17">
        <f t="shared" si="0"/>
        <v>18407834</v>
      </c>
      <c r="H11" s="17">
        <f t="shared" si="1"/>
        <v>1922516.9835007773</v>
      </c>
      <c r="I11" s="17">
        <f t="shared" si="2"/>
        <v>16485317.016499223</v>
      </c>
    </row>
    <row r="12" spans="1:9" ht="15.75" customHeight="1" x14ac:dyDescent="0.25">
      <c r="A12" s="5">
        <f t="shared" si="3"/>
        <v>2034</v>
      </c>
      <c r="B12" s="49">
        <v>1667602</v>
      </c>
      <c r="C12" s="50">
        <v>4016440.5</v>
      </c>
      <c r="D12" s="50">
        <v>6485600</v>
      </c>
      <c r="E12" s="50">
        <v>4981698.5</v>
      </c>
      <c r="F12" s="50">
        <v>3228768.5</v>
      </c>
      <c r="G12" s="17">
        <f t="shared" si="0"/>
        <v>18712507.5</v>
      </c>
      <c r="H12" s="17">
        <f t="shared" si="1"/>
        <v>1930776.845274864</v>
      </c>
      <c r="I12" s="17">
        <f t="shared" si="2"/>
        <v>16781730.654725134</v>
      </c>
    </row>
    <row r="13" spans="1:9" ht="15.75" customHeight="1" x14ac:dyDescent="0.25">
      <c r="A13" s="5">
        <f t="shared" si="3"/>
        <v>2035</v>
      </c>
      <c r="B13" s="49">
        <v>1669198</v>
      </c>
      <c r="C13" s="50">
        <v>4040712</v>
      </c>
      <c r="D13" s="50">
        <v>6529208.5</v>
      </c>
      <c r="E13" s="50">
        <v>5135156.5</v>
      </c>
      <c r="F13" s="50">
        <v>3303772</v>
      </c>
      <c r="G13" s="17">
        <f t="shared" si="0"/>
        <v>19008849</v>
      </c>
      <c r="H13" s="17">
        <f t="shared" si="1"/>
        <v>1932624.7201545169</v>
      </c>
      <c r="I13" s="17">
        <f t="shared" si="2"/>
        <v>17076224.279845484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YYDk203023bY3ABxOuHjP+ErMfwsDP5v6FgrCzRyTzLYKygOq5Cn3pvHyael7bZJT5Dxt8XsUBWLt8KTAxIdQ==" saltValue="zCucolmYsgC7sQKOCq64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9.7482000000000072E-3</v>
      </c>
    </row>
    <row r="4" spans="1:8" ht="15.75" customHeight="1" x14ac:dyDescent="0.25">
      <c r="B4" s="19" t="s">
        <v>79</v>
      </c>
      <c r="C4" s="101">
        <v>5.9363900000000122E-2</v>
      </c>
    </row>
    <row r="5" spans="1:8" ht="15.75" customHeight="1" x14ac:dyDescent="0.25">
      <c r="B5" s="19" t="s">
        <v>80</v>
      </c>
      <c r="C5" s="101">
        <v>9.016319999999993E-2</v>
      </c>
    </row>
    <row r="6" spans="1:8" ht="15.75" customHeight="1" x14ac:dyDescent="0.25">
      <c r="B6" s="19" t="s">
        <v>81</v>
      </c>
      <c r="C6" s="101">
        <v>0.25618139999999923</v>
      </c>
    </row>
    <row r="7" spans="1:8" ht="15.75" customHeight="1" x14ac:dyDescent="0.25">
      <c r="B7" s="19" t="s">
        <v>82</v>
      </c>
      <c r="C7" s="101">
        <v>0.39435000000000081</v>
      </c>
    </row>
    <row r="8" spans="1:8" ht="15.75" customHeight="1" x14ac:dyDescent="0.25">
      <c r="B8" s="19" t="s">
        <v>83</v>
      </c>
      <c r="C8" s="101">
        <v>1.5295E-3</v>
      </c>
    </row>
    <row r="9" spans="1:8" ht="15.75" customHeight="1" x14ac:dyDescent="0.25">
      <c r="B9" s="19" t="s">
        <v>84</v>
      </c>
      <c r="C9" s="101">
        <v>6.629260000000009E-2</v>
      </c>
    </row>
    <row r="10" spans="1:8" ht="15.75" customHeight="1" x14ac:dyDescent="0.25">
      <c r="B10" s="19" t="s">
        <v>85</v>
      </c>
      <c r="C10" s="101">
        <v>0.1223712000000001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0.15459604555071149</v>
      </c>
      <c r="D14" s="55">
        <v>0.15459604555071149</v>
      </c>
      <c r="E14" s="55">
        <v>0.15459604555071149</v>
      </c>
      <c r="F14" s="55">
        <v>0.15459604555071149</v>
      </c>
    </row>
    <row r="15" spans="1:8" ht="15.75" customHeight="1" x14ac:dyDescent="0.25">
      <c r="B15" s="19" t="s">
        <v>88</v>
      </c>
      <c r="C15" s="101">
        <v>0.2061607365318871</v>
      </c>
      <c r="D15" s="101">
        <v>0.2061607365318871</v>
      </c>
      <c r="E15" s="101">
        <v>0.2061607365318871</v>
      </c>
      <c r="F15" s="101">
        <v>0.2061607365318871</v>
      </c>
    </row>
    <row r="16" spans="1:8" ht="15.75" customHeight="1" x14ac:dyDescent="0.25">
      <c r="B16" s="19" t="s">
        <v>89</v>
      </c>
      <c r="C16" s="101">
        <v>2.5591654252644511E-2</v>
      </c>
      <c r="D16" s="101">
        <v>2.5591654252644511E-2</v>
      </c>
      <c r="E16" s="101">
        <v>2.5591654252644511E-2</v>
      </c>
      <c r="F16" s="101">
        <v>2.5591654252644511E-2</v>
      </c>
    </row>
    <row r="17" spans="1:8" ht="15.75" customHeight="1" x14ac:dyDescent="0.25">
      <c r="B17" s="19" t="s">
        <v>90</v>
      </c>
      <c r="C17" s="101">
        <v>3.1951908863967829E-3</v>
      </c>
      <c r="D17" s="101">
        <v>3.1951908863967829E-3</v>
      </c>
      <c r="E17" s="101">
        <v>3.1951908863967829E-3</v>
      </c>
      <c r="F17" s="101">
        <v>3.1951908863967829E-3</v>
      </c>
    </row>
    <row r="18" spans="1:8" ht="15.75" customHeight="1" x14ac:dyDescent="0.25">
      <c r="B18" s="19" t="s">
        <v>91</v>
      </c>
      <c r="C18" s="101">
        <v>0.1190673350883891</v>
      </c>
      <c r="D18" s="101">
        <v>0.1190673350883891</v>
      </c>
      <c r="E18" s="101">
        <v>0.1190673350883891</v>
      </c>
      <c r="F18" s="101">
        <v>0.1190673350883891</v>
      </c>
    </row>
    <row r="19" spans="1:8" ht="15.75" customHeight="1" x14ac:dyDescent="0.25">
      <c r="B19" s="19" t="s">
        <v>92</v>
      </c>
      <c r="C19" s="101">
        <v>5.1494508389113812E-2</v>
      </c>
      <c r="D19" s="101">
        <v>5.1494508389113812E-2</v>
      </c>
      <c r="E19" s="101">
        <v>5.1494508389113812E-2</v>
      </c>
      <c r="F19" s="101">
        <v>5.1494508389113812E-2</v>
      </c>
    </row>
    <row r="20" spans="1:8" ht="15.75" customHeight="1" x14ac:dyDescent="0.25">
      <c r="B20" s="19" t="s">
        <v>93</v>
      </c>
      <c r="C20" s="101">
        <v>0.1285073777794245</v>
      </c>
      <c r="D20" s="101">
        <v>0.1285073777794245</v>
      </c>
      <c r="E20" s="101">
        <v>0.1285073777794245</v>
      </c>
      <c r="F20" s="101">
        <v>0.1285073777794245</v>
      </c>
    </row>
    <row r="21" spans="1:8" ht="15.75" customHeight="1" x14ac:dyDescent="0.25">
      <c r="B21" s="19" t="s">
        <v>94</v>
      </c>
      <c r="C21" s="101">
        <v>0.1293290571101246</v>
      </c>
      <c r="D21" s="101">
        <v>0.1293290571101246</v>
      </c>
      <c r="E21" s="101">
        <v>0.1293290571101246</v>
      </c>
      <c r="F21" s="101">
        <v>0.1293290571101246</v>
      </c>
    </row>
    <row r="22" spans="1:8" ht="15.75" customHeight="1" x14ac:dyDescent="0.25">
      <c r="B22" s="19" t="s">
        <v>95</v>
      </c>
      <c r="C22" s="101">
        <v>0.18205809441130791</v>
      </c>
      <c r="D22" s="101">
        <v>0.18205809441130791</v>
      </c>
      <c r="E22" s="101">
        <v>0.18205809441130791</v>
      </c>
      <c r="F22" s="101">
        <v>0.18205809441130791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8.4525216000000014E-2</v>
      </c>
    </row>
    <row r="27" spans="1:8" ht="15.75" customHeight="1" x14ac:dyDescent="0.25">
      <c r="B27" s="19" t="s">
        <v>102</v>
      </c>
      <c r="C27" s="101">
        <v>7.9220290000000006E-3</v>
      </c>
    </row>
    <row r="28" spans="1:8" ht="15.75" customHeight="1" x14ac:dyDescent="0.25">
      <c r="B28" s="19" t="s">
        <v>103</v>
      </c>
      <c r="C28" s="101">
        <v>0.14742909900000001</v>
      </c>
    </row>
    <row r="29" spans="1:8" ht="15.75" customHeight="1" x14ac:dyDescent="0.25">
      <c r="B29" s="19" t="s">
        <v>104</v>
      </c>
      <c r="C29" s="101">
        <v>0.16178519199999999</v>
      </c>
    </row>
    <row r="30" spans="1:8" ht="15.75" customHeight="1" x14ac:dyDescent="0.25">
      <c r="B30" s="19" t="s">
        <v>2</v>
      </c>
      <c r="C30" s="101">
        <v>9.954296E-2</v>
      </c>
    </row>
    <row r="31" spans="1:8" ht="15.75" customHeight="1" x14ac:dyDescent="0.25">
      <c r="B31" s="19" t="s">
        <v>105</v>
      </c>
      <c r="C31" s="101">
        <v>0.105429782</v>
      </c>
    </row>
    <row r="32" spans="1:8" ht="15.75" customHeight="1" x14ac:dyDescent="0.25">
      <c r="B32" s="19" t="s">
        <v>106</v>
      </c>
      <c r="C32" s="101">
        <v>1.8078941000000001E-2</v>
      </c>
    </row>
    <row r="33" spans="2:3" ht="15.75" customHeight="1" x14ac:dyDescent="0.25">
      <c r="B33" s="19" t="s">
        <v>107</v>
      </c>
      <c r="C33" s="101">
        <v>8.1120976999999997E-2</v>
      </c>
    </row>
    <row r="34" spans="2:3" ht="15.75" customHeight="1" x14ac:dyDescent="0.25">
      <c r="B34" s="19" t="s">
        <v>108</v>
      </c>
      <c r="C34" s="101">
        <v>0.29416580399999998</v>
      </c>
    </row>
    <row r="35" spans="2:3" ht="15.75" customHeight="1" x14ac:dyDescent="0.25">
      <c r="B35" s="27" t="s">
        <v>41</v>
      </c>
      <c r="C35" s="48">
        <f>SUM(C26:C34)</f>
        <v>0.99999999999999978</v>
      </c>
    </row>
  </sheetData>
  <sheetProtection algorithmName="SHA-512" hashValue="9gvP1vyFHuI+ZAOfwxdkiSFKlAKi/qzuQ7SfTDwL9DYW3kq7WWFn3A8DBbKO+NZOdxvKNrUMzDYbMBKvIaHdig==" saltValue="4G54HQ/BnBrjQWgYyr9SO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0.56970351954991061</v>
      </c>
      <c r="D2" s="52">
        <f>IFERROR(1-_xlfn.NORM.DIST(_xlfn.NORM.INV(SUM(D4:D5), 0, 1) + 1, 0, 1, TRUE), "")</f>
        <v>0.56970351954991061</v>
      </c>
      <c r="E2" s="52">
        <f>IFERROR(1-_xlfn.NORM.DIST(_xlfn.NORM.INV(SUM(E4:E5), 0, 1) + 1, 0, 1, TRUE), "")</f>
        <v>0.55306780204889838</v>
      </c>
      <c r="F2" s="52">
        <f>IFERROR(1-_xlfn.NORM.DIST(_xlfn.NORM.INV(SUM(F4:F5), 0, 1) + 1, 0, 1, TRUE), "")</f>
        <v>0.40327466361168451</v>
      </c>
      <c r="G2" s="52">
        <f>IFERROR(1-_xlfn.NORM.DIST(_xlfn.NORM.INV(SUM(G4:G5), 0, 1) + 1, 0, 1, TRUE), "")</f>
        <v>0.47023426140659053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0.31042298045008943</v>
      </c>
      <c r="D3" s="52">
        <f>IFERROR(_xlfn.NORM.DIST(_xlfn.NORM.INV(SUM(D4:D5), 0, 1) + 1, 0, 1, TRUE) - SUM(D4:D5), "")</f>
        <v>0.31042298045008943</v>
      </c>
      <c r="E3" s="52">
        <f>IFERROR(_xlfn.NORM.DIST(_xlfn.NORM.INV(SUM(E4:E5), 0, 1) + 1, 0, 1, TRUE) - SUM(E4:E5), "")</f>
        <v>0.31841239795110166</v>
      </c>
      <c r="F3" s="52">
        <f>IFERROR(_xlfn.NORM.DIST(_xlfn.NORM.INV(SUM(F4:F5), 0, 1) + 1, 0, 1, TRUE) - SUM(F4:F5), "")</f>
        <v>0.37163683638831552</v>
      </c>
      <c r="G3" s="52">
        <f>IFERROR(_xlfn.NORM.DIST(_xlfn.NORM.INV(SUM(G4:G5), 0, 1) + 1, 0, 1, TRUE) - SUM(G4:G5), "")</f>
        <v>0.35236573859340947</v>
      </c>
    </row>
    <row r="4" spans="1:15" ht="15.75" customHeight="1" x14ac:dyDescent="0.25">
      <c r="B4" s="5" t="s">
        <v>114</v>
      </c>
      <c r="C4" s="45">
        <v>8.7136999999999992E-2</v>
      </c>
      <c r="D4" s="53">
        <v>8.7136999999999992E-2</v>
      </c>
      <c r="E4" s="53">
        <v>9.6798300000000004E-2</v>
      </c>
      <c r="F4" s="53">
        <v>0.17068729999999999</v>
      </c>
      <c r="G4" s="53">
        <v>0.1358666</v>
      </c>
    </row>
    <row r="5" spans="1:15" ht="15.75" customHeight="1" x14ac:dyDescent="0.25">
      <c r="B5" s="5" t="s">
        <v>115</v>
      </c>
      <c r="C5" s="45">
        <v>3.2736500000000002E-2</v>
      </c>
      <c r="D5" s="53">
        <v>3.2736500000000002E-2</v>
      </c>
      <c r="E5" s="53">
        <v>3.17215E-2</v>
      </c>
      <c r="F5" s="53">
        <v>5.4401199999999997E-2</v>
      </c>
      <c r="G5" s="53">
        <v>4.1533399999999998E-2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0.79853831549598242</v>
      </c>
      <c r="D8" s="52">
        <f>IFERROR(1-_xlfn.NORM.DIST(_xlfn.NORM.INV(SUM(D10:D11), 0, 1) + 1, 0, 1, TRUE), "")</f>
        <v>0.79853831549598242</v>
      </c>
      <c r="E8" s="52">
        <f>IFERROR(1-_xlfn.NORM.DIST(_xlfn.NORM.INV(SUM(E10:E11), 0, 1) + 1, 0, 1, TRUE), "")</f>
        <v>0.76523400200727043</v>
      </c>
      <c r="F8" s="52">
        <f>IFERROR(1-_xlfn.NORM.DIST(_xlfn.NORM.INV(SUM(F10:F11), 0, 1) + 1, 0, 1, TRUE), "")</f>
        <v>0.77699631160256344</v>
      </c>
      <c r="G8" s="52">
        <f>IFERROR(1-_xlfn.NORM.DIST(_xlfn.NORM.INV(SUM(G10:G11), 0, 1) + 1, 0, 1, TRUE), "")</f>
        <v>0.74104432685379962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0.16831328450401753</v>
      </c>
      <c r="D9" s="52">
        <f>IFERROR(_xlfn.NORM.DIST(_xlfn.NORM.INV(SUM(D10:D11), 0, 1) + 1, 0, 1, TRUE) - SUM(D10:D11), "")</f>
        <v>0.16831328450401753</v>
      </c>
      <c r="E9" s="52">
        <f>IFERROR(_xlfn.NORM.DIST(_xlfn.NORM.INV(SUM(E10:E11), 0, 1) + 1, 0, 1, TRUE) - SUM(E10:E11), "")</f>
        <v>0.19234349799272957</v>
      </c>
      <c r="F9" s="52">
        <f>IFERROR(_xlfn.NORM.DIST(_xlfn.NORM.INV(SUM(F10:F11), 0, 1) + 1, 0, 1, TRUE) - SUM(F10:F11), "")</f>
        <v>0.18397648839743652</v>
      </c>
      <c r="G9" s="52">
        <f>IFERROR(_xlfn.NORM.DIST(_xlfn.NORM.INV(SUM(G10:G11), 0, 1) + 1, 0, 1, TRUE) - SUM(G10:G11), "")</f>
        <v>0.20913227314620036</v>
      </c>
    </row>
    <row r="10" spans="1:15" ht="15.75" customHeight="1" x14ac:dyDescent="0.25">
      <c r="B10" s="5" t="s">
        <v>119</v>
      </c>
      <c r="C10" s="45">
        <v>2.65121E-2</v>
      </c>
      <c r="D10" s="53">
        <v>2.65121E-2</v>
      </c>
      <c r="E10" s="53">
        <v>3.6781300000000003E-2</v>
      </c>
      <c r="F10" s="53">
        <v>3.2672800000000002E-2</v>
      </c>
      <c r="G10" s="53">
        <v>4.4363100000000003E-2</v>
      </c>
    </row>
    <row r="11" spans="1:15" ht="15.75" customHeight="1" x14ac:dyDescent="0.25">
      <c r="B11" s="5" t="s">
        <v>120</v>
      </c>
      <c r="C11" s="45">
        <v>6.6363000000000004E-3</v>
      </c>
      <c r="D11" s="53">
        <v>6.6363000000000004E-3</v>
      </c>
      <c r="E11" s="53">
        <v>5.6411999999999999E-3</v>
      </c>
      <c r="F11" s="53">
        <v>6.3543999999999996E-3</v>
      </c>
      <c r="G11" s="53">
        <v>5.4603000000000004E-3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0.47979364849999989</v>
      </c>
      <c r="D14" s="54">
        <v>0.49362246556400002</v>
      </c>
      <c r="E14" s="54">
        <v>0.49362246556400002</v>
      </c>
      <c r="F14" s="54">
        <v>0.38918518062500002</v>
      </c>
      <c r="G14" s="54">
        <v>0.38918518062500002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0.2064163436640214</v>
      </c>
      <c r="D15" s="52">
        <f t="shared" si="0"/>
        <v>0.21236576351247849</v>
      </c>
      <c r="E15" s="52">
        <f t="shared" si="0"/>
        <v>0.21236576351247849</v>
      </c>
      <c r="F15" s="52">
        <f t="shared" si="0"/>
        <v>0.16743485922330684</v>
      </c>
      <c r="G15" s="52">
        <f t="shared" si="0"/>
        <v>0.16743485922330684</v>
      </c>
      <c r="H15" s="52">
        <f t="shared" si="0"/>
        <v>0.16434365799999998</v>
      </c>
      <c r="I15" s="52">
        <f t="shared" si="0"/>
        <v>0.16434365799999998</v>
      </c>
      <c r="J15" s="52">
        <f t="shared" si="0"/>
        <v>0.16434365799999998</v>
      </c>
      <c r="K15" s="52">
        <f t="shared" si="0"/>
        <v>0.16434365799999998</v>
      </c>
      <c r="L15" s="52">
        <f t="shared" si="0"/>
        <v>0.11271737799999998</v>
      </c>
      <c r="M15" s="52">
        <f t="shared" si="0"/>
        <v>0.11271737799999998</v>
      </c>
      <c r="N15" s="52">
        <f t="shared" si="0"/>
        <v>0.11271737799999998</v>
      </c>
      <c r="O15" s="52">
        <f t="shared" si="0"/>
        <v>0.11271737799999998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1XyR2cuWmp1fG0xb+6e0pQsPMKjVc+FS+O2ryDka9SYEvFK9iQQWgfaWE0TlBpFUH2h5ml0biGNRTPz0+dAIg==" saltValue="pjIbcStAeVE+IEq5Boip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0.88390579999999996</v>
      </c>
      <c r="D2" s="53">
        <v>0.77429159999999997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8.4998599999999994E-2</v>
      </c>
      <c r="D3" s="53">
        <v>7.6000499999999999E-2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2.7304200000000001E-2</v>
      </c>
      <c r="D4" s="53">
        <v>0.1347344</v>
      </c>
      <c r="E4" s="53">
        <v>0.97345519999999996</v>
      </c>
      <c r="F4" s="53">
        <v>0.70850279999999999</v>
      </c>
      <c r="G4" s="53">
        <v>0</v>
      </c>
    </row>
    <row r="5" spans="1:7" x14ac:dyDescent="0.25">
      <c r="B5" s="3" t="s">
        <v>132</v>
      </c>
      <c r="C5" s="52">
        <v>3.7913999999999999E-3</v>
      </c>
      <c r="D5" s="52">
        <v>1.49736E-2</v>
      </c>
      <c r="E5" s="52">
        <f>1-SUM(E2:E4)</f>
        <v>2.6544800000000035E-2</v>
      </c>
      <c r="F5" s="52">
        <f>1-SUM(F2:F4)</f>
        <v>0.29149720000000001</v>
      </c>
      <c r="G5" s="52">
        <f>1-SUM(G2:G4)</f>
        <v>1</v>
      </c>
    </row>
  </sheetData>
  <sheetProtection algorithmName="SHA-512" hashValue="1e5THo2FAtNaJGOATfWo8fkDZtGwr15Qkj4G3sF4MrFtYDRp9VSivbtPynfl0OWuEu++CbGawodpLc5rFcLVyQ==" saltValue="7bhfqvmgoenp09AxKAyMh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o4wlYYPkdtC8v0/obzDE2hRw8CIxFXKqeI39u/hbVsXpQDspt0OAo48dHEbX3/MumDJMUPBp2hviLlS2X4tLQ==" saltValue="LcMIV6Oru0HaTOeITIe6i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uclIp0kraAsJrQQZgIwr2Z9pr9IizqY/jI1E21bD9J9oOFsByN3ZkZ1KrVZL4T/QHJ1+Xb3L4y7osDe63fjtMw==" saltValue="ZW8LktvyGGWoShF8OqDss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XKF38o5WbZ3xaW+v6crfljuG2jJMS7pB1FX7oOv5B5jN5AMa+RoXEt9bKffqO9b1iFJLQK5iLlnI4TOkQDztzw==" saltValue="IMl1NfD/Z4afuOAoczGm+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i1k0fl+D6FUTEbuGVTpMHab6LGPw1OMrgx/3sVPoCg2n4xt3y4OYdKOOs/y1+D5mrrkcgrN0U4ldoVS1bfFXXQ==" saltValue="GkpNfksTlxceLLY9grL98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40.879820199899122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0.54172553680387803</v>
      </c>
      <c r="C3" s="98">
        <v>0.95</v>
      </c>
      <c r="D3" s="56">
        <v>42.587828233476408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145.53597653646881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0.78252415728429991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0.55150520000000003</v>
      </c>
      <c r="C10" s="98">
        <v>0.95</v>
      </c>
      <c r="D10" s="56">
        <v>13.605540133497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0.55150520000000003</v>
      </c>
      <c r="C11" s="98">
        <v>0.95</v>
      </c>
      <c r="D11" s="56">
        <v>13.605540133497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0.55150520000000003</v>
      </c>
      <c r="C12" s="98">
        <v>0.95</v>
      </c>
      <c r="D12" s="56">
        <v>13.605540133497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0.55150520000000003</v>
      </c>
      <c r="C13" s="98">
        <v>0.95</v>
      </c>
      <c r="D13" s="56">
        <v>13.605540133497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0.55150520000000003</v>
      </c>
      <c r="C14" s="98">
        <v>0.95</v>
      </c>
      <c r="D14" s="56">
        <v>13.605540133497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0.55150520000000003</v>
      </c>
      <c r="C15" s="98">
        <v>0.95</v>
      </c>
      <c r="D15" s="56">
        <v>13.605540133497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0.85</v>
      </c>
      <c r="C16" s="98">
        <v>0.95</v>
      </c>
      <c r="D16" s="56">
        <v>0.34477724433097362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0.27808333333333302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0.11048364572</v>
      </c>
      <c r="C18" s="98">
        <v>0.95</v>
      </c>
      <c r="D18" s="56">
        <v>3.4360491508281288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0.36528719999999998</v>
      </c>
      <c r="C19" s="98">
        <v>0.95</v>
      </c>
      <c r="D19" s="56">
        <v>3.4360491508281288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0.33177259999999997</v>
      </c>
      <c r="C21" s="98">
        <v>0.95</v>
      </c>
      <c r="D21" s="56">
        <v>6.5000333405857589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23.252969186930081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4.5021845672301692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0.83735895580898401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0.55150520000000003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19.604300185096712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0.67044882875101608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74.50666362993276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0.86</v>
      </c>
      <c r="C31" s="98">
        <v>0.95</v>
      </c>
      <c r="D31" s="56">
        <v>0.72554074158552961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0.69599993724824682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0.86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0.1904276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0.48293360000000002</v>
      </c>
      <c r="C38" s="98">
        <v>0.95</v>
      </c>
      <c r="D38" s="56">
        <v>4.095195969175438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RZkwm1Mdbj0GmDH7sUoTXdqFiaPV/o++HrYEtvxUSG+nkNTXnjjy0i2blqs0CiZQlArUo8Pt8vpcri5GWKh0Fg==" saltValue="zk3bL7v/Cmk/Z6byWTGU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ijf+vT700FSySjnCqySBbIdYxOPIckD20+agvtdsXr0Y+nQXKzBGUqgxq5IbMfdFgMTvKOamdvFePsp9BXZ+7w==" saltValue="7swj8MkMN7Zsx0UGxJbp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VuUUDK+BMPcPaVVr8PooUi/WSdswTE5w330XnB3CljLVVA1nTPoeRRteZItdnSkTlvaCbRisxErLvZGe+hejQ==" saltValue="vEZJuCrLIhIdhwl0dxpm/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6.893146E-2</v>
      </c>
      <c r="C3" s="21">
        <f>frac_mam_1_5months * 2.6</f>
        <v>6.893146E-2</v>
      </c>
      <c r="D3" s="21">
        <f>frac_mam_6_11months * 2.6</f>
        <v>9.5631380000000016E-2</v>
      </c>
      <c r="E3" s="21">
        <f>frac_mam_12_23months * 2.6</f>
        <v>8.4949280000000002E-2</v>
      </c>
      <c r="F3" s="21">
        <f>frac_mam_24_59months * 2.6</f>
        <v>0.11534406000000001</v>
      </c>
    </row>
    <row r="4" spans="1:6" ht="15.75" customHeight="1" x14ac:dyDescent="0.25">
      <c r="A4" s="3" t="s">
        <v>208</v>
      </c>
      <c r="B4" s="21">
        <f>frac_sam_1month * 2.6</f>
        <v>1.7254380000000003E-2</v>
      </c>
      <c r="C4" s="21">
        <f>frac_sam_1_5months * 2.6</f>
        <v>1.7254380000000003E-2</v>
      </c>
      <c r="D4" s="21">
        <f>frac_sam_6_11months * 2.6</f>
        <v>1.4667120000000001E-2</v>
      </c>
      <c r="E4" s="21">
        <f>frac_sam_12_23months * 2.6</f>
        <v>1.6521439999999998E-2</v>
      </c>
      <c r="F4" s="21">
        <f>frac_sam_24_59months * 2.6</f>
        <v>1.4196780000000001E-2</v>
      </c>
    </row>
  </sheetData>
  <sheetProtection algorithmName="SHA-512" hashValue="wTkoADIIw6Gs2dIpp0Yb+lwRTj3lcE1yksGokDddjJ6I9RnRDA+p/jivChqLQqx5BwCQQ4+rB8RUmgt+R5VDjw==" saltValue="6oz21m9PmXv1TRePys4I2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0.36799999999999999</v>
      </c>
      <c r="E2" s="60">
        <f>food_insecure</f>
        <v>0.36799999999999999</v>
      </c>
      <c r="F2" s="60">
        <f>food_insecure</f>
        <v>0.36799999999999999</v>
      </c>
      <c r="G2" s="60">
        <f>food_insecure</f>
        <v>0.36799999999999999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0.36799999999999999</v>
      </c>
      <c r="F5" s="60">
        <f>food_insecure</f>
        <v>0.36799999999999999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0.36799999999999999</v>
      </c>
      <c r="F8" s="60">
        <f>food_insecure</f>
        <v>0.36799999999999999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0.36799999999999999</v>
      </c>
      <c r="F9" s="60">
        <f>food_insecure</f>
        <v>0.36799999999999999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0.36799999999999999</v>
      </c>
      <c r="I15" s="60">
        <f>food_insecure</f>
        <v>0.36799999999999999</v>
      </c>
      <c r="J15" s="60">
        <f>food_insecure</f>
        <v>0.36799999999999999</v>
      </c>
      <c r="K15" s="60">
        <f>food_insecure</f>
        <v>0.36799999999999999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0.224</v>
      </c>
      <c r="M24" s="60">
        <f>famplan_unmet_need</f>
        <v>0.224</v>
      </c>
      <c r="N24" s="60">
        <f>famplan_unmet_need</f>
        <v>0.224</v>
      </c>
      <c r="O24" s="60">
        <f>famplan_unmet_need</f>
        <v>0.224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0.38232788017737607</v>
      </c>
      <c r="M25" s="60">
        <f>(1-food_insecure)*(0.49)+food_insecure*(0.7)</f>
        <v>0.56728000000000001</v>
      </c>
      <c r="N25" s="60">
        <f>(1-food_insecure)*(0.49)+food_insecure*(0.7)</f>
        <v>0.56728000000000001</v>
      </c>
      <c r="O25" s="60">
        <f>(1-food_insecure)*(0.49)+food_insecure*(0.7)</f>
        <v>0.56728000000000001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0.16385480579030404</v>
      </c>
      <c r="M26" s="60">
        <f>(1-food_insecure)*(0.21)+food_insecure*(0.3)</f>
        <v>0.24312</v>
      </c>
      <c r="N26" s="60">
        <f>(1-food_insecure)*(0.21)+food_insecure*(0.3)</f>
        <v>0.24312</v>
      </c>
      <c r="O26" s="60">
        <f>(1-food_insecure)*(0.21)+food_insecure*(0.3)</f>
        <v>0.24312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0.12778410323232001</v>
      </c>
      <c r="M27" s="60">
        <f>(1-food_insecure)*(0.3)</f>
        <v>0.18959999999999999</v>
      </c>
      <c r="N27" s="60">
        <f>(1-food_insecure)*(0.3)</f>
        <v>0.18959999999999999</v>
      </c>
      <c r="O27" s="60">
        <f>(1-food_insecure)*(0.3)</f>
        <v>0.18959999999999999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0.21</v>
      </c>
      <c r="D34" s="60">
        <f t="shared" si="3"/>
        <v>0.21</v>
      </c>
      <c r="E34" s="60">
        <f t="shared" si="3"/>
        <v>0.21</v>
      </c>
      <c r="F34" s="60">
        <f t="shared" si="3"/>
        <v>0.21</v>
      </c>
      <c r="G34" s="60">
        <f t="shared" si="3"/>
        <v>0.21</v>
      </c>
      <c r="H34" s="60">
        <f t="shared" si="3"/>
        <v>0.21</v>
      </c>
      <c r="I34" s="60">
        <f t="shared" si="3"/>
        <v>0.21</v>
      </c>
      <c r="J34" s="60">
        <f t="shared" si="3"/>
        <v>0.21</v>
      </c>
      <c r="K34" s="60">
        <f t="shared" si="3"/>
        <v>0.21</v>
      </c>
      <c r="L34" s="60">
        <f t="shared" si="3"/>
        <v>0.21</v>
      </c>
      <c r="M34" s="60">
        <f t="shared" si="3"/>
        <v>0.21</v>
      </c>
      <c r="N34" s="60">
        <f t="shared" si="3"/>
        <v>0.21</v>
      </c>
      <c r="O34" s="60">
        <f t="shared" si="3"/>
        <v>0.21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Y2Z5GjA35uPs8oq9JMPtz1ulJ49WYiM+Kh97kTOJ8VofQo9BYd4qOhX95w+wccf3WntSC8RRHEsjjHBsbNqfw==" saltValue="HEHinFUlLcvvB/ViZizF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Zum5pVGQ3C9vs6OgQp63N1hG+4Uw3HH1V31FoRiNiOORQW1HDtnnr1OcQ+YhiQJHhMIGLB2PeZnP7euh9Cpm1A==" saltValue="VG3pVMlL/Ljr6hoWza0cj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H6TKDzey5k60E2Zno3MBinrnIhwKAJ6zl7RM1ciahrb7teIPBq009h2Ex/Yqe7SMmJAERkrw03W4dUIrOMLxw==" saltValue="Ryw6nKdRvIdSY8WYbjc6H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Pmbj65w5Kx3FyehiFto9TFxhVqv8V2coxUNF3KZ+Yrf+5ZfJ0PkfWZ+y5oKYpDk5abuRSKL5GOGnw+VynqiwwA==" saltValue="OZy/OPU02UZyJUMPfLFz1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Z9jDQNIxvZsz1Ivh9zkizH2N8svqe9YNYNQUeM6Pc9iZ8Wu/pxs4f2OjNhRqljrSpLIePbtyzEt/vv/6tYhYvA==" saltValue="GmOhwzsiqRRHH3ona4kKb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ZBYBFX5wN+j+ZFsxnsiRo/11tJ+gyMG8MWGhyljxIvMV0v+LuJP8TYqXbEqzHBF+XPmYMUqY0aWHOaJcMfL5xg==" saltValue="PBYdPBppMxxr5WxJBhwMJ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SMdjYVF3XI8r9+wPvkUdRBrUIKao32AfkBbHFoTfsDFSDIDKiP9HNwnE/ItgUmsftpJVvJ7VEqk40/dTsKCo8w==" saltValue="q+FazxBmePLCqo81PEYij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a/c0LPOWOo4+1Te3/COki5KjvRa4S2/Yvh7gZXCIRiTrdKxEXEOlHKLkdrHSdrWEk3O9IymUwH1LgX9e6h/dg==" saltValue="0KXA8HgEN+AhBSXCgk/A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LQqiFNCgi/VCwylO1f398ki32p1Vj8EkpKE/DcnnJPgfm+YJpkXf4Wl1UYHM+w5k5p3+TtsPJc7d+Zr4utwC3g==" saltValue="anhutip3Hbsbd5j4jUrI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dH9oaqEx2BqB8cFDuBKbRYU+8KKrSCnMkJXJ3oPe9s6wJqcFV+nyatDU38DDsn8QwB0m8O5h1uKtlkF8sgXetA==" saltValue="bDBOrIw02sjvBkg/Pt1a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OX5J8KJ8Ot1/CxNPN2uqjiy19fON7qsghb3b3yDTKVEVq4TLQoyMwyqEZDOYM3XzGzg3DDEbM7wIjJAS1yF+lw==" saltValue="se9K0ue7pEZpZWoiSRlw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ydUfR3P5RA0fqxBkPqfVFr+Pevwo9HofeprgrDKhX/8ROgHBZPZo6TYJIQ1GA2Lt/5LnqQ+P3/QefMlIwUNq7g==" saltValue="Zc9Bc0QIxE0CyIh8QqPU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7Cz0HKZ1DrRcA1T8Eq7xCbRdinr3BW0Ou4qsOPJcE/5VqzxQbRlloLp3mg2X/Mw5IkIiucgKZlJbdougXUsL9g==" saltValue="B21/2DscmPtjYuvHyiiR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sUI3V1BDd5e+8BKwy5pk6sRistfCphdMg7m/KdUdu6/4fXeneowXR/zBPLhVqGa4eBKLS5ZORG6L+TO5icCEg==" saltValue="G1jHvOGt349Cwslj1dnS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zo+31IbVHcakZg2+yYMMpO7P3zmBO+ALlh3Nwz07rhasM102TvjlXoMIJ1OkX1ppP6/BJwuHdFChiPpXRYl1rw==" saltValue="SCm0Si/NLSCBSx7ffcx7/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2024-05-17T00:33:01Z</dcterms:modified>
</cp:coreProperties>
</file>