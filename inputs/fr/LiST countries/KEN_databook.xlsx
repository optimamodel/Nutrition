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6EB8555-B72E-4BBC-B243-837CB3AAF9A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31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I40" i="2" l="1"/>
  <c r="A23" i="2"/>
  <c r="A16" i="2"/>
  <c r="A24" i="2"/>
  <c r="A32" i="2"/>
  <c r="A33" i="2"/>
  <c r="A1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5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<sst xmlns="http://schemas.openxmlformats.org/spreadsheetml/2006/main" count="2101" uniqueCount="337">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</sst>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7196438.375</v>
      </c>
    </row>
    <row r="8" spans="1:3" ht="15" customHeight="1" x14ac:dyDescent="0.25">
      <c r="B8" s="5" t="s">
        <v>19</v>
      </c>
      <c r="C8" s="44">
        <v>0.36799999999999999</v>
      </c>
    </row>
    <row r="9" spans="1:3" ht="15" customHeight="1" x14ac:dyDescent="0.25">
      <c r="B9" s="5" t="s">
        <v>20</v>
      </c>
      <c r="C9" s="45">
        <v>0.21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0.224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0.1066</v>
      </c>
    </row>
    <row r="24" spans="1:3" ht="15" customHeight="1" x14ac:dyDescent="0.25">
      <c r="B24" s="15" t="s">
        <v>33</v>
      </c>
      <c r="C24" s="45">
        <v>0.50460000000000005</v>
      </c>
    </row>
    <row r="25" spans="1:3" ht="15" customHeight="1" x14ac:dyDescent="0.25">
      <c r="B25" s="15" t="s">
        <v>34</v>
      </c>
      <c r="C25" s="45">
        <v>0.30659999999999998</v>
      </c>
    </row>
    <row r="26" spans="1:3" ht="15" customHeight="1" x14ac:dyDescent="0.25">
      <c r="B26" s="15" t="s">
        <v>35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0.30343875405119197</v>
      </c>
    </row>
    <row r="30" spans="1:3" ht="14.25" customHeight="1" x14ac:dyDescent="0.25">
      <c r="B30" s="25" t="s">
        <v>38</v>
      </c>
      <c r="C30" s="99">
        <v>4.7279900721229402E-2</v>
      </c>
    </row>
    <row r="31" spans="1:3" ht="14.25" customHeight="1" x14ac:dyDescent="0.25">
      <c r="B31" s="25" t="s">
        <v>39</v>
      </c>
      <c r="C31" s="99">
        <v>7.19970607137842E-2</v>
      </c>
    </row>
    <row r="32" spans="1:3" ht="14.25" customHeight="1" x14ac:dyDescent="0.25">
      <c r="B32" s="25" t="s">
        <v>40</v>
      </c>
      <c r="C32" s="99">
        <v>0.57728428451379499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18.424029999999998</v>
      </c>
    </row>
    <row r="38" spans="1:5" ht="15" customHeight="1" x14ac:dyDescent="0.25">
      <c r="B38" s="11" t="s">
        <v>45</v>
      </c>
      <c r="C38" s="43">
        <v>27.988019999999999</v>
      </c>
      <c r="D38" s="12"/>
      <c r="E38" s="13"/>
    </row>
    <row r="39" spans="1:5" ht="15" customHeight="1" x14ac:dyDescent="0.25">
      <c r="B39" s="11" t="s">
        <v>46</v>
      </c>
      <c r="C39" s="43">
        <v>37.152619999999999</v>
      </c>
      <c r="D39" s="12"/>
      <c r="E39" s="12"/>
    </row>
    <row r="40" spans="1:5" ht="15" customHeight="1" x14ac:dyDescent="0.25">
      <c r="B40" s="11" t="s">
        <v>47</v>
      </c>
      <c r="C40" s="100">
        <v>5.3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7.4561999999999996E-3</v>
      </c>
      <c r="D45" s="12"/>
    </row>
    <row r="46" spans="1:5" ht="15.75" customHeight="1" x14ac:dyDescent="0.25">
      <c r="B46" s="11" t="s">
        <v>52</v>
      </c>
      <c r="C46" s="45">
        <v>8.0115700000000012E-2</v>
      </c>
      <c r="D46" s="12"/>
    </row>
    <row r="47" spans="1:5" ht="15.75" customHeight="1" x14ac:dyDescent="0.25">
      <c r="B47" s="11" t="s">
        <v>53</v>
      </c>
      <c r="C47" s="45">
        <v>7.3910099999999992E-2</v>
      </c>
      <c r="D47" s="12"/>
      <c r="E47" s="13"/>
    </row>
    <row r="48" spans="1:5" ht="15" customHeight="1" x14ac:dyDescent="0.25">
      <c r="B48" s="11" t="s">
        <v>54</v>
      </c>
      <c r="C48" s="46">
        <v>0.83851799999999999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0.43021899999999991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0.11466808000000001</v>
      </c>
    </row>
    <row r="63" spans="1:4" ht="15.75" customHeight="1" x14ac:dyDescent="0.3">
      <c r="A63" s="4"/>
    </row>
  </sheetData>
  <sheetProtection algorithmName="SHA-512" hashValue="WGlxjike34msw5DGPUudcUhFOsyKPMj1MtmCCLOs6sxAs9MJi+3DC7BGlrhPWWxqWLQD6D2RHIOQcdU3S5/D7g==" saltValue="KFHv8URwRQgfnCYdaDwX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1519473</v>
      </c>
      <c r="C2" s="49">
        <v>3930623</v>
      </c>
      <c r="D2" s="49">
        <v>5184523</v>
      </c>
      <c r="E2" s="49">
        <v>3887859.5</v>
      </c>
      <c r="F2" s="49">
        <v>2311141.5</v>
      </c>
      <c r="G2" s="17">
        <f t="shared" ref="G2:G13" si="0">C2+D2+E2+F2</f>
        <v>15314147</v>
      </c>
      <c r="H2" s="17">
        <f t="shared" ref="H2:H13" si="1">(B2 + stillbirth*B2/(1000-stillbirth))/(1-abortion)</f>
        <v>1759270.6685530082</v>
      </c>
      <c r="I2" s="17">
        <f t="shared" ref="I2:I13" si="2">G2-H2</f>
        <v>13554876.331446992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1540132</v>
      </c>
      <c r="C3" s="50">
        <v>3984168</v>
      </c>
      <c r="D3" s="50">
        <v>5339006.5</v>
      </c>
      <c r="E3" s="50">
        <v>3974193</v>
      </c>
      <c r="F3" s="50">
        <v>2398716.5</v>
      </c>
      <c r="G3" s="17">
        <f t="shared" si="0"/>
        <v>15696084</v>
      </c>
      <c r="H3" s="17">
        <f t="shared" si="1"/>
        <v>1783189.9963341774</v>
      </c>
      <c r="I3" s="17">
        <f t="shared" si="2"/>
        <v>13912894.003665823</v>
      </c>
    </row>
    <row r="4" spans="1:9" ht="15.75" customHeight="1" x14ac:dyDescent="0.25">
      <c r="A4" s="5">
        <f t="shared" si="3"/>
        <v>2026</v>
      </c>
      <c r="B4" s="49">
        <v>1558304</v>
      </c>
      <c r="C4" s="50">
        <v>4013577.5</v>
      </c>
      <c r="D4" s="50">
        <v>5499802</v>
      </c>
      <c r="E4" s="50">
        <v>4060074</v>
      </c>
      <c r="F4" s="50">
        <v>2490601.5</v>
      </c>
      <c r="G4" s="17">
        <f t="shared" si="0"/>
        <v>16064055</v>
      </c>
      <c r="H4" s="17">
        <f t="shared" si="1"/>
        <v>1804229.8348761885</v>
      </c>
      <c r="I4" s="17">
        <f t="shared" si="2"/>
        <v>14259825.165123811</v>
      </c>
    </row>
    <row r="5" spans="1:9" ht="15.75" customHeight="1" x14ac:dyDescent="0.25">
      <c r="A5" s="5">
        <f t="shared" si="3"/>
        <v>2027</v>
      </c>
      <c r="B5" s="49">
        <v>1581799</v>
      </c>
      <c r="C5" s="50">
        <v>4019352.5</v>
      </c>
      <c r="D5" s="50">
        <v>5667113.5</v>
      </c>
      <c r="E5" s="50">
        <v>4146040.5</v>
      </c>
      <c r="F5" s="50">
        <v>2586472.5</v>
      </c>
      <c r="G5" s="17">
        <f t="shared" si="0"/>
        <v>16418979</v>
      </c>
      <c r="H5" s="17">
        <f t="shared" si="1"/>
        <v>1831432.7297993975</v>
      </c>
      <c r="I5" s="17">
        <f t="shared" si="2"/>
        <v>14587546.270200603</v>
      </c>
    </row>
    <row r="6" spans="1:9" ht="15.75" customHeight="1" x14ac:dyDescent="0.25">
      <c r="A6" s="5">
        <f t="shared" si="3"/>
        <v>2028</v>
      </c>
      <c r="B6" s="49">
        <v>1596024</v>
      </c>
      <c r="C6" s="50">
        <v>4005764</v>
      </c>
      <c r="D6" s="50">
        <v>5834552</v>
      </c>
      <c r="E6" s="50">
        <v>4237242</v>
      </c>
      <c r="F6" s="50">
        <v>2685857.5</v>
      </c>
      <c r="G6" s="17">
        <f t="shared" si="0"/>
        <v>16763415.5</v>
      </c>
      <c r="H6" s="17">
        <f t="shared" si="1"/>
        <v>1847902.667244924</v>
      </c>
      <c r="I6" s="17">
        <f t="shared" si="2"/>
        <v>14915512.832755076</v>
      </c>
    </row>
    <row r="7" spans="1:9" ht="15.75" customHeight="1" x14ac:dyDescent="0.25">
      <c r="A7" s="5">
        <f t="shared" si="3"/>
        <v>2029</v>
      </c>
      <c r="B7" s="49">
        <v>1614199</v>
      </c>
      <c r="C7" s="50">
        <v>3987566.5</v>
      </c>
      <c r="D7" s="50">
        <v>5993928.5</v>
      </c>
      <c r="E7" s="50">
        <v>4335777</v>
      </c>
      <c r="F7" s="50">
        <v>2785637</v>
      </c>
      <c r="G7" s="17">
        <f t="shared" si="0"/>
        <v>17102909</v>
      </c>
      <c r="H7" s="17">
        <f t="shared" si="1"/>
        <v>1868945.9792359571</v>
      </c>
      <c r="I7" s="17">
        <f t="shared" si="2"/>
        <v>15233963.020764044</v>
      </c>
    </row>
    <row r="8" spans="1:9" ht="15.75" customHeight="1" x14ac:dyDescent="0.25">
      <c r="A8" s="5">
        <f t="shared" si="3"/>
        <v>2030</v>
      </c>
      <c r="B8" s="49">
        <v>1626292</v>
      </c>
      <c r="C8" s="50">
        <v>3978299</v>
      </c>
      <c r="D8" s="50">
        <v>6136930</v>
      </c>
      <c r="E8" s="50">
        <v>4442941.5</v>
      </c>
      <c r="F8" s="50">
        <v>2883825</v>
      </c>
      <c r="G8" s="17">
        <f t="shared" si="0"/>
        <v>17441995.5</v>
      </c>
      <c r="H8" s="17">
        <f t="shared" si="1"/>
        <v>1882947.4522432508</v>
      </c>
      <c r="I8" s="17">
        <f t="shared" si="2"/>
        <v>15559048.04775675</v>
      </c>
    </row>
    <row r="9" spans="1:9" ht="15.75" customHeight="1" x14ac:dyDescent="0.25">
      <c r="A9" s="5">
        <f t="shared" si="3"/>
        <v>2031</v>
      </c>
      <c r="B9" s="49">
        <v>1643601</v>
      </c>
      <c r="C9" s="50">
        <v>3978615.5</v>
      </c>
      <c r="D9" s="50">
        <v>6255208.5</v>
      </c>
      <c r="E9" s="50">
        <v>4563234</v>
      </c>
      <c r="F9" s="50">
        <v>2977797</v>
      </c>
      <c r="G9" s="17">
        <f t="shared" si="0"/>
        <v>17774855</v>
      </c>
      <c r="H9" s="17">
        <f t="shared" si="1"/>
        <v>1902988.0952832943</v>
      </c>
      <c r="I9" s="17">
        <f t="shared" si="2"/>
        <v>15871866.904716706</v>
      </c>
    </row>
    <row r="10" spans="1:9" ht="15.75" customHeight="1" x14ac:dyDescent="0.25">
      <c r="A10" s="5">
        <f t="shared" si="3"/>
        <v>2032</v>
      </c>
      <c r="B10" s="49">
        <v>1654013</v>
      </c>
      <c r="C10" s="50">
        <v>3983719.5</v>
      </c>
      <c r="D10" s="50">
        <v>6350626</v>
      </c>
      <c r="E10" s="50">
        <v>4695485</v>
      </c>
      <c r="F10" s="50">
        <v>3066015</v>
      </c>
      <c r="G10" s="17">
        <f t="shared" si="0"/>
        <v>18095845.5</v>
      </c>
      <c r="H10" s="17">
        <f t="shared" si="1"/>
        <v>1915043.2790219812</v>
      </c>
      <c r="I10" s="17">
        <f t="shared" si="2"/>
        <v>16180802.220978018</v>
      </c>
    </row>
    <row r="11" spans="1:9" ht="15.75" customHeight="1" x14ac:dyDescent="0.25">
      <c r="A11" s="5">
        <f t="shared" si="3"/>
        <v>2033</v>
      </c>
      <c r="B11" s="49">
        <v>1660468</v>
      </c>
      <c r="C11" s="50">
        <v>3995429</v>
      </c>
      <c r="D11" s="50">
        <v>6427421</v>
      </c>
      <c r="E11" s="50">
        <v>4835222.5</v>
      </c>
      <c r="F11" s="50">
        <v>3149761.5</v>
      </c>
      <c r="G11" s="17">
        <f t="shared" si="0"/>
        <v>18407834</v>
      </c>
      <c r="H11" s="17">
        <f t="shared" si="1"/>
        <v>1922516.9835007773</v>
      </c>
      <c r="I11" s="17">
        <f t="shared" si="2"/>
        <v>16485317.016499223</v>
      </c>
    </row>
    <row r="12" spans="1:9" ht="15.75" customHeight="1" x14ac:dyDescent="0.25">
      <c r="A12" s="5">
        <f t="shared" si="3"/>
        <v>2034</v>
      </c>
      <c r="B12" s="49">
        <v>1667602</v>
      </c>
      <c r="C12" s="50">
        <v>4016440.5</v>
      </c>
      <c r="D12" s="50">
        <v>6485600</v>
      </c>
      <c r="E12" s="50">
        <v>4981698.5</v>
      </c>
      <c r="F12" s="50">
        <v>3228768.5</v>
      </c>
      <c r="G12" s="17">
        <f t="shared" si="0"/>
        <v>18712507.5</v>
      </c>
      <c r="H12" s="17">
        <f t="shared" si="1"/>
        <v>1930776.845274864</v>
      </c>
      <c r="I12" s="17">
        <f t="shared" si="2"/>
        <v>16781730.654725134</v>
      </c>
    </row>
    <row r="13" spans="1:9" ht="15.75" customHeight="1" x14ac:dyDescent="0.25">
      <c r="A13" s="5">
        <f t="shared" si="3"/>
        <v>2035</v>
      </c>
      <c r="B13" s="49">
        <v>1669198</v>
      </c>
      <c r="C13" s="50">
        <v>4040712</v>
      </c>
      <c r="D13" s="50">
        <v>6529208.5</v>
      </c>
      <c r="E13" s="50">
        <v>5135156.5</v>
      </c>
      <c r="F13" s="50">
        <v>3303772</v>
      </c>
      <c r="G13" s="17">
        <f t="shared" si="0"/>
        <v>19008849</v>
      </c>
      <c r="H13" s="17">
        <f t="shared" si="1"/>
        <v>1932624.7201545169</v>
      </c>
      <c r="I13" s="17">
        <f t="shared" si="2"/>
        <v>17076224.279845484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8QTwrTCtdpKnHvSb4xFwdTRDlE8bK5W3IZ29XFqs3mtCymcwjiikmCZ4vQque0n47uynDja9F2lx8xdeXFXaJw==" saltValue="2qIAR8sXUcHorDJP6RWPJ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9.7482000000000072E-3</v>
      </c>
    </row>
    <row r="4" spans="1:8" ht="15.75" customHeight="1" x14ac:dyDescent="0.25">
      <c r="B4" s="19" t="s">
        <v>79</v>
      </c>
      <c r="C4" s="101">
        <v>5.9363900000000122E-2</v>
      </c>
    </row>
    <row r="5" spans="1:8" ht="15.75" customHeight="1" x14ac:dyDescent="0.25">
      <c r="B5" s="19" t="s">
        <v>80</v>
      </c>
      <c r="C5" s="101">
        <v>9.016319999999993E-2</v>
      </c>
    </row>
    <row r="6" spans="1:8" ht="15.75" customHeight="1" x14ac:dyDescent="0.25">
      <c r="B6" s="19" t="s">
        <v>81</v>
      </c>
      <c r="C6" s="101">
        <v>0.25618139999999923</v>
      </c>
    </row>
    <row r="7" spans="1:8" ht="15.75" customHeight="1" x14ac:dyDescent="0.25">
      <c r="B7" s="19" t="s">
        <v>82</v>
      </c>
      <c r="C7" s="101">
        <v>0.39435000000000081</v>
      </c>
    </row>
    <row r="8" spans="1:8" ht="15.75" customHeight="1" x14ac:dyDescent="0.25">
      <c r="B8" s="19" t="s">
        <v>83</v>
      </c>
      <c r="C8" s="101">
        <v>1.5295E-3</v>
      </c>
    </row>
    <row r="9" spans="1:8" ht="15.75" customHeight="1" x14ac:dyDescent="0.25">
      <c r="B9" s="19" t="s">
        <v>84</v>
      </c>
      <c r="C9" s="101">
        <v>6.629260000000009E-2</v>
      </c>
    </row>
    <row r="10" spans="1:8" ht="15.75" customHeight="1" x14ac:dyDescent="0.25">
      <c r="B10" s="19" t="s">
        <v>85</v>
      </c>
      <c r="C10" s="101">
        <v>0.1223712000000001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88</v>
      </c>
      <c r="C15" s="101">
        <v>0.2061607365318871</v>
      </c>
      <c r="D15" s="101">
        <v>0.2061607365318871</v>
      </c>
      <c r="E15" s="101">
        <v>0.2061607365318871</v>
      </c>
      <c r="F15" s="101">
        <v>0.2061607365318871</v>
      </c>
    </row>
    <row r="16" spans="1:8" ht="15.75" customHeight="1" x14ac:dyDescent="0.25">
      <c r="B16" s="19" t="s">
        <v>89</v>
      </c>
      <c r="C16" s="101">
        <v>2.5591654252644511E-2</v>
      </c>
      <c r="D16" s="101">
        <v>2.5591654252644511E-2</v>
      </c>
      <c r="E16" s="101">
        <v>2.5591654252644511E-2</v>
      </c>
      <c r="F16" s="101">
        <v>2.5591654252644511E-2</v>
      </c>
    </row>
    <row r="17" spans="1:8" ht="15.75" customHeight="1" x14ac:dyDescent="0.25">
      <c r="B17" s="19" t="s">
        <v>90</v>
      </c>
      <c r="C17" s="101">
        <v>3.1951908863967829E-3</v>
      </c>
      <c r="D17" s="101">
        <v>3.1951908863967829E-3</v>
      </c>
      <c r="E17" s="101">
        <v>3.1951908863967829E-3</v>
      </c>
      <c r="F17" s="101">
        <v>3.1951908863967829E-3</v>
      </c>
    </row>
    <row r="18" spans="1:8" ht="15.75" customHeight="1" x14ac:dyDescent="0.25">
      <c r="B18" s="19" t="s">
        <v>91</v>
      </c>
      <c r="C18" s="101">
        <v>0.1190673350883891</v>
      </c>
      <c r="D18" s="101">
        <v>0.1190673350883891</v>
      </c>
      <c r="E18" s="101">
        <v>0.1190673350883891</v>
      </c>
      <c r="F18" s="101">
        <v>0.1190673350883891</v>
      </c>
    </row>
    <row r="19" spans="1:8" ht="15.75" customHeight="1" x14ac:dyDescent="0.25">
      <c r="B19" s="19" t="s">
        <v>92</v>
      </c>
      <c r="C19" s="101">
        <v>5.1494508389113812E-2</v>
      </c>
      <c r="D19" s="101">
        <v>5.1494508389113812E-2</v>
      </c>
      <c r="E19" s="101">
        <v>5.1494508389113812E-2</v>
      </c>
      <c r="F19" s="101">
        <v>5.1494508389113812E-2</v>
      </c>
    </row>
    <row r="20" spans="1:8" ht="15.75" customHeight="1" x14ac:dyDescent="0.25">
      <c r="B20" s="19" t="s">
        <v>93</v>
      </c>
      <c r="C20" s="101">
        <v>0.1285073777794245</v>
      </c>
      <c r="D20" s="101">
        <v>0.1285073777794245</v>
      </c>
      <c r="E20" s="101">
        <v>0.1285073777794245</v>
      </c>
      <c r="F20" s="101">
        <v>0.1285073777794245</v>
      </c>
    </row>
    <row r="21" spans="1:8" ht="15.75" customHeight="1" x14ac:dyDescent="0.25">
      <c r="B21" s="19" t="s">
        <v>94</v>
      </c>
      <c r="C21" s="101">
        <v>0.1293290571101246</v>
      </c>
      <c r="D21" s="101">
        <v>0.1293290571101246</v>
      </c>
      <c r="E21" s="101">
        <v>0.1293290571101246</v>
      </c>
      <c r="F21" s="101">
        <v>0.1293290571101246</v>
      </c>
    </row>
    <row r="22" spans="1:8" ht="15.75" customHeight="1" x14ac:dyDescent="0.25">
      <c r="B22" s="19" t="s">
        <v>95</v>
      </c>
      <c r="C22" s="101">
        <v>0.18205809441130791</v>
      </c>
      <c r="D22" s="101">
        <v>0.18205809441130791</v>
      </c>
      <c r="E22" s="101">
        <v>0.18205809441130791</v>
      </c>
      <c r="F22" s="101">
        <v>0.18205809441130791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8.4525216000000014E-2</v>
      </c>
    </row>
    <row r="27" spans="1:8" ht="15.75" customHeight="1" x14ac:dyDescent="0.25">
      <c r="B27" s="19" t="s">
        <v>102</v>
      </c>
      <c r="C27" s="101">
        <v>7.9220290000000006E-3</v>
      </c>
    </row>
    <row r="28" spans="1:8" ht="15.75" customHeight="1" x14ac:dyDescent="0.25">
      <c r="B28" s="19" t="s">
        <v>103</v>
      </c>
      <c r="C28" s="101">
        <v>0.14742909900000001</v>
      </c>
    </row>
    <row r="29" spans="1:8" ht="15.75" customHeight="1" x14ac:dyDescent="0.25">
      <c r="B29" s="19" t="s">
        <v>104</v>
      </c>
      <c r="C29" s="101">
        <v>0.16178519199999999</v>
      </c>
    </row>
    <row r="30" spans="1:8" ht="15.75" customHeight="1" x14ac:dyDescent="0.25">
      <c r="B30" s="19" t="s">
        <v>2</v>
      </c>
      <c r="C30" s="101">
        <v>9.954296E-2</v>
      </c>
    </row>
    <row r="31" spans="1:8" ht="15.75" customHeight="1" x14ac:dyDescent="0.25">
      <c r="B31" s="19" t="s">
        <v>105</v>
      </c>
      <c r="C31" s="101">
        <v>0.105429782</v>
      </c>
    </row>
    <row r="32" spans="1:8" ht="15.75" customHeight="1" x14ac:dyDescent="0.25">
      <c r="B32" s="19" t="s">
        <v>106</v>
      </c>
      <c r="C32" s="101">
        <v>1.8078941000000001E-2</v>
      </c>
    </row>
    <row r="33" spans="2:3" ht="15.75" customHeight="1" x14ac:dyDescent="0.25">
      <c r="B33" s="19" t="s">
        <v>107</v>
      </c>
      <c r="C33" s="101">
        <v>8.1120976999999997E-2</v>
      </c>
    </row>
    <row r="34" spans="2:3" ht="15.75" customHeight="1" x14ac:dyDescent="0.25">
      <c r="B34" s="19" t="s">
        <v>108</v>
      </c>
      <c r="C34" s="101">
        <v>0.29416580399999998</v>
      </c>
    </row>
    <row r="35" spans="2:3" ht="15.75" customHeight="1" x14ac:dyDescent="0.25">
      <c r="B35" s="27" t="s">
        <v>41</v>
      </c>
      <c r="C35" s="48">
        <f>SUM(C26:C34)</f>
        <v>0.99999999999999978</v>
      </c>
    </row>
  </sheetData>
  <sheetProtection algorithmName="SHA-512" hashValue="AcwewewtHO3UfZV3O8FCYAmSSs3VBpZPUfL8RXPOVj6Xf9e8EcsDLKH6Oc9cMKsU8riE5wT9F271m1Vb3q83pw==" saltValue="cC5UQ99PtMt42Ji4OHIN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114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115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119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120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njn2tLLZOHftva+hlLlMNuyS3AZn+TVVKKaYsANjXS7DrHwqBj7eJueECOU1k0EZ8kj6v9Da83YABiBN4MCrg==" saltValue="uEe2POcqJzuLBRuWy8UG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132</v>
      </c>
      <c r="C5" s="52">
        <v>3.7913999999999999E-3</v>
      </c>
      <c r="D5" s="52">
        <v>1.49736E-2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nJebefijD9VELoy7eBNYBqK3QqaYQBTGUabZD4wU/EWjdP0QZOjIwCUOqNo4UMavP5YHHO4I1gVuuFzoKzPMbQ==" saltValue="Z4OCjTZQEQ4GQMGbiV66m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vxMernanHCGCc3VSJMQicrxl5uGyLYyvwQpXoIQpLRemwyD6IEmmxfnimJnHL++RIEk/73FMbW2fmPRktNsKQ==" saltValue="gO4nmyD5PDAJ92QfZw7qY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QohvEzAiQDErnRjxlkpMnOZljIYKgxt7OtO1IYMJCqUn8TILm8lMox4KLeBiVLQw1Rs5H0YRIUPcrz+6j50l2Q==" saltValue="LBXKPFaYpFiaRo5pr7arH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gN2q/af6e55zVBpBGKRiBXmkJ+I67XVb4PxvUKRSANF8Fasp6l5iVRYH/BaaiyW0CnCMcX1PyhxKip0/ZIIiFA==" saltValue="gheUUHNGOnqtX/Ekq9VZC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x3o6ULnstMOZ/kX4GdDpkR9SFO3U6MU5ynOrzr5y7uleVECzynT4H3SIXTY4NqaAMBNUwY3a1zrGvpGHacYnEg==" saltValue="LaxlUIsi/+VvsYzjgkdZc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0.78252415728429991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0.54840718692559942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0.55150520000000003</v>
      </c>
      <c r="C10" s="98">
        <v>0.95</v>
      </c>
      <c r="D10" s="56">
        <v>13.605540133497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13.605540133497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13.605540133497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13.605540133497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0.55150520000000003</v>
      </c>
      <c r="C14" s="98">
        <v>0.95</v>
      </c>
      <c r="D14" s="56">
        <v>13.605540133497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13.605540133497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0.44609280000000001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0.27808333333333302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0.55200000000000005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0.77429159999999997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23.252969186930081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0.53746989999999994</v>
      </c>
      <c r="C23" s="98">
        <v>0.95</v>
      </c>
      <c r="D23" s="56">
        <v>4.5021845672301692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0.85640179061796795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0.13600000000000001</v>
      </c>
      <c r="C26" s="98">
        <v>0.95</v>
      </c>
      <c r="D26" s="56">
        <v>2.2489712105010549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0.48293360000000002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0.1904276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7.2099999999999997E-2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0.86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0.3759924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0.62608180000000002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1.1372200000000001E-2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0.33177259999999997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0.316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ZO5JqSJ6iSmtiOeeoKojH/fwiBAAw3QHjz/E9QK4WCzVoh9tix6xVWTnZT1sKx/fBzig6CPFtBuKyxFby0IaMg==" saltValue="iM45ZzcQaIAYeoInKuD4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NjfiypKmhiZriGq/H2kI34rt+ASL5TsQZ0isubFIN8zU3GuYaNKLiVCRU+nxwTqW4Ta/RNyPpLab+RKeUAlQdA==" saltValue="A+6RoIT9jMZn0TkRjb9t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MCA0gkxn9qnYtSvLjXhbawOBYUDqY3h0q0k0bKQVaxoj1LfN0cbDyZwesGHZ60l5ITIrjRji1W8nOjs4Lo15JA==" saltValue="O6rVq/ZzZ8XlrhPVdFqNF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208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sheetProtection algorithmName="SHA-512" hashValue="vWN0FOaSXCdPtMYptfr9UA3R95v9N3tTqYYl56cZFl7gaES5zjs92n3twa1PF9DlsoimhNOyhGmHKEKCbqBxUg==" saltValue="KebzuEgQW0HpfDdvxkG0A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0.36799999999999999</v>
      </c>
      <c r="E2" s="60">
        <f>food_insecure</f>
        <v>0.36799999999999999</v>
      </c>
      <c r="F2" s="60">
        <f>food_insecure</f>
        <v>0.36799999999999999</v>
      </c>
      <c r="G2" s="60">
        <f>food_insecure</f>
        <v>0.36799999999999999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0.36799999999999999</v>
      </c>
      <c r="F5" s="60">
        <f>food_insecure</f>
        <v>0.36799999999999999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0.36799999999999999</v>
      </c>
      <c r="F8" s="60">
        <f>food_insecure</f>
        <v>0.36799999999999999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0.36799999999999999</v>
      </c>
      <c r="F9" s="60">
        <f>food_insecure</f>
        <v>0.36799999999999999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0.36799999999999999</v>
      </c>
      <c r="I15" s="60">
        <f>food_insecure</f>
        <v>0.36799999999999999</v>
      </c>
      <c r="J15" s="60">
        <f>food_insecure</f>
        <v>0.36799999999999999</v>
      </c>
      <c r="K15" s="60">
        <f>food_insecure</f>
        <v>0.36799999999999999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0.224</v>
      </c>
      <c r="M24" s="60">
        <f>famplan_unmet_need</f>
        <v>0.224</v>
      </c>
      <c r="N24" s="60">
        <f>famplan_unmet_need</f>
        <v>0.224</v>
      </c>
      <c r="O24" s="60">
        <f>famplan_unmet_need</f>
        <v>0.224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0.38232788017737607</v>
      </c>
      <c r="M25" s="60">
        <f>(1-food_insecure)*(0.49)+food_insecure*(0.7)</f>
        <v>0.56728000000000001</v>
      </c>
      <c r="N25" s="60">
        <f>(1-food_insecure)*(0.49)+food_insecure*(0.7)</f>
        <v>0.56728000000000001</v>
      </c>
      <c r="O25" s="60">
        <f>(1-food_insecure)*(0.49)+food_insecure*(0.7)</f>
        <v>0.56728000000000001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0.16385480579030404</v>
      </c>
      <c r="M26" s="60">
        <f>(1-food_insecure)*(0.21)+food_insecure*(0.3)</f>
        <v>0.24312</v>
      </c>
      <c r="N26" s="60">
        <f>(1-food_insecure)*(0.21)+food_insecure*(0.3)</f>
        <v>0.24312</v>
      </c>
      <c r="O26" s="60">
        <f>(1-food_insecure)*(0.21)+food_insecure*(0.3)</f>
        <v>0.24312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0.12778410323232001</v>
      </c>
      <c r="M27" s="60">
        <f>(1-food_insecure)*(0.3)</f>
        <v>0.18959999999999999</v>
      </c>
      <c r="N27" s="60">
        <f>(1-food_insecure)*(0.3)</f>
        <v>0.18959999999999999</v>
      </c>
      <c r="O27" s="60">
        <f>(1-food_insecure)*(0.3)</f>
        <v>0.18959999999999999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nwBwmA3DdVcuqwEjR1alQN4arBBG5b1FYWn5GV8Rwe64THSrYz2Qhr4OOUXByK0leK9oHqMVwLJd2APxC6+mQ==" saltValue="DZOyIZl50iu5na7BWaM7n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fy6UI1qBcdVzTkAEYaeZhdH5wbXcleYsev7LQxFIO2+3kFYaN4pc7Qjd5HPf+a5wnRae4KCg+CjF5wOSt7osNw==" saltValue="5HzaH0mC1lDLKZ4J2GS+x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ov+mFeCaXb5sWo/ENyG2WBtz13/hxsVzMjV2pdpc1LROsYA4wPYuASCA282MLJ+J3rwt+4deG1zP7IfKcnPyA==" saltValue="bHvppy3zaetblZCLcpTE2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ijxxeSTznBjsozc9Xk4MVvYWU1GylZM1Wr4wMVEQLpc+miUIW9z6ap6Znxb9kNVfs45d5ulhjP2uAGWufaW7Q==" saltValue="uoHtGQK+j2M3+jk1MaQc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++9AkawNVSLhH1/56hze6oS50CxGhPHVowCDGnVI7n6AQhQA3U+CXFAmq4PdJ5m6lBVvDDUaECfpT5g4azlExA==" saltValue="QvA9EODO8YfiQtGvL5m4g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TydqVIvJ9z7BE16ORSW3tW16lQnpsg9CrI1RKgvRqh4zVxzw02GJOFcDQ8nuFqX+GI9zYEj03hDp70oKKtc1A==" saltValue="oIi8ogsUjFlvfNsAKK/np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DB/OqJgN6FWAiczcb3jhamwdlJBG8OZ2+QZXoX0qNS0F80C9dBk9o7ulxEu9uBeZeiDk9l00T1+OFgurbS9yw==" saltValue="0mPtm1Aglb2TKpkOoeZ4V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c2TOg0fncWUe76BF6tikG8QZTZRB1wupEUpXJOM056bMYxjG6VYp+qhsPoKskdv6GbS+fR2h7ylaltVfmwz0g==" saltValue="GNGeXH4A8DE98FtIUzqx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c+OquORNJM4vLzbgPy5FZpt0ni9jAY7MfD8hWKuM1Cuua2OsHhb9iU5iDdpm4AtULtsUPvRMK7BvUxHry7zTw==" saltValue="wizJOvII0kBTuMQSf+O7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9g0uNXVERlJZCyipZu1LFcj5II7I/SBLsUm5Vy22hZwJXHL0kLgyorUwhOY4Bx6xcTck+kxRlAshTJcQqaaFw==" saltValue="n2/NN3IyXrhn/+eZ5dB1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eLrJiKcxyf5Xe+XXqHx3AGKY8AgMt2URwvtWb1Ly42dcbYNsyM50jItXz+RWrct8MH2G9h4x6JIEKS1ucek/w==" saltValue="CaymzzH/JMKtmo35b+fG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1ziAQg3KarKHPB2bxUhGUgRuxX1CuAuMyMFCU+tMi2jimQHDzE476Kn9ndZjRrBV2bJW4MOQ6l+Kszh5keAgQ==" saltValue="KW8din978hvhCT3M2UGE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XWnBusQVj8axoA2nZdcWBITPVEfwNHo3dChn6GA8aOJkrEQlswcUygTM+j9WkGW8LMuB3tfMIZz7SJIeLcWuw==" saltValue="Y8eN8nblTUx2wgKiD8uf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0.10944738360384243</v>
      </c>
      <c r="G18" s="90">
        <f>MIN(MAX(1-0.89/(1-frac_sam_12_23months+(frac_sam_12_23months*0.89)),0),1)</f>
        <v>0.10937746910086199</v>
      </c>
      <c r="H18" s="90">
        <f>MIN(MAX(1-0.89/(1-frac_sam_24_59months+(frac_sam_24_59months*0.89)),0),1)</f>
        <v>0.10946511536063441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0.10638448255249178</v>
      </c>
      <c r="G20" s="90">
        <f>MIN(MAX(1-0.89/(1-frac_mam_12_23months+(frac_mam_12_23months*0.89)),0),1)</f>
        <v>0.10678979537891009</v>
      </c>
      <c r="H20" s="90">
        <f>MIN(MAX(1-0.89/(1-frac_mam_24_59months+(frac_mam_24_59months*0.89)),0),1)</f>
        <v>0.10563555427235138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9.944148969331601E-3</v>
      </c>
      <c r="G73" s="90">
        <f>MIN(MAX(1-0.99/(1-frac_sam_12_23months+(frac_sam_12_23months*0.99)),0),1)</f>
        <v>9.9370874422844979E-3</v>
      </c>
      <c r="H73" s="90">
        <f>MIN(MAX(1-0.99/(1-frac_sam_24_59months+(frac_sam_24_59months*0.99)),0),1)</f>
        <v>9.9459400781661822E-3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9.6357311471804152E-3</v>
      </c>
      <c r="G75" s="90">
        <f>MIN(MAX(1-0.99/(1-frac_mam_12_23months+(frac_mam_12_23months*0.99)),0),1)</f>
        <v>9.6764335617847141E-3</v>
      </c>
      <c r="H75" s="90">
        <f>MIN(MAX(1-0.99/(1-frac_mam_24_59months+(frac_mam_24_59months*0.99)),0),1)</f>
        <v>9.5606103831449296E-3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0.19909638850937172</v>
      </c>
      <c r="G128" s="90">
        <f>MIN(MAX(1-0.8/(1-frac_sam_12_23months+(frac_sam_12_23months*0.8)),0),1)</f>
        <v>0.19898200224701568</v>
      </c>
      <c r="H128" s="90">
        <f>MIN(MAX(1-0.8/(1-frac_sam_24_59months+(frac_sam_24_59months*0.8)),0),1)</f>
        <v>0.19912539688091779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0.19407137952635445</v>
      </c>
      <c r="G130" s="90">
        <f>MIN(MAX(1-0.8/(1-frac_mam_12_23months+(frac_mam_12_23months*0.8)),0),1)</f>
        <v>0.19473796692917666</v>
      </c>
      <c r="H130" s="90">
        <f>MIN(MAX(1-0.8/(1-frac_mam_24_59months+(frac_mam_24_59months*0.8)),0),1)</f>
        <v>0.19283836150303901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YQbTpAQ1MkH/uKvTUrgO1twu9K1oUlgukcryfEpqghiLDjrJJ0GiP6yr4c1j/pOZJ6cFKxsXoskmCTh7IFKQQ==" saltValue="hSm22R5DhnCiUZI/FJqg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1IsmpTIBPTBxgFEtusr4iT42p9XTiPEnM7xBLvkF1gFGwRmdtxFEvAcgSGcg+lGk5m9S+F0R0P+dmQc440fOQ==" saltValue="lbWqvt8o9xXwnwoYnSu6r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2024-08-06T09:14:30Z</dcterms:modified>
</cp:coreProperties>
</file>