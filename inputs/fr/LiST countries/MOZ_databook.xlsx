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AA6E8B33-85DF-4A83-8708-EAB8C12A65F9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38" i="2" l="1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<sst xmlns="http://schemas.openxmlformats.org/spreadsheetml/2006/main" count="2169" uniqueCount="369">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</sst>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5567191.5</v>
      </c>
    </row>
    <row r="8" spans="1:3" ht="15" customHeight="1" x14ac:dyDescent="0.25">
      <c r="B8" s="5" t="s">
        <v>37</v>
      </c>
      <c r="C8" s="44">
        <v>0.46100000000000002</v>
      </c>
    </row>
    <row r="9" spans="1:3" ht="15" customHeight="1" x14ac:dyDescent="0.25">
      <c r="B9" s="5" t="s">
        <v>38</v>
      </c>
      <c r="C9" s="45">
        <v>0.96</v>
      </c>
    </row>
    <row r="10" spans="1:3" ht="15" customHeight="1" x14ac:dyDescent="0.25">
      <c r="B10" s="5" t="s">
        <v>39</v>
      </c>
      <c r="C10" s="45">
        <v>0.193244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0.23100000000000001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0.1333</v>
      </c>
    </row>
    <row r="24" spans="1:3" ht="15" customHeight="1" x14ac:dyDescent="0.25">
      <c r="B24" s="15" t="s">
        <v>51</v>
      </c>
      <c r="C24" s="45">
        <v>0.43609999999999999</v>
      </c>
    </row>
    <row r="25" spans="1:3" ht="15" customHeight="1" x14ac:dyDescent="0.25">
      <c r="B25" s="15" t="s">
        <v>52</v>
      </c>
      <c r="C25" s="45">
        <v>0.33139999999999997</v>
      </c>
    </row>
    <row r="26" spans="1:3" ht="15" customHeight="1" x14ac:dyDescent="0.25">
      <c r="B26" s="15" t="s">
        <v>53</v>
      </c>
      <c r="C26" s="45">
        <v>9.9199999999999997E-2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0.36436667713324611</v>
      </c>
    </row>
    <row r="30" spans="1:3" ht="14.25" customHeight="1" x14ac:dyDescent="0.25">
      <c r="B30" s="25" t="s">
        <v>56</v>
      </c>
      <c r="C30" s="97">
        <v>3.1826740703756698E-2</v>
      </c>
    </row>
    <row r="31" spans="1:3" ht="14.25" customHeight="1" x14ac:dyDescent="0.25">
      <c r="B31" s="25" t="s">
        <v>57</v>
      </c>
      <c r="C31" s="97">
        <v>8.8013370344364308E-2</v>
      </c>
    </row>
    <row r="32" spans="1:3" ht="14.25" customHeight="1" x14ac:dyDescent="0.25">
      <c r="B32" s="25" t="s">
        <v>58</v>
      </c>
      <c r="C32" s="97">
        <v>0.51579321181863302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27.510059999999999</v>
      </c>
    </row>
    <row r="38" spans="1:5" ht="15" customHeight="1" x14ac:dyDescent="0.25">
      <c r="B38" s="11" t="s">
        <v>63</v>
      </c>
      <c r="C38" s="43">
        <v>50.996070000000003</v>
      </c>
      <c r="D38" s="12"/>
      <c r="E38" s="13"/>
    </row>
    <row r="39" spans="1:5" ht="15" customHeight="1" x14ac:dyDescent="0.25">
      <c r="B39" s="11" t="s">
        <v>64</v>
      </c>
      <c r="C39" s="43">
        <v>69.558430000000001</v>
      </c>
      <c r="D39" s="12"/>
      <c r="E39" s="12"/>
    </row>
    <row r="40" spans="1:5" ht="15" customHeight="1" x14ac:dyDescent="0.25">
      <c r="B40" s="11" t="s">
        <v>65</v>
      </c>
      <c r="C40" s="98">
        <v>1.27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17.340620000000001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5.9898E-3</v>
      </c>
      <c r="D45" s="12"/>
    </row>
    <row r="46" spans="1:5" ht="15.75" customHeight="1" x14ac:dyDescent="0.25">
      <c r="B46" s="11" t="s">
        <v>70</v>
      </c>
      <c r="C46" s="45">
        <v>6.4360000000000001E-2</v>
      </c>
      <c r="D46" s="12"/>
    </row>
    <row r="47" spans="1:5" ht="15.75" customHeight="1" x14ac:dyDescent="0.25">
      <c r="B47" s="11" t="s">
        <v>71</v>
      </c>
      <c r="C47" s="45">
        <v>7.5305200000000003E-2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1.482</v>
      </c>
      <c r="D51" s="12"/>
    </row>
    <row r="52" spans="1:4" ht="15" customHeight="1" x14ac:dyDescent="0.25">
      <c r="B52" s="11" t="s">
        <v>75</v>
      </c>
      <c r="C52" s="98">
        <v>1.482</v>
      </c>
    </row>
    <row r="53" spans="1:4" ht="15.75" customHeight="1" x14ac:dyDescent="0.25">
      <c r="B53" s="11" t="s">
        <v>76</v>
      </c>
      <c r="C53" s="98">
        <v>4.7839999999999998</v>
      </c>
    </row>
    <row r="54" spans="1:4" ht="15.75" customHeight="1" x14ac:dyDescent="0.25">
      <c r="B54" s="11" t="s">
        <v>77</v>
      </c>
      <c r="C54" s="98">
        <v>4.9660000000000002</v>
      </c>
    </row>
    <row r="55" spans="1:4" ht="15.75" customHeight="1" x14ac:dyDescent="0.25">
      <c r="B55" s="11" t="s">
        <v>78</v>
      </c>
      <c r="C55" s="98">
        <v>1.976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0.44236700000000001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0.17760202759999999</v>
      </c>
    </row>
    <row r="63" spans="1:4" ht="15.75" customHeight="1" x14ac:dyDescent="0.3">
      <c r="A63" s="4"/>
    </row>
  </sheetData>
  <sheetProtection algorithmName="SHA-512" hashValue="T4uyeHSZqo7FTOFvol42/86wLhFYjXaIrJxMzvIxA5iwHzVK7j4c2hfHUnuXq50Di9iGJBDGT5JR2hKRofoe/A==" saltValue="luys2UNtNVj60B2HSR0V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5895851</v>
      </c>
      <c r="C2" s="49">
        <v>1461497</v>
      </c>
      <c r="D2" s="49">
        <v>2559642.5</v>
      </c>
      <c r="E2" s="49">
        <v>4140307</v>
      </c>
      <c r="F2" s="49">
        <v>2975362</v>
      </c>
      <c r="G2" s="17">
        <f t="shared" ref="G2:G13" si="0">C2+D2+E2+F2</f>
        <v>11136808.5</v>
      </c>
      <c r="H2" s="17">
        <f t="shared" ref="H2:H13" si="1">(B2 + stillbirth*B2/(1000-stillbirth))/(1-abortion)</f>
        <v>6818060.0706403293</v>
      </c>
      <c r="I2" s="17">
        <f t="shared" ref="I2:I13" si="2">G2-H2</f>
        <v>4318748.4293596707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1282336</v>
      </c>
      <c r="C3" s="50">
        <v>1885988.5</v>
      </c>
      <c r="D3" s="50">
        <v>3008099.5000000005</v>
      </c>
      <c r="E3" s="50">
        <v>2101093.5</v>
      </c>
      <c r="F3" s="50">
        <v>1386918.5</v>
      </c>
      <c r="G3" s="17">
        <f t="shared" si="0"/>
        <v>8382100</v>
      </c>
      <c r="H3" s="17">
        <f t="shared" si="1"/>
        <v>1482914.6596046335</v>
      </c>
      <c r="I3" s="17">
        <f t="shared" si="2"/>
        <v>6899185.3403953668</v>
      </c>
    </row>
    <row r="4" spans="1:9" ht="15.75" customHeight="1" x14ac:dyDescent="0.25">
      <c r="A4" s="5">
        <f t="shared" si="3"/>
        <v>2026</v>
      </c>
      <c r="B4" s="49">
        <v>1304409</v>
      </c>
      <c r="C4" s="50">
        <v>1959257</v>
      </c>
      <c r="D4" s="50">
        <v>3088837.5</v>
      </c>
      <c r="E4" s="50">
        <v>2172639</v>
      </c>
      <c r="F4" s="50">
        <v>1441778.5</v>
      </c>
      <c r="G4" s="17">
        <f t="shared" si="0"/>
        <v>8662512</v>
      </c>
      <c r="H4" s="17">
        <f t="shared" si="1"/>
        <v>1508440.2436024724</v>
      </c>
      <c r="I4" s="17">
        <f t="shared" si="2"/>
        <v>7154071.7563975276</v>
      </c>
    </row>
    <row r="5" spans="1:9" ht="15.75" customHeight="1" x14ac:dyDescent="0.25">
      <c r="A5" s="5">
        <f t="shared" si="3"/>
        <v>2027</v>
      </c>
      <c r="B5" s="49">
        <v>1323752</v>
      </c>
      <c r="C5" s="50">
        <v>2035457</v>
      </c>
      <c r="D5" s="50">
        <v>3167394</v>
      </c>
      <c r="E5" s="50">
        <v>2245427.5</v>
      </c>
      <c r="F5" s="50">
        <v>1500167.5</v>
      </c>
      <c r="G5" s="17">
        <f t="shared" si="0"/>
        <v>8948446</v>
      </c>
      <c r="H5" s="17">
        <f t="shared" si="1"/>
        <v>1530808.8102345662</v>
      </c>
      <c r="I5" s="17">
        <f t="shared" si="2"/>
        <v>7417637.1897654338</v>
      </c>
    </row>
    <row r="6" spans="1:9" ht="15.75" customHeight="1" x14ac:dyDescent="0.25">
      <c r="A6" s="5">
        <f t="shared" si="3"/>
        <v>2028</v>
      </c>
      <c r="B6" s="49">
        <v>1341734</v>
      </c>
      <c r="C6" s="50">
        <v>2111740.5</v>
      </c>
      <c r="D6" s="50">
        <v>3247764</v>
      </c>
      <c r="E6" s="50">
        <v>2321562.5</v>
      </c>
      <c r="F6" s="50">
        <v>1561576.5000000002</v>
      </c>
      <c r="G6" s="17">
        <f t="shared" si="0"/>
        <v>9242643.5</v>
      </c>
      <c r="H6" s="17">
        <f t="shared" si="1"/>
        <v>1551603.493850257</v>
      </c>
      <c r="I6" s="17">
        <f t="shared" si="2"/>
        <v>7691040.0061497428</v>
      </c>
    </row>
    <row r="7" spans="1:9" ht="15.75" customHeight="1" x14ac:dyDescent="0.25">
      <c r="A7" s="5">
        <f t="shared" si="3"/>
        <v>2029</v>
      </c>
      <c r="B7" s="49">
        <v>1364651</v>
      </c>
      <c r="C7" s="50">
        <v>2181194</v>
      </c>
      <c r="D7" s="50">
        <v>3336208</v>
      </c>
      <c r="E7" s="50">
        <v>2400327.5000000005</v>
      </c>
      <c r="F7" s="50">
        <v>1622709.5</v>
      </c>
      <c r="G7" s="17">
        <f t="shared" si="0"/>
        <v>9540439</v>
      </c>
      <c r="H7" s="17">
        <f t="shared" si="1"/>
        <v>1578105.0934732568</v>
      </c>
      <c r="I7" s="17">
        <f t="shared" si="2"/>
        <v>7962333.9065267434</v>
      </c>
    </row>
    <row r="8" spans="1:9" ht="15.75" customHeight="1" x14ac:dyDescent="0.25">
      <c r="A8" s="5">
        <f t="shared" si="3"/>
        <v>2030</v>
      </c>
      <c r="B8" s="49">
        <v>1380621</v>
      </c>
      <c r="C8" s="50">
        <v>2238513.5</v>
      </c>
      <c r="D8" s="50">
        <v>3435817.5</v>
      </c>
      <c r="E8" s="50">
        <v>2481597.5</v>
      </c>
      <c r="F8" s="50">
        <v>1682356</v>
      </c>
      <c r="G8" s="17">
        <f t="shared" si="0"/>
        <v>9838284.5</v>
      </c>
      <c r="H8" s="17">
        <f t="shared" si="1"/>
        <v>1596573.0668545596</v>
      </c>
      <c r="I8" s="17">
        <f t="shared" si="2"/>
        <v>8241711.4331454402</v>
      </c>
    </row>
    <row r="9" spans="1:9" ht="15.75" customHeight="1" x14ac:dyDescent="0.25">
      <c r="A9" s="5">
        <f t="shared" si="3"/>
        <v>2031</v>
      </c>
      <c r="B9" s="49">
        <v>1397803</v>
      </c>
      <c r="C9" s="50">
        <v>2288565.5</v>
      </c>
      <c r="D9" s="50">
        <v>3542314.5</v>
      </c>
      <c r="E9" s="50">
        <v>2564212.5</v>
      </c>
      <c r="F9" s="50">
        <v>1742103.5</v>
      </c>
      <c r="G9" s="17">
        <f t="shared" si="0"/>
        <v>10137196</v>
      </c>
      <c r="H9" s="17">
        <f t="shared" si="1"/>
        <v>1616442.6171762592</v>
      </c>
      <c r="I9" s="17">
        <f t="shared" si="2"/>
        <v>8520753.3828237411</v>
      </c>
    </row>
    <row r="10" spans="1:9" ht="15.75" customHeight="1" x14ac:dyDescent="0.25">
      <c r="A10" s="5">
        <f t="shared" si="3"/>
        <v>2032</v>
      </c>
      <c r="B10" s="49">
        <v>1411196</v>
      </c>
      <c r="C10" s="50">
        <v>2338257</v>
      </c>
      <c r="D10" s="50">
        <v>3653383.5</v>
      </c>
      <c r="E10" s="50">
        <v>2646907</v>
      </c>
      <c r="F10" s="50">
        <v>1804759.5</v>
      </c>
      <c r="G10" s="17">
        <f t="shared" si="0"/>
        <v>10443307</v>
      </c>
      <c r="H10" s="17">
        <f t="shared" si="1"/>
        <v>1631930.5049342918</v>
      </c>
      <c r="I10" s="17">
        <f t="shared" si="2"/>
        <v>8811376.4950657077</v>
      </c>
    </row>
    <row r="11" spans="1:9" ht="15.75" customHeight="1" x14ac:dyDescent="0.25">
      <c r="A11" s="5">
        <f t="shared" si="3"/>
        <v>2033</v>
      </c>
      <c r="B11" s="49">
        <v>1423875</v>
      </c>
      <c r="C11" s="50">
        <v>2389378</v>
      </c>
      <c r="D11" s="50">
        <v>3770174.5</v>
      </c>
      <c r="E11" s="50">
        <v>2729535.5</v>
      </c>
      <c r="F11" s="50">
        <v>1871325.5</v>
      </c>
      <c r="G11" s="17">
        <f t="shared" si="0"/>
        <v>10760413.5</v>
      </c>
      <c r="H11" s="17">
        <f t="shared" si="1"/>
        <v>1646592.7112274375</v>
      </c>
      <c r="I11" s="17">
        <f t="shared" si="2"/>
        <v>9113820.7887725625</v>
      </c>
    </row>
    <row r="12" spans="1:9" ht="15.75" customHeight="1" x14ac:dyDescent="0.25">
      <c r="A12" s="5">
        <f t="shared" si="3"/>
        <v>2034</v>
      </c>
      <c r="B12" s="49">
        <v>1435315</v>
      </c>
      <c r="C12" s="50">
        <v>2442347</v>
      </c>
      <c r="D12" s="50">
        <v>3891568.5000000005</v>
      </c>
      <c r="E12" s="50">
        <v>2811160.5</v>
      </c>
      <c r="F12" s="50">
        <v>1939996.5</v>
      </c>
      <c r="G12" s="17">
        <f t="shared" si="0"/>
        <v>11085072.5</v>
      </c>
      <c r="H12" s="17">
        <f t="shared" si="1"/>
        <v>1659822.1173315139</v>
      </c>
      <c r="I12" s="17">
        <f t="shared" si="2"/>
        <v>9425250.3826684859</v>
      </c>
    </row>
    <row r="13" spans="1:9" ht="15.75" customHeight="1" x14ac:dyDescent="0.25">
      <c r="A13" s="5">
        <f t="shared" si="3"/>
        <v>2035</v>
      </c>
      <c r="B13" s="49">
        <v>1448712</v>
      </c>
      <c r="C13" s="50">
        <v>2499440.5</v>
      </c>
      <c r="D13" s="50">
        <v>4015569.5</v>
      </c>
      <c r="E13" s="50">
        <v>2893152.5</v>
      </c>
      <c r="F13" s="50">
        <v>2010106.0000000002</v>
      </c>
      <c r="G13" s="17">
        <f t="shared" si="0"/>
        <v>11418268.5</v>
      </c>
      <c r="H13" s="17">
        <f t="shared" si="1"/>
        <v>1675314.6307560168</v>
      </c>
      <c r="I13" s="17">
        <f t="shared" si="2"/>
        <v>9742953.8692439832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YK434cOWgOzyVo7HpUNj9OvIYCsuVJVil1UUe9mLNbiXWpdQy6PLlSIXKYHoqixQ4LtX/YW8RWAiweovdRKWg==" saltValue="8rE+sa+A8edabiN9EguJi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1.349399999999999E-2</v>
      </c>
    </row>
    <row r="4" spans="1:8" ht="15.75" customHeight="1" x14ac:dyDescent="0.25">
      <c r="B4" s="19" t="s">
        <v>97</v>
      </c>
      <c r="C4" s="99">
        <v>7.2576899999999916E-2</v>
      </c>
    </row>
    <row r="5" spans="1:8" ht="15.75" customHeight="1" x14ac:dyDescent="0.25">
      <c r="B5" s="19" t="s">
        <v>98</v>
      </c>
      <c r="C5" s="99">
        <v>4.2096300000000107E-2</v>
      </c>
    </row>
    <row r="6" spans="1:8" ht="15.75" customHeight="1" x14ac:dyDescent="0.25">
      <c r="B6" s="19" t="s">
        <v>99</v>
      </c>
      <c r="C6" s="99">
        <v>0.2173944999999998</v>
      </c>
    </row>
    <row r="7" spans="1:8" ht="15.75" customHeight="1" x14ac:dyDescent="0.25">
      <c r="B7" s="19" t="s">
        <v>100</v>
      </c>
      <c r="C7" s="99">
        <v>0.48265060000000032</v>
      </c>
    </row>
    <row r="8" spans="1:8" ht="15.75" customHeight="1" x14ac:dyDescent="0.25">
      <c r="B8" s="19" t="s">
        <v>101</v>
      </c>
      <c r="C8" s="99">
        <v>2.6702999999999879E-3</v>
      </c>
    </row>
    <row r="9" spans="1:8" ht="15.75" customHeight="1" x14ac:dyDescent="0.25">
      <c r="B9" s="19" t="s">
        <v>102</v>
      </c>
      <c r="C9" s="99">
        <v>6.2363899999999937E-2</v>
      </c>
    </row>
    <row r="10" spans="1:8" ht="15.75" customHeight="1" x14ac:dyDescent="0.25">
      <c r="B10" s="19" t="s">
        <v>103</v>
      </c>
      <c r="C10" s="99">
        <v>0.1067535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0.1077170814395995</v>
      </c>
      <c r="D14" s="55">
        <v>0.1077170814395995</v>
      </c>
      <c r="E14" s="55">
        <v>0.1077170814395995</v>
      </c>
      <c r="F14" s="55">
        <v>0.1077170814395995</v>
      </c>
    </row>
    <row r="15" spans="1:8" ht="15.75" customHeight="1" x14ac:dyDescent="0.25">
      <c r="B15" s="19" t="s">
        <v>106</v>
      </c>
      <c r="C15" s="99">
        <v>0.12865459138785451</v>
      </c>
      <c r="D15" s="99">
        <v>0.12865459138785451</v>
      </c>
      <c r="E15" s="99">
        <v>0.12865459138785451</v>
      </c>
      <c r="F15" s="99">
        <v>0.12865459138785451</v>
      </c>
    </row>
    <row r="16" spans="1:8" ht="15.75" customHeight="1" x14ac:dyDescent="0.25">
      <c r="B16" s="19" t="s">
        <v>107</v>
      </c>
      <c r="C16" s="99">
        <v>1.906398887236008E-2</v>
      </c>
      <c r="D16" s="99">
        <v>1.906398887236008E-2</v>
      </c>
      <c r="E16" s="99">
        <v>1.906398887236008E-2</v>
      </c>
      <c r="F16" s="99">
        <v>1.906398887236008E-2</v>
      </c>
    </row>
    <row r="17" spans="1:8" ht="15.75" customHeight="1" x14ac:dyDescent="0.25">
      <c r="B17" s="19" t="s">
        <v>108</v>
      </c>
      <c r="C17" s="99">
        <v>3.8126231505109469E-5</v>
      </c>
      <c r="D17" s="99">
        <v>3.8126231505109469E-5</v>
      </c>
      <c r="E17" s="99">
        <v>3.8126231505109469E-5</v>
      </c>
      <c r="F17" s="99">
        <v>3.8126231505109469E-5</v>
      </c>
    </row>
    <row r="18" spans="1:8" ht="15.75" customHeight="1" x14ac:dyDescent="0.25">
      <c r="B18" s="19" t="s">
        <v>109</v>
      </c>
      <c r="C18" s="99">
        <v>0.33809158536327971</v>
      </c>
      <c r="D18" s="99">
        <v>0.33809158536327971</v>
      </c>
      <c r="E18" s="99">
        <v>0.33809158536327971</v>
      </c>
      <c r="F18" s="99">
        <v>0.33809158536327971</v>
      </c>
    </row>
    <row r="19" spans="1:8" ht="15.75" customHeight="1" x14ac:dyDescent="0.25">
      <c r="B19" s="19" t="s">
        <v>110</v>
      </c>
      <c r="C19" s="99">
        <v>2.108545524862462E-2</v>
      </c>
      <c r="D19" s="99">
        <v>2.108545524862462E-2</v>
      </c>
      <c r="E19" s="99">
        <v>2.108545524862462E-2</v>
      </c>
      <c r="F19" s="99">
        <v>2.108545524862462E-2</v>
      </c>
    </row>
    <row r="20" spans="1:8" ht="15.75" customHeight="1" x14ac:dyDescent="0.25">
      <c r="B20" s="19" t="s">
        <v>111</v>
      </c>
      <c r="C20" s="99">
        <v>0.18240857688722359</v>
      </c>
      <c r="D20" s="99">
        <v>0.18240857688722359</v>
      </c>
      <c r="E20" s="99">
        <v>0.18240857688722359</v>
      </c>
      <c r="F20" s="99">
        <v>0.18240857688722359</v>
      </c>
    </row>
    <row r="21" spans="1:8" ht="15.75" customHeight="1" x14ac:dyDescent="0.25">
      <c r="B21" s="19" t="s">
        <v>112</v>
      </c>
      <c r="C21" s="99">
        <v>5.3937170008947127E-2</v>
      </c>
      <c r="D21" s="99">
        <v>5.3937170008947127E-2</v>
      </c>
      <c r="E21" s="99">
        <v>5.3937170008947127E-2</v>
      </c>
      <c r="F21" s="99">
        <v>5.3937170008947127E-2</v>
      </c>
    </row>
    <row r="22" spans="1:8" ht="15.75" customHeight="1" x14ac:dyDescent="0.25">
      <c r="B22" s="19" t="s">
        <v>113</v>
      </c>
      <c r="C22" s="99">
        <v>0.1490034245606057</v>
      </c>
      <c r="D22" s="99">
        <v>0.1490034245606057</v>
      </c>
      <c r="E22" s="99">
        <v>0.1490034245606057</v>
      </c>
      <c r="F22" s="99">
        <v>0.1490034245606057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6.1259088000000003E-2</v>
      </c>
    </row>
    <row r="27" spans="1:8" ht="15.75" customHeight="1" x14ac:dyDescent="0.25">
      <c r="B27" s="19" t="s">
        <v>120</v>
      </c>
      <c r="C27" s="99">
        <v>1.4566589999999999E-3</v>
      </c>
    </row>
    <row r="28" spans="1:8" ht="15.75" customHeight="1" x14ac:dyDescent="0.25">
      <c r="B28" s="19" t="s">
        <v>121</v>
      </c>
      <c r="C28" s="99">
        <v>0.11299475</v>
      </c>
    </row>
    <row r="29" spans="1:8" ht="15.75" customHeight="1" x14ac:dyDescent="0.25">
      <c r="B29" s="19" t="s">
        <v>122</v>
      </c>
      <c r="C29" s="99">
        <v>9.3433585999999999E-2</v>
      </c>
    </row>
    <row r="30" spans="1:8" ht="15.75" customHeight="1" x14ac:dyDescent="0.25">
      <c r="B30" s="19" t="s">
        <v>2</v>
      </c>
      <c r="C30" s="99">
        <v>0.110914363</v>
      </c>
    </row>
    <row r="31" spans="1:8" ht="15.75" customHeight="1" x14ac:dyDescent="0.25">
      <c r="B31" s="19" t="s">
        <v>123</v>
      </c>
      <c r="C31" s="99">
        <v>3.1485054999999998E-2</v>
      </c>
    </row>
    <row r="32" spans="1:8" ht="15.75" customHeight="1" x14ac:dyDescent="0.25">
      <c r="B32" s="19" t="s">
        <v>124</v>
      </c>
      <c r="C32" s="99">
        <v>8.0639849999999992E-3</v>
      </c>
    </row>
    <row r="33" spans="2:3" ht="15.75" customHeight="1" x14ac:dyDescent="0.25">
      <c r="B33" s="19" t="s">
        <v>125</v>
      </c>
      <c r="C33" s="99">
        <v>2.7219621999999999E-2</v>
      </c>
    </row>
    <row r="34" spans="2:3" ht="15.75" customHeight="1" x14ac:dyDescent="0.25">
      <c r="B34" s="19" t="s">
        <v>126</v>
      </c>
      <c r="C34" s="99">
        <v>0.553172891</v>
      </c>
    </row>
    <row r="35" spans="2:3" ht="15.75" customHeight="1" x14ac:dyDescent="0.25">
      <c r="B35" s="27" t="s">
        <v>59</v>
      </c>
      <c r="C35" s="48">
        <f>SUM(C26:C34)</f>
        <v>0.99999999900000003</v>
      </c>
    </row>
  </sheetData>
  <sheetProtection algorithmName="SHA-512" hashValue="roODBCVZBVTtA31wwUA9VtAkeVoGNwbFvNF1T9FKwLnfuwXxR+Ox8FwiLXxI7HKw/xhlvLXDC/Xz1jZIrByvpg==" saltValue="8NAzKfwqTww6TkdW27K6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0.30213993946201056</v>
      </c>
      <c r="D2" s="52">
        <f>IFERROR(1-_xlfn.NORM.DIST(_xlfn.NORM.INV(SUM(D4:D5), 0, 1) + 1, 0, 1, TRUE), "")</f>
        <v>0.30213993946201056</v>
      </c>
      <c r="E2" s="52">
        <f>IFERROR(1-_xlfn.NORM.DIST(_xlfn.NORM.INV(SUM(E4:E5), 0, 1) + 1, 0, 1, TRUE), "")</f>
        <v>0.28948327683712449</v>
      </c>
      <c r="F2" s="52">
        <f>IFERROR(1-_xlfn.NORM.DIST(_xlfn.NORM.INV(SUM(F4:F5), 0, 1) + 1, 0, 1, TRUE), "")</f>
        <v>0.18518781688650088</v>
      </c>
      <c r="G2" s="52">
        <f>IFERROR(1-_xlfn.NORM.DIST(_xlfn.NORM.INV(SUM(G4:G5), 0, 1) + 1, 0, 1, TRUE), "")</f>
        <v>0.18511169316736198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0.38286626053798944</v>
      </c>
      <c r="D3" s="52">
        <f>IFERROR(_xlfn.NORM.DIST(_xlfn.NORM.INV(SUM(D4:D5), 0, 1) + 1, 0, 1, TRUE) - SUM(D4:D5), "")</f>
        <v>0.38286626053798944</v>
      </c>
      <c r="E3" s="52">
        <f>IFERROR(_xlfn.NORM.DIST(_xlfn.NORM.INV(SUM(E4:E5), 0, 1) + 1, 0, 1, TRUE) - SUM(E4:E5), "")</f>
        <v>0.38239482316287549</v>
      </c>
      <c r="F3" s="52">
        <f>IFERROR(_xlfn.NORM.DIST(_xlfn.NORM.INV(SUM(F4:F5), 0, 1) + 1, 0, 1, TRUE) - SUM(F4:F5), "")</f>
        <v>0.35631878311349913</v>
      </c>
      <c r="G3" s="52">
        <f>IFERROR(_xlfn.NORM.DIST(_xlfn.NORM.INV(SUM(G4:G5), 0, 1) + 1, 0, 1, TRUE) - SUM(G4:G5), "")</f>
        <v>0.35628180683263799</v>
      </c>
    </row>
    <row r="4" spans="1:15" ht="15.75" customHeight="1" x14ac:dyDescent="0.25">
      <c r="B4" s="5" t="s">
        <v>132</v>
      </c>
      <c r="C4" s="45">
        <v>0.14624999999999999</v>
      </c>
      <c r="D4" s="53">
        <v>0.14624999999999999</v>
      </c>
      <c r="E4" s="53">
        <v>0.16680600000000001</v>
      </c>
      <c r="F4" s="53">
        <v>0.23563799999999999</v>
      </c>
      <c r="G4" s="53">
        <v>0.24798770000000001</v>
      </c>
    </row>
    <row r="5" spans="1:15" ht="15.75" customHeight="1" x14ac:dyDescent="0.25">
      <c r="B5" s="5" t="s">
        <v>133</v>
      </c>
      <c r="C5" s="45">
        <v>0.1687438</v>
      </c>
      <c r="D5" s="53">
        <v>0.1687438</v>
      </c>
      <c r="E5" s="53">
        <v>0.16131590000000001</v>
      </c>
      <c r="F5" s="53">
        <v>0.22285540000000001</v>
      </c>
      <c r="G5" s="53">
        <v>0.21061879999999999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0.58418213439243938</v>
      </c>
      <c r="D8" s="52">
        <f>IFERROR(1-_xlfn.NORM.DIST(_xlfn.NORM.INV(SUM(D10:D11), 0, 1) + 1, 0, 1, TRUE), "")</f>
        <v>0.58418213439243938</v>
      </c>
      <c r="E8" s="52">
        <f>IFERROR(1-_xlfn.NORM.DIST(_xlfn.NORM.INV(SUM(E10:E11), 0, 1) + 1, 0, 1, TRUE), "")</f>
        <v>0.60648081599193404</v>
      </c>
      <c r="F8" s="52">
        <f>IFERROR(1-_xlfn.NORM.DIST(_xlfn.NORM.INV(SUM(F10:F11), 0, 1) + 1, 0, 1, TRUE), "")</f>
        <v>0.64048962537262122</v>
      </c>
      <c r="G8" s="52">
        <f>IFERROR(1-_xlfn.NORM.DIST(_xlfn.NORM.INV(SUM(G10:G11), 0, 1) + 1, 0, 1, TRUE), "")</f>
        <v>0.78801297370210732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0.3031772656075607</v>
      </c>
      <c r="D9" s="52">
        <f>IFERROR(_xlfn.NORM.DIST(_xlfn.NORM.INV(SUM(D10:D11), 0, 1) + 1, 0, 1, TRUE) - SUM(D10:D11), "")</f>
        <v>0.3031772656075607</v>
      </c>
      <c r="E9" s="52">
        <f>IFERROR(_xlfn.NORM.DIST(_xlfn.NORM.INV(SUM(E10:E11), 0, 1) + 1, 0, 1, TRUE) - SUM(E10:E11), "")</f>
        <v>0.29150508400806596</v>
      </c>
      <c r="F9" s="52">
        <f>IFERROR(_xlfn.NORM.DIST(_xlfn.NORM.INV(SUM(F10:F11), 0, 1) + 1, 0, 1, TRUE) - SUM(F10:F11), "")</f>
        <v>0.27255867462737882</v>
      </c>
      <c r="G9" s="52">
        <f>IFERROR(_xlfn.NORM.DIST(_xlfn.NORM.INV(SUM(G10:G11), 0, 1) + 1, 0, 1, TRUE) - SUM(G10:G11), "")</f>
        <v>0.17602082629789273</v>
      </c>
    </row>
    <row r="10" spans="1:15" ht="15.75" customHeight="1" x14ac:dyDescent="0.25">
      <c r="B10" s="5" t="s">
        <v>137</v>
      </c>
      <c r="C10" s="45">
        <v>6.4764199999999994E-2</v>
      </c>
      <c r="D10" s="53">
        <v>6.4764199999999994E-2</v>
      </c>
      <c r="E10" s="53">
        <v>7.1766399999999994E-2</v>
      </c>
      <c r="F10" s="53">
        <v>4.9995199999999997E-2</v>
      </c>
      <c r="G10" s="53">
        <v>2.2535199999999998E-2</v>
      </c>
    </row>
    <row r="11" spans="1:15" ht="15.75" customHeight="1" x14ac:dyDescent="0.25">
      <c r="B11" s="5" t="s">
        <v>138</v>
      </c>
      <c r="C11" s="45">
        <v>4.78764E-2</v>
      </c>
      <c r="D11" s="53">
        <v>4.78764E-2</v>
      </c>
      <c r="E11" s="53">
        <v>3.0247699999999999E-2</v>
      </c>
      <c r="F11" s="53">
        <v>3.6956500000000003E-2</v>
      </c>
      <c r="G11" s="53">
        <v>1.3431E-2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0.81311313574999999</v>
      </c>
      <c r="D14" s="54">
        <v>0.80806199841699988</v>
      </c>
      <c r="E14" s="54">
        <v>0.80806199841699988</v>
      </c>
      <c r="F14" s="54">
        <v>0.66652422919499998</v>
      </c>
      <c r="G14" s="54">
        <v>0.66652422919499998</v>
      </c>
      <c r="H14" s="45">
        <v>0.50700000000000001</v>
      </c>
      <c r="I14" s="55">
        <v>0.50700000000000001</v>
      </c>
      <c r="J14" s="55">
        <v>0.50700000000000001</v>
      </c>
      <c r="K14" s="55">
        <v>0.50700000000000001</v>
      </c>
      <c r="L14" s="45">
        <v>0.51100000000000001</v>
      </c>
      <c r="M14" s="55">
        <v>0.51100000000000001</v>
      </c>
      <c r="N14" s="55">
        <v>0.51100000000000001</v>
      </c>
      <c r="O14" s="55">
        <v>0.51100000000000001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0.35969441852232026</v>
      </c>
      <c r="D15" s="52">
        <f t="shared" si="0"/>
        <v>0.35745996205373298</v>
      </c>
      <c r="E15" s="52">
        <f t="shared" si="0"/>
        <v>0.35745996205373298</v>
      </c>
      <c r="F15" s="52">
        <f t="shared" si="0"/>
        <v>0.29484832369630454</v>
      </c>
      <c r="G15" s="52">
        <f t="shared" si="0"/>
        <v>0.29484832369630454</v>
      </c>
      <c r="H15" s="52">
        <f t="shared" si="0"/>
        <v>0.224280069</v>
      </c>
      <c r="I15" s="52">
        <f t="shared" si="0"/>
        <v>0.224280069</v>
      </c>
      <c r="J15" s="52">
        <f t="shared" si="0"/>
        <v>0.224280069</v>
      </c>
      <c r="K15" s="52">
        <f t="shared" si="0"/>
        <v>0.224280069</v>
      </c>
      <c r="L15" s="52">
        <f t="shared" si="0"/>
        <v>0.22604953700000002</v>
      </c>
      <c r="M15" s="52">
        <f t="shared" si="0"/>
        <v>0.22604953700000002</v>
      </c>
      <c r="N15" s="52">
        <f t="shared" si="0"/>
        <v>0.22604953700000002</v>
      </c>
      <c r="O15" s="52">
        <f t="shared" si="0"/>
        <v>0.22604953700000002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45mywrutJGP3g8cUuhpFQhDqHzz96nk6oxtk0a2QLqSpz+me2REA/YMmKHVyhr1yJY/oq4p6b+wvL6zBhjzSug==" saltValue="0oP1q5aC4AHC6khq7tGx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0.76308629999999988</v>
      </c>
      <c r="D2" s="53">
        <v>0.52076729999999993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0.170489</v>
      </c>
      <c r="D3" s="53">
        <v>0.24915860000000001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3.2777899999999999E-2</v>
      </c>
      <c r="D4" s="53">
        <v>0.20150290000000001</v>
      </c>
      <c r="E4" s="53">
        <v>0.9582562</v>
      </c>
      <c r="F4" s="53">
        <v>0.74703900000000001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3.3646800000000088E-2</v>
      </c>
      <c r="D5" s="52">
        <f t="shared" si="0"/>
        <v>2.8571200000000019E-2</v>
      </c>
      <c r="E5" s="52">
        <f>1-SUM(E2:E4)</f>
        <v>4.1743799999999998E-2</v>
      </c>
      <c r="F5" s="52">
        <f>1-SUM(F2:F4)</f>
        <v>0.25296099999999999</v>
      </c>
      <c r="G5" s="52">
        <f>1-SUM(G2:G4)</f>
        <v>1</v>
      </c>
    </row>
  </sheetData>
  <sheetProtection algorithmName="SHA-512" hashValue="JNidmYWQK9rguckUbRUQzOMThIx6aPolN7jTxpOEsNn6wQ95kjBX//hOcL3I81B9eO31klY565ds4a6oAiL9Bg==" saltValue="4c3g6hdUnAoOg4VaYhRZP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YRjsx7RfFbCVfqYCWfwk/hsQUParx4egcI1USAah3xVjeYXOLs7krb8/kygvZMI8T1IeqInfjoTv/u/7iyGiw==" saltValue="OIloavkXDBeZK1LmcHH5X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558.29860644822099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0.52029999999999998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0.78664000000000001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2.7805426073373236E-2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92619.819210000001</v>
      </c>
      <c r="C22" s="107">
        <v>91876.968429999994</v>
      </c>
      <c r="D22" s="107">
        <v>91209.951830000005</v>
      </c>
      <c r="E22" s="107">
        <v>90074.743470000001</v>
      </c>
      <c r="F22" s="107">
        <v>88482.203389999995</v>
      </c>
      <c r="G22" s="107">
        <v>86214.057310000004</v>
      </c>
      <c r="H22" s="107">
        <v>83037.319059999994</v>
      </c>
      <c r="I22" s="107">
        <v>79057.176449999999</v>
      </c>
      <c r="J22" s="107">
        <v>74354.464739999996</v>
      </c>
      <c r="K22" s="107">
        <v>69075.701620000007</v>
      </c>
      <c r="L22" s="107">
        <v>63098.8868</v>
      </c>
      <c r="M22" s="107">
        <v>56279.688300000002</v>
      </c>
      <c r="N22" s="107">
        <v>48258.068449999999</v>
      </c>
      <c r="O22" s="107">
        <v>39221.801379999997</v>
      </c>
    </row>
  </sheetData>
  <sheetProtection algorithmName="SHA-512" hashValue="VePCBkNrV3PBAlzCN+Knf8xUe1cwoAc9/6MsDNQhANuabVqT/tgPfw+vYfZqASA+/F8HiuvShl1gZA30TjuI9w==" saltValue="GJ5Dm7s4yj3g8UwIkgA/S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+Gbur2gtlFKsTR2arrZOMmuZ1xmX4bwm4ZYp/mXlP9YXrDhUO0sB2ty5RpNxbmCd0fkR08QVLLqr2yMkcoXCfw==" saltValue="wgNiyiCsPi2coezi33SyO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/nSZRwQARCwevXULZNkdtuXfFBKYLRo2V/l2m5alq+cakEKV5TESHFceCWNpM1qpy8Qf43z4yKSkxtb2Se6nww==" saltValue="u5hrtQbk/HDr/J8Akug+o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0.25866250000000002</v>
      </c>
      <c r="C10" s="96">
        <v>0.95</v>
      </c>
      <c r="D10" s="56">
        <v>14.142094420718051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14.142094420718051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14.142094420718051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14.142094420718051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14.142094420718051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0.5108009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8.60866666666667E-2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0.63300000000000001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0.52076729999999993</v>
      </c>
      <c r="C19" s="96">
        <v>0.95</v>
      </c>
      <c r="D19" s="56">
        <v>0.9940340129549281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0.64237399999999989</v>
      </c>
      <c r="C23" s="96">
        <v>0.95</v>
      </c>
      <c r="D23" s="56">
        <v>4.6291754106690286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0.49878249740505998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0.45933040000000003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0.28039049999999999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0.501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0.1222698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0.45039050000000003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7.9009999999999996E-4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0.41662450000000001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0.29399999999999998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DaUCrpcTIJ58oMIF8G1pq/LfKuuaj6gp3FK92yQ8vMpgeiHty4rJwC/VrAMGEtBeAo6pSvqPquyZyqbawXQKeg==" saltValue="Eh8WaZ5XWSIPfl3g2vrU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OoTV8Sem2uY4gRFl8dPWF9Nd5/KSSmOONLFdSDR2u5loe5zSOcGUvtwtGSFO21FkLFPHM6WYQ/n/B3NgSqSRw==" saltValue="LqMK8UpFpkf9cHTVmdPwC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5x/TWkuw0UrAntstDaKTULxu2tKZVONawU2m+DdKVWiUKWQijLiPgjwsGoD3d4G9QLaMG88d+J7lY7ZglVa+g==" saltValue="0nVMngAIDhkYkVviHjks6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1.482</v>
      </c>
      <c r="C2" s="21">
        <f>'Données pop de l''année de ref'!C52</f>
        <v>1.482</v>
      </c>
      <c r="D2" s="21">
        <f>'Données pop de l''année de ref'!C53</f>
        <v>4.7839999999999998</v>
      </c>
      <c r="E2" s="21">
        <f>'Données pop de l''année de ref'!C54</f>
        <v>4.9660000000000002</v>
      </c>
      <c r="F2" s="21">
        <f>'Données pop de l''année de ref'!C55</f>
        <v>1.976</v>
      </c>
    </row>
    <row r="3" spans="1:6" ht="15.75" customHeight="1" x14ac:dyDescent="0.25">
      <c r="A3" s="3" t="s">
        <v>238</v>
      </c>
      <c r="B3" s="21">
        <f>frac_mam_1month * 2.6</f>
        <v>0.16838692</v>
      </c>
      <c r="C3" s="21">
        <f>frac_mam_1_5months * 2.6</f>
        <v>0.16838692</v>
      </c>
      <c r="D3" s="21">
        <f>frac_mam_6_11months * 2.6</f>
        <v>0.18659264</v>
      </c>
      <c r="E3" s="21">
        <f>frac_mam_12_23months * 2.6</f>
        <v>0.12998752</v>
      </c>
      <c r="F3" s="21">
        <f>frac_mam_24_59months * 2.6</f>
        <v>5.8591519999999994E-2</v>
      </c>
    </row>
    <row r="4" spans="1:6" ht="15.75" customHeight="1" x14ac:dyDescent="0.25">
      <c r="A4" s="3" t="s">
        <v>237</v>
      </c>
      <c r="B4" s="21">
        <f>frac_sam_1month * 2.6</f>
        <v>0.12447864</v>
      </c>
      <c r="C4" s="21">
        <f>frac_sam_1_5months * 2.6</f>
        <v>0.12447864</v>
      </c>
      <c r="D4" s="21">
        <f>frac_sam_6_11months * 2.6</f>
        <v>7.8644019999999995E-2</v>
      </c>
      <c r="E4" s="21">
        <f>frac_sam_12_23months * 2.6</f>
        <v>9.6086900000000017E-2</v>
      </c>
      <c r="F4" s="21">
        <f>frac_sam_24_59months * 2.6</f>
        <v>3.4920600000000003E-2</v>
      </c>
    </row>
  </sheetData>
  <sheetProtection algorithmName="SHA-512" hashValue="IUjPLXayFL8O3avtJjSpI4d6yoNI4uuMXfWE//6fdjY2v+dTCFIr4e2kflF/OROIwaugRK4x1ccHTRMpChdo6A==" saltValue="Yk+hdL+ISDWGrxiTdvDG+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0.46100000000000002</v>
      </c>
      <c r="F2" s="60">
        <f>food_insecure</f>
        <v>0.46100000000000002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0.46100000000000002</v>
      </c>
      <c r="F5" s="60">
        <f>food_insecure</f>
        <v>0.46100000000000002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3.2334545454545456E-2</v>
      </c>
      <c r="D7" s="60">
        <f>diarrhoea_1_5mo*frac_diarrhea_severe</f>
        <v>3.2334545454545456E-2</v>
      </c>
      <c r="E7" s="60">
        <f>diarrhoea_6_11mo*frac_diarrhea_severe</f>
        <v>0.10437818181818183</v>
      </c>
      <c r="F7" s="60">
        <f>diarrhoea_12_23mo*frac_diarrhea_severe</f>
        <v>0.10834909090909092</v>
      </c>
      <c r="G7" s="60">
        <f>diarrhoea_24_59mo*frac_diarrhea_severe</f>
        <v>4.3112727272727275E-2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0.46100000000000002</v>
      </c>
      <c r="F8" s="60">
        <f>food_insecure</f>
        <v>0.46100000000000002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0.46100000000000002</v>
      </c>
      <c r="F9" s="60">
        <f>food_insecure</f>
        <v>0.46100000000000002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3.2334545454545456E-2</v>
      </c>
      <c r="D12" s="60">
        <f>diarrhoea_1_5mo*frac_diarrhea_severe</f>
        <v>3.2334545454545456E-2</v>
      </c>
      <c r="E12" s="60">
        <f>diarrhoea_6_11mo*frac_diarrhea_severe</f>
        <v>0.10437818181818183</v>
      </c>
      <c r="F12" s="60">
        <f>diarrhoea_12_23mo*frac_diarrhea_severe</f>
        <v>0.10834909090909092</v>
      </c>
      <c r="G12" s="60">
        <f>diarrhoea_24_59mo*frac_diarrhea_severe</f>
        <v>4.3112727272727275E-2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0.46100000000000002</v>
      </c>
      <c r="I15" s="60">
        <f t="shared" si="0"/>
        <v>0.46100000000000002</v>
      </c>
      <c r="J15" s="60">
        <f t="shared" si="0"/>
        <v>0.46100000000000002</v>
      </c>
      <c r="K15" s="60">
        <f t="shared" si="0"/>
        <v>0.46100000000000002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0.46100000000000002</v>
      </c>
      <c r="I16" s="60">
        <f t="shared" si="0"/>
        <v>0.46100000000000002</v>
      </c>
      <c r="J16" s="60">
        <f t="shared" si="0"/>
        <v>0.46100000000000002</v>
      </c>
      <c r="K16" s="60">
        <f t="shared" si="0"/>
        <v>0.46100000000000002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0.23100000000000001</v>
      </c>
      <c r="M24" s="60">
        <f>famplan_unmet_need</f>
        <v>0.23100000000000001</v>
      </c>
      <c r="N24" s="60">
        <f>famplan_unmet_need</f>
        <v>0.23100000000000001</v>
      </c>
      <c r="O24" s="60">
        <f>famplan_unmet_need</f>
        <v>0.23100000000000001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0.47341248835999994</v>
      </c>
      <c r="M25" s="60">
        <f>(1-food_insecure)*(0.49)+food_insecure*(0.7)</f>
        <v>0.58680999999999994</v>
      </c>
      <c r="N25" s="60">
        <f>(1-food_insecure)*(0.49)+food_insecure*(0.7)</f>
        <v>0.58680999999999994</v>
      </c>
      <c r="O25" s="60">
        <f>(1-food_insecure)*(0.49)+food_insecure*(0.7)</f>
        <v>0.58680999999999994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0.20289106643999999</v>
      </c>
      <c r="M26" s="60">
        <f>(1-food_insecure)*(0.21)+food_insecure*(0.3)</f>
        <v>0.25148999999999999</v>
      </c>
      <c r="N26" s="60">
        <f>(1-food_insecure)*(0.21)+food_insecure*(0.3)</f>
        <v>0.25148999999999999</v>
      </c>
      <c r="O26" s="60">
        <f>(1-food_insecure)*(0.21)+food_insecure*(0.3)</f>
        <v>0.25148999999999999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0.13045244519999999</v>
      </c>
      <c r="M27" s="60">
        <f>(1-food_insecure)*(0.3)</f>
        <v>0.16169999999999998</v>
      </c>
      <c r="N27" s="60">
        <f>(1-food_insecure)*(0.3)</f>
        <v>0.16169999999999998</v>
      </c>
      <c r="O27" s="60">
        <f>(1-food_insecure)*(0.3)</f>
        <v>0.16169999999999998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0.19324399999999997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4ZhTuk7yEtO+2Z323fK0LN90uMbdqO7aaqDWuwvywGwg4i/m+qvCz22VQ3wo+c9CT4gABfs2iL+laIjqW4J1A==" saltValue="dP5JwDbVlK7d1tJbWHZnh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2W/+pID8lzdo9Hx9sNVaFao41HC8MfvO+HqgUi0fCVlwffepwwC4Y94XKc8bpFkc5Lz5zDIp5Go8bJGwjy8cSg==" saltValue="D6AgAqzWP3p/+Puix/9VO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Y46SRTPinyTAC9nWUj8gwnWUPt3+cYBOBVDuqTfzy/m69e57rlErqgILH74nGIHsxU29db3wCl+JGqOiFPvVA==" saltValue="P9RPvyA83ZAAl/JyrhYlT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ZR2v8V6w2JHMbmgtxXT10QG7E/Q4MHzrRRN7m2AvAf0JWQb8Yf+jic+bb18Kjs3zYSMuveLpTwuvYxdTiidSQ==" saltValue="V1nB2om/4qOT7gdMk4+Fo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aWrAkcjmEKPTerKJhQKTze9aiiXNdPvJwyBIRMRcupLD56PbJPhEOA+by5V/tLPAxdzEMbJpgHgJ0hdGWoAMqw==" saltValue="o0eba9gVRXlUjQ6H6i71S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0SU7hKQSwI3SR8SfnlZ9VkWytW1L0UUwtGeNklKSUuM5Q6FOCr0RmPetuWc33nEXlWxy1JVCG5Vf7UJgnLFslw==" saltValue="9QZkkVcgDH4gkaziXt/vE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S1OKEl5dVMuzUOsHYHGRplk/47TVX7/U69zH1nW16crFpKE/AISyqVD7wOgJdKJjrrkDgNYyceaguXHDOXvfg==" saltValue="sYJnGuCgK0JRT5nvHNzt4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R9yY1r9a5jS6GtA8nibJKIAF2C4JAnmR0zHjMnV9UIMtx+q9rUNRhEFGqJjGvds50bov2Jf0WRZFiYDoh9sATQ==" saltValue="tGS4+i/7uewqipW34gq3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iw0QcoRR8SAgDCyDZEuHbdOgbTE7aRNXkh9vqJqC6b1K+fvlPg8jQ4MCpXMp08SClGj8sGnOrmcPgM+fqcWM3w==" saltValue="9obt3bSkshiYIaZ/TisQ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/PCitIGo389/F6Y+arbh2n7ytcn4M3fofRhKv7qelhJOT73I1M0AAp+9qweTEySKAFtnGtRqG6+kE3ixgpGHQ==" saltValue="tOILqaGWhHnOfpdypfj7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hFhP9WUbQycK+G7A16bEBUhoY0JhEcKgv0fj+zAP9oev3D3cF/tILCwo6H6Vjtev5i8+djtZAq0O7Z/W6JYfw==" saltValue="z25QgiCAI+Yh2Udg9vlS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Zh5sJMg6CfrE4hzAS6dxjVOCJu/mWLPuIPAniDtdEGpIgAyWH5fgFx1oRovIaac6DJjzIJprqRLk4NgnuY6VQ==" saltValue="nnkfXxroOJTWbwHrH5uh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xgUThXGJcdkrvaePxZMJ7ORmdtfuW6Lvt8gPJEQ7UoMTNTuMIouiInwde/XLrGNbfVkNudoH+zgFRY2KC3n9g==" saltValue="Jl24xVUDCuyxxdU37b7+N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POnsgzcLVROYGLa11/MFMa9vcDsFdcTraD0nqMv+wxhfNsKtCHHdW554wbS+9utC9BOz2i5cf7apAegpxGSzaA==" saltValue="m1pRocxvjpJCgjv8iqmH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7aUrDeA1IVmn9PvVh7wpqrGmuYudVRplaUk5Bqj+dLtJQ5IdoMY2RtqZiJm1jWxjtsWiywXjU7hsqN++f06WjA==" saltValue="Al+tmGyevypRmo+js/RuY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