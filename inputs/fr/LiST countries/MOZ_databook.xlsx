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DDCE791-6A39-4EB3-B61F-6C24256C02DE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9" i="2"/>
  <c r="A20" i="2"/>
  <c r="H13" i="2"/>
  <c r="G13" i="2"/>
  <c r="I13" i="2" s="1"/>
  <c r="H12" i="2"/>
  <c r="G12" i="2"/>
  <c r="H11" i="2"/>
  <c r="G11" i="2"/>
  <c r="H10" i="2"/>
  <c r="G10" i="2"/>
  <c r="I10" i="2" s="1"/>
  <c r="H9" i="2"/>
  <c r="G9" i="2"/>
  <c r="I9" i="2" s="1"/>
  <c r="H8" i="2"/>
  <c r="G8" i="2"/>
  <c r="H7" i="2"/>
  <c r="G7" i="2"/>
  <c r="H6" i="2"/>
  <c r="G6" i="2"/>
  <c r="I6" i="2" s="1"/>
  <c r="H5" i="2"/>
  <c r="G5" i="2"/>
  <c r="I5" i="2" s="1"/>
  <c r="H4" i="2"/>
  <c r="G4" i="2"/>
  <c r="H3" i="2"/>
  <c r="G3" i="2"/>
  <c r="H2" i="2"/>
  <c r="G2" i="2"/>
  <c r="I2" i="2" s="1"/>
  <c r="A2" i="2"/>
  <c r="A40" i="2" s="1"/>
  <c r="C33" i="1"/>
  <c r="C20" i="1"/>
  <c r="A24" i="2" l="1"/>
  <c r="A23" i="2"/>
  <c r="A39" i="2"/>
  <c r="A1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25" i="2"/>
  <c r="A34" i="2"/>
  <c r="I3" i="2"/>
  <c r="I7" i="2"/>
  <c r="I11" i="2"/>
  <c r="A17" i="2"/>
  <c r="A26" i="2"/>
  <c r="A35" i="2"/>
  <c r="A21" i="2"/>
  <c r="A31" i="2"/>
  <c r="A32" i="2"/>
  <c r="A18" i="2"/>
  <c r="A27" i="2"/>
  <c r="A36" i="2"/>
  <c r="I4" i="2"/>
  <c r="I8" i="2"/>
  <c r="I12" i="2"/>
  <c r="A19" i="2"/>
  <c r="A28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<sst xmlns="http://schemas.openxmlformats.org/spreadsheetml/2006/main" count="2101" uniqueCount="337">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</sst>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5629296.4375</v>
      </c>
    </row>
    <row r="8" spans="1:3" ht="15" customHeight="1" x14ac:dyDescent="0.25">
      <c r="B8" s="5" t="s">
        <v>19</v>
      </c>
      <c r="C8" s="44">
        <v>0.629</v>
      </c>
    </row>
    <row r="9" spans="1:3" ht="15" customHeight="1" x14ac:dyDescent="0.25">
      <c r="B9" s="5" t="s">
        <v>20</v>
      </c>
      <c r="C9" s="45">
        <v>0.96</v>
      </c>
    </row>
    <row r="10" spans="1:3" ht="15" customHeight="1" x14ac:dyDescent="0.25">
      <c r="B10" s="5" t="s">
        <v>21</v>
      </c>
      <c r="C10" s="45">
        <v>0.190472507476807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0.496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0.1333</v>
      </c>
    </row>
    <row r="24" spans="1:3" ht="15" customHeight="1" x14ac:dyDescent="0.25">
      <c r="B24" s="15" t="s">
        <v>33</v>
      </c>
      <c r="C24" s="45">
        <v>0.43609999999999999</v>
      </c>
    </row>
    <row r="25" spans="1:3" ht="15" customHeight="1" x14ac:dyDescent="0.25">
      <c r="B25" s="15" t="s">
        <v>34</v>
      </c>
      <c r="C25" s="45">
        <v>0.33139999999999997</v>
      </c>
    </row>
    <row r="26" spans="1:3" ht="15" customHeight="1" x14ac:dyDescent="0.25">
      <c r="B26" s="15" t="s">
        <v>35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0.36436667713324611</v>
      </c>
    </row>
    <row r="30" spans="1:3" ht="14.25" customHeight="1" x14ac:dyDescent="0.25">
      <c r="B30" s="25" t="s">
        <v>38</v>
      </c>
      <c r="C30" s="99">
        <v>3.1826740703756698E-2</v>
      </c>
    </row>
    <row r="31" spans="1:3" ht="14.25" customHeight="1" x14ac:dyDescent="0.25">
      <c r="B31" s="25" t="s">
        <v>39</v>
      </c>
      <c r="C31" s="99">
        <v>8.8013370344364308E-2</v>
      </c>
    </row>
    <row r="32" spans="1:3" ht="14.25" customHeight="1" x14ac:dyDescent="0.25">
      <c r="B32" s="25" t="s">
        <v>40</v>
      </c>
      <c r="C32" s="99">
        <v>0.51579321181863302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27.510059999999999</v>
      </c>
    </row>
    <row r="38" spans="1:5" ht="15" customHeight="1" x14ac:dyDescent="0.25">
      <c r="B38" s="11" t="s">
        <v>45</v>
      </c>
      <c r="C38" s="43">
        <v>50.996070000000003</v>
      </c>
      <c r="D38" s="12"/>
      <c r="E38" s="13"/>
    </row>
    <row r="39" spans="1:5" ht="15" customHeight="1" x14ac:dyDescent="0.25">
      <c r="B39" s="11" t="s">
        <v>46</v>
      </c>
      <c r="C39" s="43">
        <v>69.558430000000001</v>
      </c>
      <c r="D39" s="12"/>
      <c r="E39" s="12"/>
    </row>
    <row r="40" spans="1:5" ht="15" customHeight="1" x14ac:dyDescent="0.25">
      <c r="B40" s="11" t="s">
        <v>47</v>
      </c>
      <c r="C40" s="100">
        <v>1.27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5.9898E-3</v>
      </c>
      <c r="D45" s="12"/>
    </row>
    <row r="46" spans="1:5" ht="15.75" customHeight="1" x14ac:dyDescent="0.25">
      <c r="B46" s="11" t="s">
        <v>52</v>
      </c>
      <c r="C46" s="45">
        <v>6.4360000000000001E-2</v>
      </c>
      <c r="D46" s="12"/>
    </row>
    <row r="47" spans="1:5" ht="15.75" customHeight="1" x14ac:dyDescent="0.25">
      <c r="B47" s="11" t="s">
        <v>53</v>
      </c>
      <c r="C47" s="45">
        <v>7.5305200000000003E-2</v>
      </c>
      <c r="D47" s="12"/>
      <c r="E47" s="13"/>
    </row>
    <row r="48" spans="1:5" ht="15" customHeight="1" x14ac:dyDescent="0.25">
      <c r="B48" s="11" t="s">
        <v>54</v>
      </c>
      <c r="C48" s="46">
        <v>0.85434500000000002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0.44236700000000001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0.138186529999999</v>
      </c>
    </row>
    <row r="63" spans="1:4" ht="15.75" customHeight="1" x14ac:dyDescent="0.3">
      <c r="A63" s="4"/>
    </row>
  </sheetData>
  <sheetProtection algorithmName="SHA-512" hashValue="JYgfWQkXbgnr23CDzDba3W678lubLL1MXUPd0WudwB5QPhIITE1sEV9MzO5Zg0T7XtszFhI5MKwf6qtIreUeTg==" saltValue="Wh/qQNRBumtWhKZVhOeH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1225914</v>
      </c>
      <c r="C2" s="49">
        <v>2322259</v>
      </c>
      <c r="D2" s="49">
        <v>3039030.5</v>
      </c>
      <c r="E2" s="49">
        <v>2118146</v>
      </c>
      <c r="F2" s="49">
        <v>1258287</v>
      </c>
      <c r="G2" s="17">
        <f t="shared" ref="G2:G13" si="0">C2+D2+E2+F2</f>
        <v>8737722.5</v>
      </c>
      <c r="H2" s="17">
        <f t="shared" ref="H2:H13" si="1">(B2 + stillbirth*B2/(1000-stillbirth))/(1-abortion)</f>
        <v>1417667.3212126575</v>
      </c>
      <c r="I2" s="17">
        <f t="shared" ref="I2:I13" si="2">G2-H2</f>
        <v>7320055.1787873423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1243736</v>
      </c>
      <c r="C3" s="50">
        <v>2397977</v>
      </c>
      <c r="D3" s="50">
        <v>3132908.5</v>
      </c>
      <c r="E3" s="50">
        <v>2192660.5</v>
      </c>
      <c r="F3" s="50">
        <v>1296196</v>
      </c>
      <c r="G3" s="17">
        <f t="shared" si="0"/>
        <v>9019742</v>
      </c>
      <c r="H3" s="17">
        <f t="shared" si="1"/>
        <v>1438276.9781695502</v>
      </c>
      <c r="I3" s="17">
        <f t="shared" si="2"/>
        <v>7581465.0218304498</v>
      </c>
    </row>
    <row r="4" spans="1:9" ht="15.75" customHeight="1" x14ac:dyDescent="0.25">
      <c r="A4" s="5">
        <f t="shared" si="3"/>
        <v>2026</v>
      </c>
      <c r="B4" s="49">
        <v>1261704</v>
      </c>
      <c r="C4" s="50">
        <v>2475521</v>
      </c>
      <c r="D4" s="50">
        <v>3226452</v>
      </c>
      <c r="E4" s="50">
        <v>2268279</v>
      </c>
      <c r="F4" s="50">
        <v>1337344</v>
      </c>
      <c r="G4" s="17">
        <f t="shared" si="0"/>
        <v>9307596</v>
      </c>
      <c r="H4" s="17">
        <f t="shared" si="1"/>
        <v>1459055.471952596</v>
      </c>
      <c r="I4" s="17">
        <f t="shared" si="2"/>
        <v>7848540.5280474043</v>
      </c>
    </row>
    <row r="5" spans="1:9" ht="15.75" customHeight="1" x14ac:dyDescent="0.25">
      <c r="A5" s="5">
        <f t="shared" si="3"/>
        <v>2027</v>
      </c>
      <c r="B5" s="49">
        <v>1278457</v>
      </c>
      <c r="C5" s="50">
        <v>2554116.5</v>
      </c>
      <c r="D5" s="50">
        <v>3318327.5</v>
      </c>
      <c r="E5" s="50">
        <v>2347049.5</v>
      </c>
      <c r="F5" s="50">
        <v>1382867.5</v>
      </c>
      <c r="G5" s="17">
        <f t="shared" si="0"/>
        <v>9602361</v>
      </c>
      <c r="H5" s="17">
        <f t="shared" si="1"/>
        <v>1478428.9195453927</v>
      </c>
      <c r="I5" s="17">
        <f t="shared" si="2"/>
        <v>8123932.0804546075</v>
      </c>
    </row>
    <row r="6" spans="1:9" ht="15.75" customHeight="1" x14ac:dyDescent="0.25">
      <c r="A6" s="5">
        <f t="shared" si="3"/>
        <v>2028</v>
      </c>
      <c r="B6" s="49">
        <v>1293840</v>
      </c>
      <c r="C6" s="50">
        <v>2624607</v>
      </c>
      <c r="D6" s="50">
        <v>3413217</v>
      </c>
      <c r="E6" s="50">
        <v>2429473.5</v>
      </c>
      <c r="F6" s="50">
        <v>1433320.5</v>
      </c>
      <c r="G6" s="17">
        <f t="shared" si="0"/>
        <v>9900618</v>
      </c>
      <c r="H6" s="17">
        <f t="shared" si="1"/>
        <v>1496218.0763722293</v>
      </c>
      <c r="I6" s="17">
        <f t="shared" si="2"/>
        <v>8404399.9236277714</v>
      </c>
    </row>
    <row r="7" spans="1:9" ht="15.75" customHeight="1" x14ac:dyDescent="0.25">
      <c r="A7" s="5">
        <f t="shared" si="3"/>
        <v>2029</v>
      </c>
      <c r="B7" s="49">
        <v>1309302</v>
      </c>
      <c r="C7" s="50">
        <v>2683877.5</v>
      </c>
      <c r="D7" s="50">
        <v>3515524.5</v>
      </c>
      <c r="E7" s="50">
        <v>2514148.5</v>
      </c>
      <c r="F7" s="50">
        <v>1487634</v>
      </c>
      <c r="G7" s="17">
        <f t="shared" si="0"/>
        <v>10201184.5</v>
      </c>
      <c r="H7" s="17">
        <f t="shared" si="1"/>
        <v>1514098.590111847</v>
      </c>
      <c r="I7" s="17">
        <f t="shared" si="2"/>
        <v>8687085.909888152</v>
      </c>
    </row>
    <row r="8" spans="1:9" ht="15.75" customHeight="1" x14ac:dyDescent="0.25">
      <c r="A8" s="5">
        <f t="shared" si="3"/>
        <v>2030</v>
      </c>
      <c r="B8" s="49">
        <v>1320193</v>
      </c>
      <c r="C8" s="50">
        <v>2738813.5</v>
      </c>
      <c r="D8" s="50">
        <v>3623506</v>
      </c>
      <c r="E8" s="50">
        <v>2601118</v>
      </c>
      <c r="F8" s="50">
        <v>1544549</v>
      </c>
      <c r="G8" s="17">
        <f t="shared" si="0"/>
        <v>10507986.5</v>
      </c>
      <c r="H8" s="17">
        <f t="shared" si="1"/>
        <v>1526693.1234929222</v>
      </c>
      <c r="I8" s="17">
        <f t="shared" si="2"/>
        <v>8981293.3765070774</v>
      </c>
    </row>
    <row r="9" spans="1:9" ht="15.75" customHeight="1" x14ac:dyDescent="0.25">
      <c r="A9" s="5">
        <f t="shared" si="3"/>
        <v>2031</v>
      </c>
      <c r="B9" s="49">
        <v>1339208</v>
      </c>
      <c r="C9" s="50">
        <v>2793389.5</v>
      </c>
      <c r="D9" s="50">
        <v>3734680.5</v>
      </c>
      <c r="E9" s="50">
        <v>2690391</v>
      </c>
      <c r="F9" s="50">
        <v>1604167</v>
      </c>
      <c r="G9" s="17">
        <f t="shared" si="0"/>
        <v>10822628</v>
      </c>
      <c r="H9" s="17">
        <f t="shared" si="1"/>
        <v>1548682.3854744791</v>
      </c>
      <c r="I9" s="17">
        <f t="shared" si="2"/>
        <v>9273945.6145255212</v>
      </c>
    </row>
    <row r="10" spans="1:9" ht="15.75" customHeight="1" x14ac:dyDescent="0.25">
      <c r="A10" s="5">
        <f t="shared" si="3"/>
        <v>2032</v>
      </c>
      <c r="B10" s="49">
        <v>1350772</v>
      </c>
      <c r="C10" s="50">
        <v>2849738</v>
      </c>
      <c r="D10" s="50">
        <v>3847141</v>
      </c>
      <c r="E10" s="50">
        <v>2781535.5</v>
      </c>
      <c r="F10" s="50">
        <v>1666493</v>
      </c>
      <c r="G10" s="17">
        <f t="shared" si="0"/>
        <v>11144907.5</v>
      </c>
      <c r="H10" s="17">
        <f t="shared" si="1"/>
        <v>1562055.1872391242</v>
      </c>
      <c r="I10" s="17">
        <f t="shared" si="2"/>
        <v>9582852.3127608765</v>
      </c>
    </row>
    <row r="11" spans="1:9" ht="15.75" customHeight="1" x14ac:dyDescent="0.25">
      <c r="A11" s="5">
        <f t="shared" si="3"/>
        <v>2033</v>
      </c>
      <c r="B11" s="49">
        <v>1360398</v>
      </c>
      <c r="C11" s="50">
        <v>2907001</v>
      </c>
      <c r="D11" s="50">
        <v>3959883.5</v>
      </c>
      <c r="E11" s="50">
        <v>2874741</v>
      </c>
      <c r="F11" s="50">
        <v>1730207</v>
      </c>
      <c r="G11" s="17">
        <f t="shared" si="0"/>
        <v>11471832.5</v>
      </c>
      <c r="H11" s="17">
        <f t="shared" si="1"/>
        <v>1573186.8535990752</v>
      </c>
      <c r="I11" s="17">
        <f t="shared" si="2"/>
        <v>9898645.6464009248</v>
      </c>
    </row>
    <row r="12" spans="1:9" ht="15.75" customHeight="1" x14ac:dyDescent="0.25">
      <c r="A12" s="5">
        <f t="shared" si="3"/>
        <v>2034</v>
      </c>
      <c r="B12" s="49">
        <v>1376559</v>
      </c>
      <c r="C12" s="50">
        <v>2969515.5</v>
      </c>
      <c r="D12" s="50">
        <v>4069280.5</v>
      </c>
      <c r="E12" s="50">
        <v>2968750.5</v>
      </c>
      <c r="F12" s="50">
        <v>1794737</v>
      </c>
      <c r="G12" s="17">
        <f t="shared" si="0"/>
        <v>11802283.5</v>
      </c>
      <c r="H12" s="17">
        <f t="shared" si="1"/>
        <v>1591875.7025543186</v>
      </c>
      <c r="I12" s="17">
        <f t="shared" si="2"/>
        <v>10210407.797445681</v>
      </c>
    </row>
    <row r="13" spans="1:9" ht="15.75" customHeight="1" x14ac:dyDescent="0.25">
      <c r="A13" s="5">
        <f t="shared" si="3"/>
        <v>2035</v>
      </c>
      <c r="B13" s="49">
        <v>1384513</v>
      </c>
      <c r="C13" s="50">
        <v>3036975.5</v>
      </c>
      <c r="D13" s="50">
        <v>4176687</v>
      </c>
      <c r="E13" s="50">
        <v>3062435</v>
      </c>
      <c r="F13" s="50">
        <v>1860103.5</v>
      </c>
      <c r="G13" s="17">
        <f t="shared" si="0"/>
        <v>12136201</v>
      </c>
      <c r="H13" s="17">
        <f t="shared" si="1"/>
        <v>1601073.8403298275</v>
      </c>
      <c r="I13" s="17">
        <f t="shared" si="2"/>
        <v>10535127.159670172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VHaR3qsfQwACg/+OJnyLwHxWLBGvBE7iS0BS98OAuaxzrerHAenAKDTonnja6/lDVEq/mkeU75kiofFutonmQ==" saltValue="IjYBK1mK0Cuec4zCGQkO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1.349399999999999E-2</v>
      </c>
    </row>
    <row r="4" spans="1:8" ht="15.75" customHeight="1" x14ac:dyDescent="0.25">
      <c r="B4" s="19" t="s">
        <v>79</v>
      </c>
      <c r="C4" s="101">
        <v>7.2576899999999916E-2</v>
      </c>
    </row>
    <row r="5" spans="1:8" ht="15.75" customHeight="1" x14ac:dyDescent="0.25">
      <c r="B5" s="19" t="s">
        <v>80</v>
      </c>
      <c r="C5" s="101">
        <v>4.2096300000000107E-2</v>
      </c>
    </row>
    <row r="6" spans="1:8" ht="15.75" customHeight="1" x14ac:dyDescent="0.25">
      <c r="B6" s="19" t="s">
        <v>81</v>
      </c>
      <c r="C6" s="101">
        <v>0.2173944999999998</v>
      </c>
    </row>
    <row r="7" spans="1:8" ht="15.75" customHeight="1" x14ac:dyDescent="0.25">
      <c r="B7" s="19" t="s">
        <v>82</v>
      </c>
      <c r="C7" s="101">
        <v>0.48265060000000032</v>
      </c>
    </row>
    <row r="8" spans="1:8" ht="15.75" customHeight="1" x14ac:dyDescent="0.25">
      <c r="B8" s="19" t="s">
        <v>83</v>
      </c>
      <c r="C8" s="101">
        <v>2.6702999999999879E-3</v>
      </c>
    </row>
    <row r="9" spans="1:8" ht="15.75" customHeight="1" x14ac:dyDescent="0.25">
      <c r="B9" s="19" t="s">
        <v>84</v>
      </c>
      <c r="C9" s="101">
        <v>6.2363899999999937E-2</v>
      </c>
    </row>
    <row r="10" spans="1:8" ht="15.75" customHeight="1" x14ac:dyDescent="0.25">
      <c r="B10" s="19" t="s">
        <v>85</v>
      </c>
      <c r="C10" s="101">
        <v>0.1067535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88</v>
      </c>
      <c r="C15" s="101">
        <v>0.12865459138785451</v>
      </c>
      <c r="D15" s="101">
        <v>0.12865459138785451</v>
      </c>
      <c r="E15" s="101">
        <v>0.12865459138785451</v>
      </c>
      <c r="F15" s="101">
        <v>0.12865459138785451</v>
      </c>
    </row>
    <row r="16" spans="1:8" ht="15.75" customHeight="1" x14ac:dyDescent="0.25">
      <c r="B16" s="19" t="s">
        <v>89</v>
      </c>
      <c r="C16" s="101">
        <v>1.906398887236008E-2</v>
      </c>
      <c r="D16" s="101">
        <v>1.906398887236008E-2</v>
      </c>
      <c r="E16" s="101">
        <v>1.906398887236008E-2</v>
      </c>
      <c r="F16" s="101">
        <v>1.906398887236008E-2</v>
      </c>
    </row>
    <row r="17" spans="1:8" ht="15.75" customHeight="1" x14ac:dyDescent="0.25">
      <c r="B17" s="19" t="s">
        <v>90</v>
      </c>
      <c r="C17" s="101">
        <v>3.8126231505109469E-5</v>
      </c>
      <c r="D17" s="101">
        <v>3.8126231505109469E-5</v>
      </c>
      <c r="E17" s="101">
        <v>3.8126231505109469E-5</v>
      </c>
      <c r="F17" s="101">
        <v>3.8126231505109469E-5</v>
      </c>
    </row>
    <row r="18" spans="1:8" ht="15.75" customHeight="1" x14ac:dyDescent="0.25">
      <c r="B18" s="19" t="s">
        <v>91</v>
      </c>
      <c r="C18" s="101">
        <v>0.33809158536327971</v>
      </c>
      <c r="D18" s="101">
        <v>0.33809158536327971</v>
      </c>
      <c r="E18" s="101">
        <v>0.33809158536327971</v>
      </c>
      <c r="F18" s="101">
        <v>0.33809158536327971</v>
      </c>
    </row>
    <row r="19" spans="1:8" ht="15.75" customHeight="1" x14ac:dyDescent="0.25">
      <c r="B19" s="19" t="s">
        <v>92</v>
      </c>
      <c r="C19" s="101">
        <v>2.108545524862462E-2</v>
      </c>
      <c r="D19" s="101">
        <v>2.108545524862462E-2</v>
      </c>
      <c r="E19" s="101">
        <v>2.108545524862462E-2</v>
      </c>
      <c r="F19" s="101">
        <v>2.108545524862462E-2</v>
      </c>
    </row>
    <row r="20" spans="1:8" ht="15.75" customHeight="1" x14ac:dyDescent="0.25">
      <c r="B20" s="19" t="s">
        <v>93</v>
      </c>
      <c r="C20" s="101">
        <v>0.18240857688722359</v>
      </c>
      <c r="D20" s="101">
        <v>0.18240857688722359</v>
      </c>
      <c r="E20" s="101">
        <v>0.18240857688722359</v>
      </c>
      <c r="F20" s="101">
        <v>0.18240857688722359</v>
      </c>
    </row>
    <row r="21" spans="1:8" ht="15.75" customHeight="1" x14ac:dyDescent="0.25">
      <c r="B21" s="19" t="s">
        <v>94</v>
      </c>
      <c r="C21" s="101">
        <v>5.3937170008947127E-2</v>
      </c>
      <c r="D21" s="101">
        <v>5.3937170008947127E-2</v>
      </c>
      <c r="E21" s="101">
        <v>5.3937170008947127E-2</v>
      </c>
      <c r="F21" s="101">
        <v>5.3937170008947127E-2</v>
      </c>
    </row>
    <row r="22" spans="1:8" ht="15.75" customHeight="1" x14ac:dyDescent="0.25">
      <c r="B22" s="19" t="s">
        <v>95</v>
      </c>
      <c r="C22" s="101">
        <v>0.1490034245606057</v>
      </c>
      <c r="D22" s="101">
        <v>0.1490034245606057</v>
      </c>
      <c r="E22" s="101">
        <v>0.1490034245606057</v>
      </c>
      <c r="F22" s="101">
        <v>0.1490034245606057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6.1259088000000003E-2</v>
      </c>
    </row>
    <row r="27" spans="1:8" ht="15.75" customHeight="1" x14ac:dyDescent="0.25">
      <c r="B27" s="19" t="s">
        <v>102</v>
      </c>
      <c r="C27" s="101">
        <v>1.4566589999999999E-3</v>
      </c>
    </row>
    <row r="28" spans="1:8" ht="15.75" customHeight="1" x14ac:dyDescent="0.25">
      <c r="B28" s="19" t="s">
        <v>103</v>
      </c>
      <c r="C28" s="101">
        <v>0.11299475</v>
      </c>
    </row>
    <row r="29" spans="1:8" ht="15.75" customHeight="1" x14ac:dyDescent="0.25">
      <c r="B29" s="19" t="s">
        <v>104</v>
      </c>
      <c r="C29" s="101">
        <v>9.3433585999999999E-2</v>
      </c>
    </row>
    <row r="30" spans="1:8" ht="15.75" customHeight="1" x14ac:dyDescent="0.25">
      <c r="B30" s="19" t="s">
        <v>2</v>
      </c>
      <c r="C30" s="101">
        <v>0.110914363</v>
      </c>
    </row>
    <row r="31" spans="1:8" ht="15.75" customHeight="1" x14ac:dyDescent="0.25">
      <c r="B31" s="19" t="s">
        <v>105</v>
      </c>
      <c r="C31" s="101">
        <v>3.1485054999999998E-2</v>
      </c>
    </row>
    <row r="32" spans="1:8" ht="15.75" customHeight="1" x14ac:dyDescent="0.25">
      <c r="B32" s="19" t="s">
        <v>106</v>
      </c>
      <c r="C32" s="101">
        <v>8.0639849999999992E-3</v>
      </c>
    </row>
    <row r="33" spans="2:3" ht="15.75" customHeight="1" x14ac:dyDescent="0.25">
      <c r="B33" s="19" t="s">
        <v>107</v>
      </c>
      <c r="C33" s="101">
        <v>2.7219621999999999E-2</v>
      </c>
    </row>
    <row r="34" spans="2:3" ht="15.75" customHeight="1" x14ac:dyDescent="0.25">
      <c r="B34" s="19" t="s">
        <v>108</v>
      </c>
      <c r="C34" s="101">
        <v>0.553172891</v>
      </c>
    </row>
    <row r="35" spans="2:3" ht="15.75" customHeight="1" x14ac:dyDescent="0.25">
      <c r="B35" s="27" t="s">
        <v>41</v>
      </c>
      <c r="C35" s="48">
        <f>SUM(C26:C34)</f>
        <v>0.99999999900000003</v>
      </c>
    </row>
  </sheetData>
  <sheetProtection algorithmName="SHA-512" hashValue="EciwI0Nb4kftC2Mr2PcXz2R4twSKWadTE+ZZ0tOXe8jNKy2bTqyB4ddcAkU4wt9+lHk7Wo+QqQrSmIBhjWdfgA==" saltValue="in/m+CZfKrn8CvLZxQPwA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114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115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119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120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15Ro/gvpivPEjECTidDFZ5mLhrIZrfJlkTrJokhLbkBL0NOtzWpDC044ngY0hI/KY4tQ60j6otfkQOglsXFUA==" saltValue="x61stR4idmUoDn09sQyE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132</v>
      </c>
      <c r="C5" s="52">
        <v>3.3646799999999998E-2</v>
      </c>
      <c r="D5" s="52">
        <v>2.8571099999999999E-2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strfNul+wag5DSjBwYntFuEsOTDuX3qRK0/eOOva5OJYl6VhuCTxxorE4mubJyTYupBTsNmkVaKZ4zinR/vcOQ==" saltValue="8Tn+FQRnnE5XdmR8S1Csa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yQcAwfARbhyVJiHY26uSBK1y+vB663euRKAjZLfkc3uJVYrWkUE7tw8lW/bifCalRQ8vlNofcmICupvcHUBMg==" saltValue="l8t/S0HonnLRo7Qmy2+jA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D4G3fW1byHlEDZqymbGoNY7Fjn+u5psFuw8Od0zqKF9vT0axd/mVafx0yupu2EgO8kFxQrd+PPc8jvob3jmwdg==" saltValue="nQAJM3k97WA6bvPAgZN40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XHG3C7rKCqNiDrsSF98HyoxddTNSrMkvJK2f3CDi1r4hjFBLtEG4apHoNIBaRmiFbHiF0qsFKmZiVZmrJqc4yA==" saltValue="WYAh+ZEfI+DJAPk9Xt3u1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theUdcbLBi/8G96O6+iYWiRtdQFwA8WfLBhcupEBfcHrorRetmNmhK6VT2eGiiL6ZHNHCCbIQhkGoZYyyFmDuA==" saltValue="lCKYc/R6q3xaCc/AKfHz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18.381496702065061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0.16124310269652389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0.40394964285693302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0.25866250000000002</v>
      </c>
      <c r="C10" s="98">
        <v>0.95</v>
      </c>
      <c r="D10" s="56">
        <v>14.142094420718051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14.142094420718051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14.142094420718051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14.142094420718051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0.25866250000000002</v>
      </c>
      <c r="C14" s="98">
        <v>0.95</v>
      </c>
      <c r="D14" s="56">
        <v>14.142094420718051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14.142094420718051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0.5108009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8.60866666666667E-2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0.63300000000000001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0.52076729999999993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24.08118649042526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0.64237399999999989</v>
      </c>
      <c r="C23" s="98">
        <v>0.95</v>
      </c>
      <c r="D23" s="56">
        <v>4.6291754106690286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0.49878249740505998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0.25866250000000002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0.45933040000000003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0.28039049999999999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0.83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0.1222698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0.45039050000000003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7.9009999999999996E-4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0.41662450000000001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0.30897170000000002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3uIpM2NJz9ZiP3HmYzpsO3j83SwL3DMYFpfUsJ/5rA3Wa2T7YRCM/nsmOhiynWKQX00ZNRQLtLc9G79jpBHoDw==" saltValue="CmTYTp1zU+so8BlC+Eqm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cR4NJn+5jH+KdbBjt9uT4HVp7crX3/1WfL4h+jIW1W+9Swfli4i+wmB8unVWB25P006n7O02HuCF6xCHPWOgyQ==" saltValue="qAQ6IShgzqeIGoXoI9+5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NBUlXOeoQl47sVKLbog04C4WxCpHFPA7+ZkK5Izm2aCIEio6m49/TBiJLGK2O3dbP+7mbRVCuZDAQ3s2bLLfOg==" saltValue="JYOgHjB4HhVRgbarWYarB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208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sheetProtection algorithmName="SHA-512" hashValue="Ob8RgEupJifb0EffV2lrZXb8TYHqpRt3kGrd71xMXvG1oZ+XAiAk9kV5V9CTQGhIzkZOfaYn76i6Kf9Z3RyjQA==" saltValue="8KVBKZ1XxIsoexT1BP18/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0.629</v>
      </c>
      <c r="E2" s="60">
        <f>food_insecure</f>
        <v>0.629</v>
      </c>
      <c r="F2" s="60">
        <f>food_insecure</f>
        <v>0.629</v>
      </c>
      <c r="G2" s="60">
        <f>food_insecure</f>
        <v>0.629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0.629</v>
      </c>
      <c r="F5" s="60">
        <f>food_insecure</f>
        <v>0.629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0.629</v>
      </c>
      <c r="F8" s="60">
        <f>food_insecure</f>
        <v>0.629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0.629</v>
      </c>
      <c r="F9" s="60">
        <f>food_insecure</f>
        <v>0.629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0.629</v>
      </c>
      <c r="I15" s="60">
        <f>food_insecure</f>
        <v>0.629</v>
      </c>
      <c r="J15" s="60">
        <f>food_insecure</f>
        <v>0.629</v>
      </c>
      <c r="K15" s="60">
        <f>food_insecure</f>
        <v>0.629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0.496</v>
      </c>
      <c r="M24" s="60">
        <f>famplan_unmet_need</f>
        <v>0.496</v>
      </c>
      <c r="N24" s="60">
        <f>famplan_unmet_need</f>
        <v>0.496</v>
      </c>
      <c r="O24" s="60">
        <f>famplan_unmet_need</f>
        <v>0.496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0.50359895782375308</v>
      </c>
      <c r="M25" s="60">
        <f>(1-food_insecure)*(0.49)+food_insecure*(0.7)</f>
        <v>0.62209000000000003</v>
      </c>
      <c r="N25" s="60">
        <f>(1-food_insecure)*(0.49)+food_insecure*(0.7)</f>
        <v>0.62209000000000003</v>
      </c>
      <c r="O25" s="60">
        <f>(1-food_insecure)*(0.49)+food_insecure*(0.7)</f>
        <v>0.62209000000000003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0.21582812478160848</v>
      </c>
      <c r="M26" s="60">
        <f>(1-food_insecure)*(0.21)+food_insecure*(0.3)</f>
        <v>0.26661000000000001</v>
      </c>
      <c r="N26" s="60">
        <f>(1-food_insecure)*(0.21)+food_insecure*(0.3)</f>
        <v>0.26661000000000001</v>
      </c>
      <c r="O26" s="60">
        <f>(1-food_insecure)*(0.21)+food_insecure*(0.3)</f>
        <v>0.26661000000000001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9.0100409917831373E-2</v>
      </c>
      <c r="M27" s="60">
        <f>(1-food_insecure)*(0.3)</f>
        <v>0.1113</v>
      </c>
      <c r="N27" s="60">
        <f>(1-food_insecure)*(0.3)</f>
        <v>0.1113</v>
      </c>
      <c r="O27" s="60">
        <f>(1-food_insecure)*(0.3)</f>
        <v>0.1113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0.190472507476807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T5aLrsSoNsJpF4ZBsf6esbYEf1osjGqKxD9g8n1JwOcmNz27jHljDT5p0q7mYqq4qWxFuUqR58vyAOL39m1/g==" saltValue="Sr2Y5owR9IQl+a5nSCKC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KZ3w3y/Ep3HHdo+b86GxLunyXrY+TonYjW28MsdfgAMgRmDO0eCrimufYaNMfxCHtDPEwRAyw0VSoNHy6HYHg==" saltValue="bzh9g9vWz6IZryv+n4X1o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Zj4hisK37lq7KmIhzBG5Z9h4rrnqZKBal9eei23tmCnjCAp0AIUMtwoErCAdZiQWbt13i91zlyCRGbZLzbZWg==" saltValue="/Nfd5PP33sSpfZs5HFGyN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wqEBGyqnGdmgGWF6fIpx0LcoESTykwnuyE5BHfGZpbU7clnNAkrd74C2wlK8l1aMGh+OrVEpyxsFFVXH/JLpQ==" saltValue="ewggWPCfMo7HgrkbKJQ7a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0Q81KcprrAJmMe7BACwGB5KxJUejRO/ekzzUoVMaJbSBYFr69sXzRDLTVqo5QebIqrqyBv55GVk8NasHx6yWOg==" saltValue="XQJVQ3cmFW9vo8/kLKn5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RLptZWnPZy7AWOWUa9Fof+0aJbHSJ1M8uVhiO/TFS1YUCRQ64CLf8hTv9Sr9as6o1qTUHmmXEYBOLs0in6CeoA==" saltValue="K1onExpSnEGUnHRQubGPd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ukHZrpfVyssokVrZMHXUQrhiSLGLnC5ZBdFfhr0zGBD7KnOm3MwQ4YZPlyUmVXw+R64Rhq5RQ1suVixtOoHPA==" saltValue="WQImHCc/+xeN7lmT+A1ti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OvREu3/WeBZIopWZhy8sEr2oU1w97ZpLxi7VOYxli96qdBpytGifK4DonLx9cPyChultR/DxaGCAWfJ0zjeIg==" saltValue="+Ij8BeqUnd0A+f7HW9nK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zgzl1Zat1yOPcyA+c31dbuO++IS3RxHeVRL0jCfBbsdabFPWyjZY52iCEMEMy0/sYPqI/FHzjkS56/ww6qUTQ==" saltValue="HTuBrVfKwlslxqz2TzVL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RuXuZieNs1zMLLUXNTfk8j66Yc7sPqZptdKgQz9waLEe4LG2yKkxjI5iuYhS+z6jDSPxoTY8jYTbRVb379KLw==" saltValue="bP3BRd04mWY/8aRJHl12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dFnfNZQtNISCNrVdRHS4lvQrB1lW5r4WuarJplP0Eish4BIklhgorxYZ+b8Lo/8oIPfJ9Tkj91aYGfB3doVoQ==" saltValue="diob3mNmLxzoIXjNiGJD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IuWKUqyU/C6CzRGoYZs4Tj97DPjQv1MTqFZG7wYArl8TZ6YioIC1pwN4UdpZDf8NdMmUtJvchK8oBy8xjJekQ==" saltValue="ve5sEY+OIIWZfDvMK+0b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rEjnobYrD6EHb574c/uWQhmLHUamocAY+BGvIct1y/37xghy26YkBus1xCZsA70c2uhxdgjfiT/5iqEmpFYSg==" saltValue="b5ynoZK3DCBZhS7z3dzjO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0.10702886446821525</v>
      </c>
      <c r="G18" s="90">
        <f>MIN(MAX(1-0.89/(1-frac_sam_12_23months+(frac_sam_12_23months*0.89)),0),1)</f>
        <v>0.10636719049832166</v>
      </c>
      <c r="H18" s="90">
        <f>MIN(MAX(1-0.89/(1-frac_sam_24_59months+(frac_sam_24_59months*0.89)),0),1)</f>
        <v>0.10868315958680508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0.10291816326795888</v>
      </c>
      <c r="G20" s="90">
        <f>MIN(MAX(1-0.89/(1-frac_mam_12_23months+(frac_mam_12_23months*0.89)),0),1)</f>
        <v>0.10507840373916821</v>
      </c>
      <c r="H20" s="90">
        <f>MIN(MAX(1-0.89/(1-frac_mam_24_59months+(frac_mam_24_59months*0.89)),0),1)</f>
        <v>0.10778832145197437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9.7004571651819749E-3</v>
      </c>
      <c r="G73" s="90">
        <f>MIN(MAX(1-0.99/(1-frac_sam_12_23months+(frac_sam_12_23months*0.99)),0),1)</f>
        <v>9.6339953875053119E-3</v>
      </c>
      <c r="H73" s="90">
        <f>MIN(MAX(1-0.99/(1-frac_sam_24_59months+(frac_sam_24_59months*0.99)),0),1)</f>
        <v>9.8670152388167232E-3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9.2890023826058821E-3</v>
      </c>
      <c r="G75" s="90">
        <f>MIN(MAX(1-0.99/(1-frac_mam_12_23months+(frac_mam_12_23months*0.99)),0),1)</f>
        <v>9.5047999437415376E-3</v>
      </c>
      <c r="H75" s="90">
        <f>MIN(MAX(1-0.99/(1-frac_mam_24_59months+(frac_mam_24_59months*0.99)),0),1)</f>
        <v>9.7768512329791113E-3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0.19513091225894696</v>
      </c>
      <c r="G128" s="90">
        <f>MIN(MAX(1-0.8/(1-frac_sam_12_23months+(frac_sam_12_23months*0.8)),0),1)</f>
        <v>0.19404292950484903</v>
      </c>
      <c r="H128" s="90">
        <f>MIN(MAX(1-0.8/(1-frac_sam_24_59months+(frac_sam_24_59months*0.8)),0),1)</f>
        <v>0.19784525191569591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0.18835016262216131</v>
      </c>
      <c r="G130" s="90">
        <f>MIN(MAX(1-0.8/(1-frac_mam_12_23months+(frac_mam_12_23months*0.8)),0),1)</f>
        <v>0.19191997551194284</v>
      </c>
      <c r="H130" s="90">
        <f>MIN(MAX(1-0.8/(1-frac_mam_24_59months+(frac_mam_24_59months*0.8)),0),1)</f>
        <v>0.19637804369806888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hRzIp+45dcAJ2vXcGlBX7mCOSVBZFyGOaT6NVA89cAGNBRDwKws3zvTzFcqzUE0VYh3kM/bAjgNyVoQQ4BhOw==" saltValue="Mk23a8no7x8eHqZcsvsY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7oqu8T5FPmpNlxxtSsecn4fVSZkMI54WQmYngd+m6d/3+rtTQIw165+xepa3jFhSdHNXxMSUSirhsBPNPIYJA==" saltValue="qn5sT3Xs2Eic/WAkgdeF6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2024-08-06T09:29:18Z</dcterms:modified>
</cp:coreProperties>
</file>