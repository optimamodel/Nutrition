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5E51252-D317-44BD-B7EB-893AB84DB27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I40" i="2"/>
  <c r="H40" i="2"/>
  <c r="G40" i="2"/>
  <c r="H39" i="2"/>
  <c r="G39" i="2"/>
  <c r="I39" i="2" s="1"/>
  <c r="I38" i="2"/>
  <c r="H38" i="2"/>
  <c r="G38" i="2"/>
  <c r="A36" i="2"/>
  <c r="A35" i="2"/>
  <c r="A34" i="2"/>
  <c r="A32" i="2"/>
  <c r="A31" i="2"/>
  <c r="A29" i="2"/>
  <c r="A27" i="2"/>
  <c r="A26" i="2"/>
  <c r="A25" i="2"/>
  <c r="A23" i="2"/>
  <c r="A21" i="2"/>
  <c r="A20" i="2"/>
  <c r="A18" i="2"/>
  <c r="A17" i="2"/>
  <c r="A16" i="2"/>
  <c r="H13" i="2"/>
  <c r="G13" i="2"/>
  <c r="I12" i="2"/>
  <c r="H12" i="2"/>
  <c r="G12" i="2"/>
  <c r="H11" i="2"/>
  <c r="G11" i="2"/>
  <c r="I11" i="2" s="1"/>
  <c r="H10" i="2"/>
  <c r="I10" i="2" s="1"/>
  <c r="G10" i="2"/>
  <c r="H9" i="2"/>
  <c r="G9" i="2"/>
  <c r="H8" i="2"/>
  <c r="I8" i="2" s="1"/>
  <c r="G8" i="2"/>
  <c r="H7" i="2"/>
  <c r="G7" i="2"/>
  <c r="I7" i="2" s="1"/>
  <c r="H6" i="2"/>
  <c r="I6" i="2" s="1"/>
  <c r="G6" i="2"/>
  <c r="H5" i="2"/>
  <c r="G5" i="2"/>
  <c r="I5" i="2" s="1"/>
  <c r="I4" i="2"/>
  <c r="H4" i="2"/>
  <c r="G4" i="2"/>
  <c r="H3" i="2"/>
  <c r="G3" i="2"/>
  <c r="A3" i="2"/>
  <c r="H2" i="2"/>
  <c r="I2" i="2" s="1"/>
  <c r="G2" i="2"/>
  <c r="A2" i="2"/>
  <c r="A40" i="2" s="1"/>
  <c r="C33" i="1"/>
  <c r="C20" i="1"/>
  <c r="I9" i="2" l="1"/>
  <c r="A19" i="2"/>
  <c r="A28" i="2"/>
  <c r="A37" i="2"/>
  <c r="I3" i="2"/>
  <c r="I13" i="2"/>
  <c r="A15" i="2"/>
  <c r="A24" i="2"/>
  <c r="A33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<sst xmlns="http://schemas.openxmlformats.org/spreadsheetml/2006/main" count="2101" uniqueCount="337">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</sst>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6050583.625</v>
      </c>
    </row>
    <row r="8" spans="1:3" ht="15" customHeight="1" x14ac:dyDescent="0.25">
      <c r="B8" s="5" t="s">
        <v>19</v>
      </c>
      <c r="C8" s="44">
        <v>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0.8498191070556641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7.0099999999999996E-2</v>
      </c>
    </row>
    <row r="24" spans="1:3" ht="15" customHeight="1" x14ac:dyDescent="0.25">
      <c r="B24" s="15" t="s">
        <v>33</v>
      </c>
      <c r="C24" s="45">
        <v>0.54359999999999997</v>
      </c>
    </row>
    <row r="25" spans="1:3" ht="15" customHeight="1" x14ac:dyDescent="0.25">
      <c r="B25" s="15" t="s">
        <v>34</v>
      </c>
      <c r="C25" s="45">
        <v>0.36299999999999999</v>
      </c>
    </row>
    <row r="26" spans="1:3" ht="15" customHeight="1" x14ac:dyDescent="0.25">
      <c r="B26" s="15" t="s">
        <v>35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0.34453989050682299</v>
      </c>
    </row>
    <row r="30" spans="1:3" ht="14.25" customHeight="1" x14ac:dyDescent="0.25">
      <c r="B30" s="25" t="s">
        <v>38</v>
      </c>
      <c r="C30" s="99">
        <v>4.9975046177627103E-2</v>
      </c>
    </row>
    <row r="31" spans="1:3" ht="14.25" customHeight="1" x14ac:dyDescent="0.25">
      <c r="B31" s="25" t="s">
        <v>39</v>
      </c>
      <c r="C31" s="99">
        <v>6.4980512501330898E-2</v>
      </c>
    </row>
    <row r="32" spans="1:3" ht="14.25" customHeight="1" x14ac:dyDescent="0.25">
      <c r="B32" s="25" t="s">
        <v>40</v>
      </c>
      <c r="C32" s="99">
        <v>0.540504550814219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4.7240500000000001</v>
      </c>
    </row>
    <row r="38" spans="1:5" ht="15" customHeight="1" x14ac:dyDescent="0.25">
      <c r="B38" s="11" t="s">
        <v>45</v>
      </c>
      <c r="C38" s="43">
        <v>7.6910100000000003</v>
      </c>
      <c r="D38" s="12"/>
      <c r="E38" s="13"/>
    </row>
    <row r="39" spans="1:5" ht="15" customHeight="1" x14ac:dyDescent="0.25">
      <c r="B39" s="11" t="s">
        <v>46</v>
      </c>
      <c r="C39" s="43">
        <v>8.9801699999999993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9.3725000000000006E-3</v>
      </c>
      <c r="D45" s="12"/>
    </row>
    <row r="46" spans="1:5" ht="15.75" customHeight="1" x14ac:dyDescent="0.25">
      <c r="B46" s="11" t="s">
        <v>52</v>
      </c>
      <c r="C46" s="45">
        <v>0.1007064</v>
      </c>
      <c r="D46" s="12"/>
    </row>
    <row r="47" spans="1:5" ht="15.75" customHeight="1" x14ac:dyDescent="0.25">
      <c r="B47" s="11" t="s">
        <v>53</v>
      </c>
      <c r="C47" s="45">
        <v>7.2086999999999998E-2</v>
      </c>
      <c r="D47" s="12"/>
      <c r="E47" s="13"/>
    </row>
    <row r="48" spans="1:5" ht="15" customHeight="1" x14ac:dyDescent="0.25">
      <c r="B48" s="11" t="s">
        <v>54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0.59711100000000006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DlZRV+RLf0frmZOU56hbyqXr2O3jzK711UR6NkA2faJQ18lCsuSb6/mJK4xpmBmFI7mDCPoVmgHkrJkxK0/VWg==" saltValue="hvIU6MO+77ergEI1wevY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sBWQpAO/GQtOpk2MBOsY9yNukgzP4Wwt8E5Em/SmhHjLOebdxB/PIsDUsKCJgYWGqHRCUmegg7TByCK06KOPQ==" saltValue="Ka0Eb8kEcUmOrhnXm7h7Z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8.5716908571690814E-2</v>
      </c>
    </row>
    <row r="5" spans="1:8" ht="15.75" customHeight="1" x14ac:dyDescent="0.25">
      <c r="B5" s="19" t="s">
        <v>80</v>
      </c>
      <c r="C5" s="101">
        <v>1.9132901913290239E-2</v>
      </c>
    </row>
    <row r="6" spans="1:8" ht="15.75" customHeight="1" x14ac:dyDescent="0.25">
      <c r="B6" s="19" t="s">
        <v>81</v>
      </c>
      <c r="C6" s="101">
        <v>7.7509707750970658E-2</v>
      </c>
    </row>
    <row r="7" spans="1:8" ht="15.75" customHeight="1" x14ac:dyDescent="0.25">
      <c r="B7" s="19" t="s">
        <v>82</v>
      </c>
      <c r="C7" s="101">
        <v>0.42196434219643392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0.27333552733355321</v>
      </c>
    </row>
    <row r="10" spans="1:8" ht="15.75" customHeight="1" x14ac:dyDescent="0.25">
      <c r="B10" s="19" t="s">
        <v>85</v>
      </c>
      <c r="C10" s="101">
        <v>0.1223406122340612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88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89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95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3.9700850000000003E-2</v>
      </c>
    </row>
    <row r="27" spans="1:8" ht="15.75" customHeight="1" x14ac:dyDescent="0.25">
      <c r="B27" s="19" t="s">
        <v>102</v>
      </c>
      <c r="C27" s="101">
        <v>2.3007410999999998E-2</v>
      </c>
    </row>
    <row r="28" spans="1:8" ht="15.75" customHeight="1" x14ac:dyDescent="0.25">
      <c r="B28" s="19" t="s">
        <v>103</v>
      </c>
      <c r="C28" s="101">
        <v>0.18789456399999999</v>
      </c>
    </row>
    <row r="29" spans="1:8" ht="15.75" customHeight="1" x14ac:dyDescent="0.25">
      <c r="B29" s="19" t="s">
        <v>104</v>
      </c>
      <c r="C29" s="101">
        <v>0.14356665699999999</v>
      </c>
    </row>
    <row r="30" spans="1:8" ht="15.75" customHeight="1" x14ac:dyDescent="0.25">
      <c r="B30" s="19" t="s">
        <v>2</v>
      </c>
      <c r="C30" s="101">
        <v>5.2092121999999998E-2</v>
      </c>
    </row>
    <row r="31" spans="1:8" ht="15.75" customHeight="1" x14ac:dyDescent="0.25">
      <c r="B31" s="19" t="s">
        <v>105</v>
      </c>
      <c r="C31" s="101">
        <v>2.4076997999999999E-2</v>
      </c>
    </row>
    <row r="32" spans="1:8" ht="15.75" customHeight="1" x14ac:dyDescent="0.25">
      <c r="B32" s="19" t="s">
        <v>106</v>
      </c>
      <c r="C32" s="101">
        <v>8.5285021000000003E-2</v>
      </c>
    </row>
    <row r="33" spans="2:3" ht="15.75" customHeight="1" x14ac:dyDescent="0.25">
      <c r="B33" s="19" t="s">
        <v>107</v>
      </c>
      <c r="C33" s="101">
        <v>0.223807599</v>
      </c>
    </row>
    <row r="34" spans="2:3" ht="15.75" customHeight="1" x14ac:dyDescent="0.25">
      <c r="B34" s="19" t="s">
        <v>108</v>
      </c>
      <c r="C34" s="101">
        <v>0.22056877799999999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pojrdKgIO5jtcoB5GW1THkEX4OzdoK5p/ngbDUoDPVbr1BdArpwVapb+dUqESjJrsgrK7IwUtORgMyMRrYlkvA==" saltValue="j45hFYIBNQFOjSZ7dhcO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114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115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119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120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9LpYnjwIXyIu/CYttAxH2dT4U3duIKe0GR2uDI0tL5NWEOuZ8Mh/3Bcwl28rhmX459xKOLQbkCuLOnWVhEHFA==" saltValue="5UIbzwENJ5xaZBN1qMFY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132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jg0+ZXdEoo3mlxmELJGhWMoPRmV+WP9q0wDOZMWmgTR+2zvArjnuMmsSxG7H0xaJSuXwoV7eEDp8MPv6l6fVgQ==" saltValue="TmxT1gYNmQQmesSxqnT+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D0a/yEDwU5jctdaplBuytV4eDg3yrDvvTxoHwOXqEbYw9iISbwoKJwP5Uf4A72lbNuqq2an7gg0By+47tKRow==" saltValue="hlO3MwTdZb3ZSKI0AyBM6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ETmVMa8F8TmFBxA0OmRoNrYnWhTmE6+7vk2D+yXAi9NsWZ/T2lghDfQ7dXToWy2IseS1+SnN3uD0OXDwEOhDA==" saltValue="unO1GlfJJRBZ3qRUoQY0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Qlwb7FMN7eRK/NNIh7C6uJ1cj+Wm7e94SnNws0AmPH9U6oyR2JtFEsNG2PSwzVurGCscASfAu46uSY56zwfOA==" saltValue="qt3oSMXST2GCefAL9SKZ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MW4ujqm4BskNqN98Rcb9f8BZ1x2nf7/UpwhRqNKb4I6Bsve2IBlhWFQu5CAAq6Pb590KkDXtAptuese90ptWA==" saltValue="m1t3ODnYWE7ip3qmb8A1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144.3361538195548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16.029464016122279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3.0808634797970562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0.47070171463489502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0.61278763993956276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0.51473162888623747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13.972960063416251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13.972960063416251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13.972960063416251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13.972960063416251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13.972960063416251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13.972960063416251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5.5080133892626542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0.76700000000000002</v>
      </c>
      <c r="C18" s="98">
        <v>0.95</v>
      </c>
      <c r="D18" s="56">
        <v>16.029464016122279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0.36119299999999999</v>
      </c>
      <c r="C19" s="98">
        <v>0.95</v>
      </c>
      <c r="D19" s="56">
        <v>16.029464016122279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16.46619599914094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24.616622973147329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4.8798255494888956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0.70705347649884009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7.6264796156856711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30.36727751762248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0.1587344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193.6128732031849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398.07273654067848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1.4358697255793671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0.95352400000000004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5.3874863984233787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201</v>
      </c>
      <c r="F39" s="98">
        <v>1</v>
      </c>
      <c r="G39" s="98">
        <v>1</v>
      </c>
    </row>
  </sheetData>
  <sheetProtection algorithmName="SHA-512" hashValue="nezJLrdCAiOnpviDInbZ7wMGb3n0Vk6j+IlIOUzCuzcPT0t8FEqdKFpy58rfZxuoXc80u5pfeejCF85VSA9fRg==" saltValue="9W4IqXaty+DR/Xl7zzDm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HhhU0hUTmSEx82qn+1XNOZFZT4M6QF0FtjAr0GQT+gkzKIznciIFH/4PHU43jEglwq1YGhjKaGjTTI4jNH68w==" saltValue="viIeiiegDXoK+N4uVm7J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5r107/gMBqUV1u0cwCOsDlG4UhxR0ceQL0UMn+Qt+Foej1nyHfY9kBq7adT9CaEhbENns/emjimo0gToCl6Kw==" saltValue="mb0kHZvNd3sBBDvHLiPx9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208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xnrzszx4nv+8+tMDvJh0/woExR4XrKOY8moSiZ1tcb6QUUi78cS6/wWL5EG8GQCXKT9I2E6ODHH4jcuXjJUR7g==" saltValue="EIZ0ujAOrntsXblSLN89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bUqZqmgiOwQdL7CZNfQjC3auF8BI7BY5HywI/DqvbNbYu5izW2ZIzo1Jp2gfbAWTbrmjuvEUaAAYilIBBVV9A==" saltValue="KrILerbkOJWJ7eU9FpOo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7iaXEP2gbRAlFFvIxLqTRgu4UrLIILqmZdG61xsR1zGvcWeSgY3WqPNJsEqH3DyutCt5TRr36j4MQuhMZdB+kQ==" saltValue="kASsGrVxHaYzm7T28CPx8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3uzewqlIvudxswZK1BQot3aYEWeEduPzzzTJ3HbkUNX6DpbF84JoMDQ2uUyeZJBUr4GvSquVslXZzjWURJVXA==" saltValue="nsD4bKUkbMXqJ84gbPIi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6PKhCnyV0DwyTPRotWOf2l4HP48aYmqe3xjPX8cqG514CsglQhu8N0FF30XLA4gXoEJGTJf4pm8xQ92WvxCrA==" saltValue="831wCUWwwyPzLxOETiMm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VZB/cnwdD5TmhAk+UusiuwlNc586WYx+YeZ5YWV6M20Lf8JEJifaSDse0rCySXSNgD7e4b/Ik/jRob/SLSkrg==" saltValue="89TvcEHCMe7tRLXux7aLj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3i37TGW9NnBCo1fxxQeG1I3nJTNe49k8Tt91IufwHuIj5513FhQrE/sMg6gvwoIqup1TbFGI0PGGI5LcBk2cg==" saltValue="8Nn2tvk0qhNvYINgddiK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EbWtxiOvJfLwl3P44R0l+ydR0ugjtjgpngGQAwcF0+UfJkam1uOWpE4gTxw441Y8mf/zbkjwAxwcNrBjr1gHw==" saltValue="cvou6WhkDkhEz5/rdNak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YkWWN7oqLFViz05gw5fXUF9Ec4RfMh2FdKaTB1g5YWd1pDhG9UlKpKcHAWa0GdYGUKfWgECgYuEd4H/cxNXYA==" saltValue="q9JF03EIwFrbvvrQQbVX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lcSfdRrs/LP3bvVWm2Hqnz6SyDhPgFu7hDd5Enf+A1w/FvKcZ2BLbkyBeMnYwudE6yPuQK+eX9T7R9+b763ww==" saltValue="TADuvq70RfKWonBOR1BZ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B/z2WLA9sJjryxJahygasooWcozPZc7VHfs12tlbf1ktuaV5/FZDopK3c9Stc5GajWaJtVQGt/Nsp4yVpVLIg==" saltValue="ImeKC7180z4fF7dwyio6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dAB6Bqx7rhkhSv1iDtbItxjdsK8igKEMllq10ALQhaHp+mgvaSbP2jNOIgrTKuNigEYL1KAh1JcRY/JaRme4g==" saltValue="AdrV1zMfwBv9WDGqyDVY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gPUUirDiVNAjLQ0C25sFAjs4hsLbHYOVu+FXdHjK/HRIaoyKMGApFFkwRDbg79Hv5/frC1b7DcPw0gyLNwQ5Q==" saltValue="cNft/IO0oNDXeNcrIVNc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lvcw2luCKYuCwDQc2qjQUC6EOp5GrMgT8R/NoTiXfqMndfta0KmmjGI8jIh10e7GABRZNMsnszG6DUiKb5dfg==" saltValue="do0mHv+Zflog09Cuir7x1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0.1073508449332965</v>
      </c>
      <c r="G18" s="90">
        <f>MIN(MAX(1-0.89/(1-frac_sam_12_23months+(frac_sam_12_23months*0.89)),0),1)</f>
        <v>0.10908843086431086</v>
      </c>
      <c r="H18" s="90">
        <f>MIN(MAX(1-0.89/(1-frac_sam_24_59months+(frac_sam_24_59months*0.89)),0),1)</f>
        <v>0.10982701624475888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0.10733883961106172</v>
      </c>
      <c r="G20" s="90">
        <f>MIN(MAX(1-0.89/(1-frac_mam_12_23months+(frac_mam_12_23months*0.89)),0),1)</f>
        <v>0.10949379441895601</v>
      </c>
      <c r="H20" s="90">
        <f>MIN(MAX(1-0.89/(1-frac_mam_24_59months+(frac_mam_24_59months*0.89)),0),1)</f>
        <v>0.10949377481667633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9.7328308691043697E-3</v>
      </c>
      <c r="G73" s="90">
        <f>MIN(MAX(1-0.99/(1-frac_sam_12_23months+(frac_sam_12_23months*0.99)),0),1)</f>
        <v>9.9079046035625007E-3</v>
      </c>
      <c r="H73" s="90">
        <f>MIN(MAX(1-0.99/(1-frac_sam_24_59months+(frac_sam_24_59months*0.99)),0),1)</f>
        <v>9.9825103510279289E-3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9.7316234061857187E-3</v>
      </c>
      <c r="G75" s="90">
        <f>MIN(MAX(1-0.99/(1-frac_mam_12_23months+(frac_mam_12_23months*0.99)),0),1)</f>
        <v>9.9488371260562092E-3</v>
      </c>
      <c r="H75" s="90">
        <f>MIN(MAX(1-0.99/(1-frac_mam_24_59months+(frac_mam_24_59months*0.99)),0),1)</f>
        <v>9.9488351458514312E-3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0.19565986104420841</v>
      </c>
      <c r="G128" s="90">
        <f>MIN(MAX(1-0.8/(1-frac_sam_12_23months+(frac_sam_12_23months*0.8)),0),1)</f>
        <v>0.19850895414775915</v>
      </c>
      <c r="H128" s="90">
        <f>MIN(MAX(1-0.8/(1-frac_sam_24_59months+(frac_sam_24_59months*0.8)),0),1)</f>
        <v>0.19971724409668423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0.19564014436168065</v>
      </c>
      <c r="G130" s="90">
        <f>MIN(MAX(1-0.8/(1-frac_mam_12_23months+(frac_mam_12_23months*0.8)),0),1)</f>
        <v>0.19917231255191481</v>
      </c>
      <c r="H130" s="90">
        <f>MIN(MAX(1-0.8/(1-frac_mam_24_59months+(frac_mam_24_59months*0.8)),0),1)</f>
        <v>0.19917228048566438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jSmYx+sj/8djl1h7PEZkzSdPKm2kFbmxsMOlh38Vjv0NIIhKVTSwP98EV2/u+WDRg9nmYItIR73FUFyD8opMA==" saltValue="0HBjrQpBnibEcuICLFCk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3KqP6UDisuaEAsySvVWgtfRW+GlgOreLMUt2mHp5XvpHdDj67Yb17cAyTfcLTL/cUud3G1dOPya7aexFeQ/Bg==" saltValue="2YujgSGhhX6fIiw5VCSb4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2024-08-06T09:54:12Z</dcterms:modified>
</cp:coreProperties>
</file>