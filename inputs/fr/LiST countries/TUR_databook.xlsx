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22A36B74-B54C-4C6E-904F-4F267DC4446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4" i="2"/>
  <c r="A31" i="2"/>
  <c r="A25" i="2"/>
  <c r="A24" i="2"/>
  <c r="A23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35" i="2" l="1"/>
  <c r="A36" i="2"/>
  <c r="I7" i="2"/>
  <c r="I13" i="2"/>
  <c r="A37" i="2"/>
  <c r="I2" i="2"/>
  <c r="I8" i="2"/>
  <c r="A19" i="2"/>
  <c r="A22" i="2"/>
  <c r="I39" i="2"/>
  <c r="I3" i="2"/>
  <c r="I9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<sst xmlns="http://schemas.openxmlformats.org/spreadsheetml/2006/main" count="2169" uniqueCount="369">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</sst>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5351786</v>
      </c>
    </row>
    <row r="8" spans="1:3" ht="15" customHeight="1" x14ac:dyDescent="0.25">
      <c r="B8" s="5" t="s">
        <v>37</v>
      </c>
      <c r="C8" s="44">
        <v>0.14399999999999999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0.86044359999999998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7.0099999999999996E-2</v>
      </c>
    </row>
    <row r="24" spans="1:3" ht="15" customHeight="1" x14ac:dyDescent="0.25">
      <c r="B24" s="15" t="s">
        <v>51</v>
      </c>
      <c r="C24" s="45">
        <v>0.54359999999999997</v>
      </c>
    </row>
    <row r="25" spans="1:3" ht="15" customHeight="1" x14ac:dyDescent="0.25">
      <c r="B25" s="15" t="s">
        <v>52</v>
      </c>
      <c r="C25" s="45">
        <v>0.36299999999999999</v>
      </c>
    </row>
    <row r="26" spans="1:3" ht="15" customHeight="1" x14ac:dyDescent="0.25">
      <c r="B26" s="15" t="s">
        <v>53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0.34453989050682299</v>
      </c>
    </row>
    <row r="30" spans="1:3" ht="14.25" customHeight="1" x14ac:dyDescent="0.25">
      <c r="B30" s="25" t="s">
        <v>56</v>
      </c>
      <c r="C30" s="97">
        <v>4.9975046177627103E-2</v>
      </c>
    </row>
    <row r="31" spans="1:3" ht="14.25" customHeight="1" x14ac:dyDescent="0.25">
      <c r="B31" s="25" t="s">
        <v>57</v>
      </c>
      <c r="C31" s="97">
        <v>6.4980512501330898E-2</v>
      </c>
    </row>
    <row r="32" spans="1:3" ht="14.25" customHeight="1" x14ac:dyDescent="0.25">
      <c r="B32" s="25" t="s">
        <v>58</v>
      </c>
      <c r="C32" s="97">
        <v>0.540504550814219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4.7240500000000001</v>
      </c>
    </row>
    <row r="38" spans="1:5" ht="15" customHeight="1" x14ac:dyDescent="0.25">
      <c r="B38" s="11" t="s">
        <v>63</v>
      </c>
      <c r="C38" s="43">
        <v>7.6910100000000003</v>
      </c>
      <c r="D38" s="12"/>
      <c r="E38" s="13"/>
    </row>
    <row r="39" spans="1:5" ht="15" customHeight="1" x14ac:dyDescent="0.25">
      <c r="B39" s="11" t="s">
        <v>64</v>
      </c>
      <c r="C39" s="43">
        <v>8.9801699999999993</v>
      </c>
      <c r="D39" s="12"/>
      <c r="E39" s="12"/>
    </row>
    <row r="40" spans="1:5" ht="15" customHeight="1" x14ac:dyDescent="0.25">
      <c r="B40" s="11" t="s">
        <v>65</v>
      </c>
      <c r="C40" s="98">
        <v>0.17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4.2241200000000001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9.3725000000000006E-3</v>
      </c>
      <c r="D45" s="12"/>
    </row>
    <row r="46" spans="1:5" ht="15.75" customHeight="1" x14ac:dyDescent="0.25">
      <c r="B46" s="11" t="s">
        <v>70</v>
      </c>
      <c r="C46" s="45">
        <v>0.1007064</v>
      </c>
      <c r="D46" s="12"/>
    </row>
    <row r="47" spans="1:5" ht="15.75" customHeight="1" x14ac:dyDescent="0.25">
      <c r="B47" s="11" t="s">
        <v>71</v>
      </c>
      <c r="C47" s="45">
        <v>7.2086999999999998E-2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2.9</v>
      </c>
      <c r="D51" s="12"/>
    </row>
    <row r="52" spans="1:4" ht="15" customHeight="1" x14ac:dyDescent="0.25">
      <c r="B52" s="11" t="s">
        <v>75</v>
      </c>
      <c r="C52" s="98">
        <v>2.9</v>
      </c>
    </row>
    <row r="53" spans="1:4" ht="15.75" customHeight="1" x14ac:dyDescent="0.25">
      <c r="B53" s="11" t="s">
        <v>76</v>
      </c>
      <c r="C53" s="98">
        <v>2.9</v>
      </c>
    </row>
    <row r="54" spans="1:4" ht="15.75" customHeight="1" x14ac:dyDescent="0.25">
      <c r="B54" s="11" t="s">
        <v>77</v>
      </c>
      <c r="C54" s="98">
        <v>2.9</v>
      </c>
    </row>
    <row r="55" spans="1:4" ht="15.75" customHeight="1" x14ac:dyDescent="0.25">
      <c r="B55" s="11" t="s">
        <v>78</v>
      </c>
      <c r="C55" s="98">
        <v>2.9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0.59711100000000006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0.12896842219999999</v>
      </c>
    </row>
    <row r="63" spans="1:4" ht="15.75" customHeight="1" x14ac:dyDescent="0.3">
      <c r="A63" s="4"/>
    </row>
  </sheetData>
  <sheetProtection algorithmName="SHA-512" hashValue="ce0NUcNjWKqhdzU5N+VZyckJYYMHtz3Rf/K1MrGBEIT0znEaWwT9EfCjxAUhZHBlEGGNme/Fxz2zohq8Tsqnjg==" saltValue="g6DWUqhfvO9I/82DnfC3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1060605</v>
      </c>
      <c r="C2" s="49">
        <v>3077254.5</v>
      </c>
      <c r="D2" s="49">
        <v>6577744</v>
      </c>
      <c r="E2" s="49">
        <v>6407914</v>
      </c>
      <c r="F2" s="49">
        <v>6449180</v>
      </c>
      <c r="G2" s="17">
        <f t="shared" ref="G2:G13" si="0">C2+D2+E2+F2</f>
        <v>22512092.5</v>
      </c>
      <c r="H2" s="17">
        <f t="shared" ref="H2:H13" si="1">(B2 + stillbirth*B2/(1000-stillbirth))/(1-abortion)</f>
        <v>1210345.5995996352</v>
      </c>
      <c r="I2" s="17">
        <f t="shared" ref="I2:I13" si="2">G2-H2</f>
        <v>21301746.900400363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1053303</v>
      </c>
      <c r="C3" s="50">
        <v>3094362</v>
      </c>
      <c r="D3" s="50">
        <v>6455627.5000000009</v>
      </c>
      <c r="E3" s="50">
        <v>6420057</v>
      </c>
      <c r="F3" s="50">
        <v>6492492</v>
      </c>
      <c r="G3" s="17">
        <f t="shared" si="0"/>
        <v>22462538.5</v>
      </c>
      <c r="H3" s="17">
        <f t="shared" si="1"/>
        <v>1202012.6730451907</v>
      </c>
      <c r="I3" s="17">
        <f t="shared" si="2"/>
        <v>21260525.826954808</v>
      </c>
    </row>
    <row r="4" spans="1:9" ht="15.75" customHeight="1" x14ac:dyDescent="0.25">
      <c r="A4" s="5">
        <f t="shared" si="3"/>
        <v>2026</v>
      </c>
      <c r="B4" s="49">
        <v>1045681</v>
      </c>
      <c r="C4" s="50">
        <v>3128345</v>
      </c>
      <c r="D4" s="50">
        <v>6320927</v>
      </c>
      <c r="E4" s="50">
        <v>6446982</v>
      </c>
      <c r="F4" s="50">
        <v>6511149</v>
      </c>
      <c r="G4" s="17">
        <f t="shared" si="0"/>
        <v>22407403</v>
      </c>
      <c r="H4" s="17">
        <f t="shared" si="1"/>
        <v>1193314.5675675168</v>
      </c>
      <c r="I4" s="17">
        <f t="shared" si="2"/>
        <v>21214088.432432484</v>
      </c>
    </row>
    <row r="5" spans="1:9" ht="15.75" customHeight="1" x14ac:dyDescent="0.25">
      <c r="A5" s="5">
        <f t="shared" si="3"/>
        <v>2027</v>
      </c>
      <c r="B5" s="49">
        <v>1036040</v>
      </c>
      <c r="C5" s="50">
        <v>3168446</v>
      </c>
      <c r="D5" s="50">
        <v>6183271</v>
      </c>
      <c r="E5" s="50">
        <v>6488548</v>
      </c>
      <c r="F5" s="50">
        <v>6509689.5</v>
      </c>
      <c r="G5" s="17">
        <f t="shared" si="0"/>
        <v>22349954.5</v>
      </c>
      <c r="H5" s="17">
        <f t="shared" si="1"/>
        <v>1182312.4113210915</v>
      </c>
      <c r="I5" s="17">
        <f t="shared" si="2"/>
        <v>21167642.088678908</v>
      </c>
    </row>
    <row r="6" spans="1:9" ht="15.75" customHeight="1" x14ac:dyDescent="0.25">
      <c r="A6" s="5">
        <f t="shared" si="3"/>
        <v>2028</v>
      </c>
      <c r="B6" s="49">
        <v>1028132.0000000001</v>
      </c>
      <c r="C6" s="50">
        <v>3205565.5</v>
      </c>
      <c r="D6" s="50">
        <v>6049808.5</v>
      </c>
      <c r="E6" s="50">
        <v>6538893.5</v>
      </c>
      <c r="F6" s="50">
        <v>6492883.5</v>
      </c>
      <c r="G6" s="17">
        <f t="shared" si="0"/>
        <v>22287151</v>
      </c>
      <c r="H6" s="17">
        <f t="shared" si="1"/>
        <v>1173287.9271807813</v>
      </c>
      <c r="I6" s="17">
        <f t="shared" si="2"/>
        <v>21113863.072819218</v>
      </c>
    </row>
    <row r="7" spans="1:9" ht="15.75" customHeight="1" x14ac:dyDescent="0.25">
      <c r="A7" s="5">
        <f t="shared" si="3"/>
        <v>2029</v>
      </c>
      <c r="B7" s="49">
        <v>1018356</v>
      </c>
      <c r="C7" s="50">
        <v>3233617</v>
      </c>
      <c r="D7" s="50">
        <v>5927880.4999999991</v>
      </c>
      <c r="E7" s="50">
        <v>6588151</v>
      </c>
      <c r="F7" s="50">
        <v>6466640</v>
      </c>
      <c r="G7" s="17">
        <f t="shared" si="0"/>
        <v>22216288.5</v>
      </c>
      <c r="H7" s="17">
        <f t="shared" si="1"/>
        <v>1162131.7110761181</v>
      </c>
      <c r="I7" s="17">
        <f t="shared" si="2"/>
        <v>21054156.788923882</v>
      </c>
    </row>
    <row r="8" spans="1:9" ht="15.75" customHeight="1" x14ac:dyDescent="0.25">
      <c r="A8" s="5">
        <f t="shared" si="3"/>
        <v>2030</v>
      </c>
      <c r="B8" s="49">
        <v>1008818</v>
      </c>
      <c r="C8" s="50">
        <v>3248775.5</v>
      </c>
      <c r="D8" s="50">
        <v>5827950.0000000009</v>
      </c>
      <c r="E8" s="50">
        <v>6627412.5</v>
      </c>
      <c r="F8" s="50">
        <v>6437985.5</v>
      </c>
      <c r="G8" s="17">
        <f t="shared" si="0"/>
        <v>22142123.5</v>
      </c>
      <c r="H8" s="17">
        <f t="shared" si="1"/>
        <v>1151247.0967956071</v>
      </c>
      <c r="I8" s="17">
        <f t="shared" si="2"/>
        <v>20990876.403204393</v>
      </c>
    </row>
    <row r="9" spans="1:9" ht="15.75" customHeight="1" x14ac:dyDescent="0.25">
      <c r="A9" s="5">
        <f t="shared" si="3"/>
        <v>2031</v>
      </c>
      <c r="B9" s="49">
        <v>1000273</v>
      </c>
      <c r="C9" s="50">
        <v>3247468</v>
      </c>
      <c r="D9" s="50">
        <v>5758799.5</v>
      </c>
      <c r="E9" s="50">
        <v>6646555.5</v>
      </c>
      <c r="F9" s="50">
        <v>6413537</v>
      </c>
      <c r="G9" s="17">
        <f t="shared" si="0"/>
        <v>22066360</v>
      </c>
      <c r="H9" s="17">
        <f t="shared" si="1"/>
        <v>1141495.6783612429</v>
      </c>
      <c r="I9" s="17">
        <f t="shared" si="2"/>
        <v>20924864.321638756</v>
      </c>
    </row>
    <row r="10" spans="1:9" ht="15.75" customHeight="1" x14ac:dyDescent="0.25">
      <c r="A10" s="5">
        <f t="shared" si="3"/>
        <v>2032</v>
      </c>
      <c r="B10" s="49">
        <v>991276</v>
      </c>
      <c r="C10" s="50">
        <v>3226289.5</v>
      </c>
      <c r="D10" s="50">
        <v>5725936</v>
      </c>
      <c r="E10" s="50">
        <v>6635531.5</v>
      </c>
      <c r="F10" s="50">
        <v>6398887.0000000009</v>
      </c>
      <c r="G10" s="17">
        <f t="shared" si="0"/>
        <v>21986644</v>
      </c>
      <c r="H10" s="17">
        <f t="shared" si="1"/>
        <v>1131228.4446978169</v>
      </c>
      <c r="I10" s="17">
        <f t="shared" si="2"/>
        <v>20855415.555302184</v>
      </c>
    </row>
    <row r="11" spans="1:9" ht="15.75" customHeight="1" x14ac:dyDescent="0.25">
      <c r="A11" s="5">
        <f t="shared" si="3"/>
        <v>2033</v>
      </c>
      <c r="B11" s="49">
        <v>982292</v>
      </c>
      <c r="C11" s="50">
        <v>3184197.5</v>
      </c>
      <c r="D11" s="50">
        <v>5729343</v>
      </c>
      <c r="E11" s="50">
        <v>6591939</v>
      </c>
      <c r="F11" s="50">
        <v>6397550</v>
      </c>
      <c r="G11" s="17">
        <f t="shared" si="0"/>
        <v>21903029.5</v>
      </c>
      <c r="H11" s="17">
        <f t="shared" si="1"/>
        <v>1120976.0464281472</v>
      </c>
      <c r="I11" s="17">
        <f t="shared" si="2"/>
        <v>20782053.453571852</v>
      </c>
    </row>
    <row r="12" spans="1:9" ht="15.75" customHeight="1" x14ac:dyDescent="0.25">
      <c r="A12" s="5">
        <f t="shared" si="3"/>
        <v>2034</v>
      </c>
      <c r="B12" s="49">
        <v>974164</v>
      </c>
      <c r="C12" s="50">
        <v>3121603</v>
      </c>
      <c r="D12" s="50">
        <v>5758984</v>
      </c>
      <c r="E12" s="50">
        <v>6519268</v>
      </c>
      <c r="F12" s="50">
        <v>6409938</v>
      </c>
      <c r="G12" s="17">
        <f t="shared" si="0"/>
        <v>21809793</v>
      </c>
      <c r="H12" s="17">
        <f t="shared" si="1"/>
        <v>1111700.5017781164</v>
      </c>
      <c r="I12" s="17">
        <f t="shared" si="2"/>
        <v>20698092.498221882</v>
      </c>
    </row>
    <row r="13" spans="1:9" ht="15.75" customHeight="1" x14ac:dyDescent="0.25">
      <c r="A13" s="5">
        <f t="shared" si="3"/>
        <v>2035</v>
      </c>
      <c r="B13" s="49">
        <v>967158</v>
      </c>
      <c r="C13" s="50">
        <v>3039060</v>
      </c>
      <c r="D13" s="50">
        <v>5801683.5</v>
      </c>
      <c r="E13" s="50">
        <v>6423408.5</v>
      </c>
      <c r="F13" s="50">
        <v>6435761</v>
      </c>
      <c r="G13" s="17">
        <f t="shared" si="0"/>
        <v>21699913</v>
      </c>
      <c r="H13" s="17">
        <f t="shared" si="1"/>
        <v>1103705.3657276593</v>
      </c>
      <c r="I13" s="17">
        <f t="shared" si="2"/>
        <v>20596207.634272341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KDD0Ga7Y0PRXn2KfGtfMYMdize0rzztDtVekMoxOFJbE2Vsz2dvr4VY4dSeilXOr0RNgfR1TwSEIRFDvZFdyw==" saltValue="wktXJojB5a5qdUq/IOGfF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8.5716908571690814E-2</v>
      </c>
    </row>
    <row r="5" spans="1:8" ht="15.75" customHeight="1" x14ac:dyDescent="0.25">
      <c r="B5" s="19" t="s">
        <v>98</v>
      </c>
      <c r="C5" s="99">
        <v>1.9132901913290239E-2</v>
      </c>
    </row>
    <row r="6" spans="1:8" ht="15.75" customHeight="1" x14ac:dyDescent="0.25">
      <c r="B6" s="19" t="s">
        <v>99</v>
      </c>
      <c r="C6" s="99">
        <v>7.7509707750970658E-2</v>
      </c>
    </row>
    <row r="7" spans="1:8" ht="15.75" customHeight="1" x14ac:dyDescent="0.25">
      <c r="B7" s="19" t="s">
        <v>100</v>
      </c>
      <c r="C7" s="99">
        <v>0.42196434219643392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0.27333552733355321</v>
      </c>
    </row>
    <row r="10" spans="1:8" ht="15.75" customHeight="1" x14ac:dyDescent="0.25">
      <c r="B10" s="19" t="s">
        <v>103</v>
      </c>
      <c r="C10" s="99">
        <v>0.1223406122340612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6.9647158173006318E-2</v>
      </c>
      <c r="D14" s="55">
        <v>6.9647158173006318E-2</v>
      </c>
      <c r="E14" s="55">
        <v>6.9647158173006318E-2</v>
      </c>
      <c r="F14" s="55">
        <v>6.9647158173006318E-2</v>
      </c>
    </row>
    <row r="15" spans="1:8" ht="15.75" customHeight="1" x14ac:dyDescent="0.25">
      <c r="B15" s="19" t="s">
        <v>106</v>
      </c>
      <c r="C15" s="99">
        <v>0.26352327801439279</v>
      </c>
      <c r="D15" s="99">
        <v>0.26352327801439279</v>
      </c>
      <c r="E15" s="99">
        <v>0.26352327801439279</v>
      </c>
      <c r="F15" s="99">
        <v>0.26352327801439279</v>
      </c>
    </row>
    <row r="16" spans="1:8" ht="15.75" customHeight="1" x14ac:dyDescent="0.25">
      <c r="B16" s="19" t="s">
        <v>107</v>
      </c>
      <c r="C16" s="99">
        <v>3.3875385519165843E-2</v>
      </c>
      <c r="D16" s="99">
        <v>3.3875385519165843E-2</v>
      </c>
      <c r="E16" s="99">
        <v>3.3875385519165843E-2</v>
      </c>
      <c r="F16" s="99">
        <v>3.3875385519165843E-2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0.35043471875458948</v>
      </c>
      <c r="D21" s="99">
        <v>0.35043471875458948</v>
      </c>
      <c r="E21" s="99">
        <v>0.35043471875458948</v>
      </c>
      <c r="F21" s="99">
        <v>0.35043471875458948</v>
      </c>
    </row>
    <row r="22" spans="1:8" ht="15.75" customHeight="1" x14ac:dyDescent="0.25">
      <c r="B22" s="19" t="s">
        <v>113</v>
      </c>
      <c r="C22" s="99">
        <v>0.2825194595388455</v>
      </c>
      <c r="D22" s="99">
        <v>0.2825194595388455</v>
      </c>
      <c r="E22" s="99">
        <v>0.2825194595388455</v>
      </c>
      <c r="F22" s="99">
        <v>0.2825194595388455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3.9700850000000003E-2</v>
      </c>
    </row>
    <row r="27" spans="1:8" ht="15.75" customHeight="1" x14ac:dyDescent="0.25">
      <c r="B27" s="19" t="s">
        <v>120</v>
      </c>
      <c r="C27" s="99">
        <v>2.3007410999999998E-2</v>
      </c>
    </row>
    <row r="28" spans="1:8" ht="15.75" customHeight="1" x14ac:dyDescent="0.25">
      <c r="B28" s="19" t="s">
        <v>121</v>
      </c>
      <c r="C28" s="99">
        <v>0.18789456399999999</v>
      </c>
    </row>
    <row r="29" spans="1:8" ht="15.75" customHeight="1" x14ac:dyDescent="0.25">
      <c r="B29" s="19" t="s">
        <v>122</v>
      </c>
      <c r="C29" s="99">
        <v>0.14356665699999999</v>
      </c>
    </row>
    <row r="30" spans="1:8" ht="15.75" customHeight="1" x14ac:dyDescent="0.25">
      <c r="B30" s="19" t="s">
        <v>2</v>
      </c>
      <c r="C30" s="99">
        <v>5.2092121999999998E-2</v>
      </c>
    </row>
    <row r="31" spans="1:8" ht="15.75" customHeight="1" x14ac:dyDescent="0.25">
      <c r="B31" s="19" t="s">
        <v>123</v>
      </c>
      <c r="C31" s="99">
        <v>2.4076997999999999E-2</v>
      </c>
    </row>
    <row r="32" spans="1:8" ht="15.75" customHeight="1" x14ac:dyDescent="0.25">
      <c r="B32" s="19" t="s">
        <v>124</v>
      </c>
      <c r="C32" s="99">
        <v>8.5285021000000003E-2</v>
      </c>
    </row>
    <row r="33" spans="2:3" ht="15.75" customHeight="1" x14ac:dyDescent="0.25">
      <c r="B33" s="19" t="s">
        <v>125</v>
      </c>
      <c r="C33" s="99">
        <v>0.223807599</v>
      </c>
    </row>
    <row r="34" spans="2:3" ht="15.75" customHeight="1" x14ac:dyDescent="0.25">
      <c r="B34" s="19" t="s">
        <v>126</v>
      </c>
      <c r="C34" s="99">
        <v>0.22056877799999999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YddWQSbO9qHtdJL6KxIbExX8cK2n0QdALSZLFlggOYwdr3TlQA5CeJOw48XM93TMk/LVaIGqW3YKEl736HwKeQ==" saltValue="gNKdNCcruDPlWx6ZG4gBN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0.76320215731038854</v>
      </c>
      <c r="D2" s="52">
        <f>IFERROR(1-_xlfn.NORM.DIST(_xlfn.NORM.INV(SUM(D4:D5), 0, 1) + 1, 0, 1, TRUE), "")</f>
        <v>0.76320215731038854</v>
      </c>
      <c r="E2" s="52">
        <f>IFERROR(1-_xlfn.NORM.DIST(_xlfn.NORM.INV(SUM(E4:E5), 0, 1) + 1, 0, 1, TRUE), "")</f>
        <v>0.81245159489133334</v>
      </c>
      <c r="F2" s="52">
        <f>IFERROR(1-_xlfn.NORM.DIST(_xlfn.NORM.INV(SUM(F4:F5), 0, 1) + 1, 0, 1, TRUE), "")</f>
        <v>0.65837762988419757</v>
      </c>
      <c r="G2" s="52">
        <f>IFERROR(1-_xlfn.NORM.DIST(_xlfn.NORM.INV(SUM(G4:G5), 0, 1) + 1, 0, 1, TRUE), "")</f>
        <v>0.68856799245129263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0.1937754426896115</v>
      </c>
      <c r="D3" s="52">
        <f>IFERROR(_xlfn.NORM.DIST(_xlfn.NORM.INV(SUM(D4:D5), 0, 1) + 1, 0, 1, TRUE) - SUM(D4:D5), "")</f>
        <v>0.1937754426896115</v>
      </c>
      <c r="E3" s="52">
        <f>IFERROR(_xlfn.NORM.DIST(_xlfn.NORM.INV(SUM(E4:E5), 0, 1) + 1, 0, 1, TRUE) - SUM(E4:E5), "")</f>
        <v>0.1579660051086666</v>
      </c>
      <c r="F3" s="52">
        <f>IFERROR(_xlfn.NORM.DIST(_xlfn.NORM.INV(SUM(F4:F5), 0, 1) + 1, 0, 1, TRUE) - SUM(F4:F5), "")</f>
        <v>0.26206267011580242</v>
      </c>
      <c r="G3" s="52">
        <f>IFERROR(_xlfn.NORM.DIST(_xlfn.NORM.INV(SUM(G4:G5), 0, 1) + 1, 0, 1, TRUE) - SUM(G4:G5), "")</f>
        <v>0.24355560754870742</v>
      </c>
    </row>
    <row r="4" spans="1:15" ht="15.75" customHeight="1" x14ac:dyDescent="0.25">
      <c r="B4" s="5" t="s">
        <v>132</v>
      </c>
      <c r="C4" s="45">
        <v>1.2064399999999999E-2</v>
      </c>
      <c r="D4" s="53">
        <v>1.2064399999999999E-2</v>
      </c>
      <c r="E4" s="53">
        <v>2.33844E-2</v>
      </c>
      <c r="F4" s="53">
        <v>5.81874E-2</v>
      </c>
      <c r="G4" s="53">
        <v>5.3404299999999988E-2</v>
      </c>
    </row>
    <row r="5" spans="1:15" ht="15.75" customHeight="1" x14ac:dyDescent="0.25">
      <c r="B5" s="5" t="s">
        <v>133</v>
      </c>
      <c r="C5" s="45">
        <v>3.0957999999999999E-2</v>
      </c>
      <c r="D5" s="53">
        <v>3.0957999999999999E-2</v>
      </c>
      <c r="E5" s="53">
        <v>6.1980000000000004E-3</v>
      </c>
      <c r="F5" s="53">
        <v>2.13723E-2</v>
      </c>
      <c r="G5" s="53">
        <v>1.44721E-2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0.69376120091511995</v>
      </c>
      <c r="D8" s="52">
        <f>IFERROR(1-_xlfn.NORM.DIST(_xlfn.NORM.INV(SUM(D10:D11), 0, 1) + 1, 0, 1, TRUE), "")</f>
        <v>0.69376120091511995</v>
      </c>
      <c r="E8" s="52">
        <f>IFERROR(1-_xlfn.NORM.DIST(_xlfn.NORM.INV(SUM(E10:E11), 0, 1) + 1, 0, 1, TRUE), "")</f>
        <v>0.72791207852096185</v>
      </c>
      <c r="F8" s="52">
        <f>IFERROR(1-_xlfn.NORM.DIST(_xlfn.NORM.INV(SUM(F10:F11), 0, 1) + 1, 0, 1, TRUE), "")</f>
        <v>0.88185663673910974</v>
      </c>
      <c r="G8" s="52">
        <f>IFERROR(1-_xlfn.NORM.DIST(_xlfn.NORM.INV(SUM(G10:G11), 0, 1) + 1, 0, 1, TRUE), "")</f>
        <v>0.9279426733166809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0.24027449908488005</v>
      </c>
      <c r="D9" s="52">
        <f>IFERROR(_xlfn.NORM.DIST(_xlfn.NORM.INV(SUM(D10:D11), 0, 1) + 1, 0, 1, TRUE) - SUM(D10:D11), "")</f>
        <v>0.24027449908488005</v>
      </c>
      <c r="E9" s="52">
        <f>IFERROR(_xlfn.NORM.DIST(_xlfn.NORM.INV(SUM(E10:E11), 0, 1) + 1, 0, 1, TRUE) - SUM(E10:E11), "")</f>
        <v>0.21800702147903817</v>
      </c>
      <c r="F9" s="52">
        <f>IFERROR(_xlfn.NORM.DIST(_xlfn.NORM.INV(SUM(F10:F11), 0, 1) + 1, 0, 1, TRUE) - SUM(F10:F11), "")</f>
        <v>0.10367396326089023</v>
      </c>
      <c r="G9" s="52">
        <f>IFERROR(_xlfn.NORM.DIST(_xlfn.NORM.INV(SUM(G10:G11), 0, 1) + 1, 0, 1, TRUE) - SUM(G10:G11), "")</f>
        <v>6.5122826683319118E-2</v>
      </c>
    </row>
    <row r="10" spans="1:15" ht="15.75" customHeight="1" x14ac:dyDescent="0.25">
      <c r="B10" s="5" t="s">
        <v>137</v>
      </c>
      <c r="C10" s="45">
        <v>3.9002299999999997E-2</v>
      </c>
      <c r="D10" s="53">
        <v>3.9002299999999997E-2</v>
      </c>
      <c r="E10" s="53">
        <v>2.7101400000000001E-2</v>
      </c>
      <c r="F10" s="53">
        <v>5.1676999999999999E-3</v>
      </c>
      <c r="G10" s="53">
        <v>5.1678999999999996E-3</v>
      </c>
    </row>
    <row r="11" spans="1:15" ht="15.75" customHeight="1" x14ac:dyDescent="0.25">
      <c r="B11" s="5" t="s">
        <v>138</v>
      </c>
      <c r="C11" s="45">
        <v>2.6962E-2</v>
      </c>
      <c r="D11" s="53">
        <v>2.6962E-2</v>
      </c>
      <c r="E11" s="53">
        <v>2.69795E-2</v>
      </c>
      <c r="F11" s="53">
        <v>9.3017000000000013E-3</v>
      </c>
      <c r="G11" s="53">
        <v>1.7665999999999999E-3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0.22474285975</v>
      </c>
      <c r="D14" s="54">
        <v>0.234737514727</v>
      </c>
      <c r="E14" s="54">
        <v>0.234737514727</v>
      </c>
      <c r="F14" s="54">
        <v>0.223199456702</v>
      </c>
      <c r="G14" s="54">
        <v>0.223199456702</v>
      </c>
      <c r="H14" s="45">
        <v>0.34399999999999997</v>
      </c>
      <c r="I14" s="55">
        <v>0.34399999999999997</v>
      </c>
      <c r="J14" s="55">
        <v>0.34399999999999997</v>
      </c>
      <c r="K14" s="55">
        <v>0.34399999999999997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0.13419643372818227</v>
      </c>
      <c r="D15" s="52">
        <f t="shared" si="0"/>
        <v>0.14016435215615372</v>
      </c>
      <c r="E15" s="52">
        <f t="shared" si="0"/>
        <v>0.14016435215615372</v>
      </c>
      <c r="F15" s="52">
        <f t="shared" si="0"/>
        <v>0.13327485079078794</v>
      </c>
      <c r="G15" s="52">
        <f t="shared" si="0"/>
        <v>0.13327485079078794</v>
      </c>
      <c r="H15" s="52">
        <f t="shared" si="0"/>
        <v>0.20540618399999999</v>
      </c>
      <c r="I15" s="52">
        <f t="shared" si="0"/>
        <v>0.20540618399999999</v>
      </c>
      <c r="J15" s="52">
        <f t="shared" si="0"/>
        <v>0.20540618399999999</v>
      </c>
      <c r="K15" s="52">
        <f t="shared" si="0"/>
        <v>0.20540618399999999</v>
      </c>
      <c r="L15" s="52">
        <f t="shared" si="0"/>
        <v>0.18331307700000002</v>
      </c>
      <c r="M15" s="52">
        <f t="shared" si="0"/>
        <v>0.18331307700000002</v>
      </c>
      <c r="N15" s="52">
        <f t="shared" si="0"/>
        <v>0.18331307700000002</v>
      </c>
      <c r="O15" s="52">
        <f t="shared" si="0"/>
        <v>0.18331307700000002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TAecIAjQtSUxg2ONR4qC6mP8CLjGjmCPQIxPlUQAq6AnZ3RyxfhEEUF0W1kiX/QQ0KctcnrkncspCfdM4aZ+w==" saltValue="5BdAAD6fmZMPbNrIjQVG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0.59230890000000003</v>
      </c>
      <c r="D2" s="53">
        <v>0.36119299999999999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0.12754789999999999</v>
      </c>
      <c r="D3" s="53">
        <v>0.1872413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0.23345560000000001</v>
      </c>
      <c r="D4" s="53">
        <v>0.36847469999999999</v>
      </c>
      <c r="E4" s="53">
        <v>0.77363979999999999</v>
      </c>
      <c r="F4" s="53">
        <v>0.52710790000000007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4.668759999999994E-2</v>
      </c>
      <c r="D5" s="52">
        <f t="shared" si="0"/>
        <v>8.3091000000000026E-2</v>
      </c>
      <c r="E5" s="52">
        <f>1-SUM(E2:E4)</f>
        <v>0.22636020000000001</v>
      </c>
      <c r="F5" s="52">
        <f>1-SUM(F2:F4)</f>
        <v>0.47289209999999993</v>
      </c>
      <c r="G5" s="52">
        <f>1-SUM(G2:G4)</f>
        <v>1</v>
      </c>
    </row>
  </sheetData>
  <sheetProtection algorithmName="SHA-512" hashValue="gNhs4SbwrjMiBAToBeF/NpH/2oZltup4OWSHB/qnXOjdm1fjlTNffiR5HB7nTuUeu32G38jrEd/8yUoOkgnu3Q==" saltValue="2lCkAoDBfME+8Ze3RyZ4G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vW9dQtDqxtsie6pFpqHtbkW4RDkpAKh0fYXhD9BG7RIBY8fG91MohzRdGMgMerIH+bMUDrhmTOB8JBBpOsIhQ==" saltValue="kCfOrNpJRHbobjum9rs+7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10674.5041731531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0.32205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0.39433999999999997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9.490516829098598E-3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98993.353090000004</v>
      </c>
      <c r="C22" s="107">
        <v>98906.272410000005</v>
      </c>
      <c r="D22" s="107">
        <v>98802.486910000007</v>
      </c>
      <c r="E22" s="107">
        <v>98637.431289999993</v>
      </c>
      <c r="F22" s="107">
        <v>98436.129639999999</v>
      </c>
      <c r="G22" s="107">
        <v>98215.759210000004</v>
      </c>
      <c r="H22" s="107">
        <v>97954.095369999995</v>
      </c>
      <c r="I22" s="107">
        <v>97573.011369999993</v>
      </c>
      <c r="J22" s="107">
        <v>96950.128500000006</v>
      </c>
      <c r="K22" s="107">
        <v>95930.794840000002</v>
      </c>
      <c r="L22" s="107">
        <v>94166.977029999995</v>
      </c>
      <c r="M22" s="107">
        <v>91384.379979999998</v>
      </c>
      <c r="N22" s="107">
        <v>86973.134430000006</v>
      </c>
      <c r="O22" s="107">
        <v>80275.18118</v>
      </c>
    </row>
  </sheetData>
  <sheetProtection algorithmName="SHA-512" hashValue="2eA7xGKZ1VOWZDWPFvOqTyNsCoaAUMH1CFREr5gql2nZojhUuFAmHknQv4B2Aa0hRLFBpbZ/kISUlR3MaWd+lQ==" saltValue="AAnwmDVVr++460gyr3V+F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xmgNBqhPjfMUzm0EDVUfPfTLPm6HzM1D9g26NQBJwSxcUB6do9IVIMy9+jTGMY/iGgGrwol0bFibeIey2NG/ug==" saltValue="D0aB0KJHDTnwxbd2QXxJi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XjuBEem/gtwnGYnBIGfhppjQVdQbZOytdjHviMKJcgpgQL5D+s1ftteqwN+REg2VCB2Cal/p/4aSlqmL/RH2XQ==" saltValue="uaL0udSWqoMUnBlr8shoq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0.47070171463489502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0.61278763993956276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13.972960063416251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13.972960063416251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13.972960063416251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13.972960063416251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13.972960063416251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13.972960063416251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5.5080133892626542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0.76700000000000002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0.36119299999999999</v>
      </c>
      <c r="C19" s="96">
        <v>0.95</v>
      </c>
      <c r="D19" s="56">
        <v>24.839970481111401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4.8798255494888956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0.70705347649884009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0.1587344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193.6128732031849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116.7109232117549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0.95352400000000004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Yl8KyipgGBskcy71CsZHgtHRiGg8FLD41NlVhN1v7XgXGwvxhyFlkSgV5KtcA+liN7aylj7BIxHEn1AV8cudjA==" saltValue="Uf6wHtLnfHs0Bmf26cS4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3B9jik2zPd1a1U580Jq6X+uz6B2i30K9dY/DWGNLQcq6gMOuigDhvFh5fpMjQf1nxuQfhl3iEny3i+/vyQ+eg==" saltValue="d5DroG2OABghkb/UgqSN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aFiW2+qdigglkxeiY74jCPgIh0c9i2bz0MmwDBnIgdwsrKmhxrDeKTQ8Z3ldXOxgYd54YnsubYCl22KNFk1eQ==" saltValue="yg8GES16JJXofSh3oPS4C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238</v>
      </c>
      <c r="B3" s="21">
        <f>frac_mam_1month * 2.6</f>
        <v>0.10140597999999999</v>
      </c>
      <c r="C3" s="21">
        <f>frac_mam_1_5months * 2.6</f>
        <v>0.10140597999999999</v>
      </c>
      <c r="D3" s="21">
        <f>frac_mam_6_11months * 2.6</f>
        <v>7.0463640000000008E-2</v>
      </c>
      <c r="E3" s="21">
        <f>frac_mam_12_23months * 2.6</f>
        <v>1.343602E-2</v>
      </c>
      <c r="F3" s="21">
        <f>frac_mam_24_59months * 2.6</f>
        <v>1.3436539999999999E-2</v>
      </c>
    </row>
    <row r="4" spans="1:6" ht="15.75" customHeight="1" x14ac:dyDescent="0.25">
      <c r="A4" s="3" t="s">
        <v>237</v>
      </c>
      <c r="B4" s="21">
        <f>frac_sam_1month * 2.6</f>
        <v>7.0101200000000002E-2</v>
      </c>
      <c r="C4" s="21">
        <f>frac_sam_1_5months * 2.6</f>
        <v>7.0101200000000002E-2</v>
      </c>
      <c r="D4" s="21">
        <f>frac_sam_6_11months * 2.6</f>
        <v>7.0146700000000006E-2</v>
      </c>
      <c r="E4" s="21">
        <f>frac_sam_12_23months * 2.6</f>
        <v>2.4184420000000005E-2</v>
      </c>
      <c r="F4" s="21">
        <f>frac_sam_24_59months * 2.6</f>
        <v>4.5931599999999998E-3</v>
      </c>
    </row>
  </sheetData>
  <sheetProtection algorithmName="SHA-512" hashValue="lHTfLFreNYkRGCkbtgqwhLAOiT9Z1skJ4q1kVOSb2P+GBAYx/G7qCZNR6vY0pM8ATyOLLP3QP6ht+6h0ds7v8A==" saltValue="FPwsA0LWrnEpASl+wS1Sg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0.14399999999999999</v>
      </c>
      <c r="F2" s="60">
        <f>food_insecure</f>
        <v>0.14399999999999999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0.14399999999999999</v>
      </c>
      <c r="F5" s="60">
        <f>food_insecure</f>
        <v>0.14399999999999999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0.14399999999999999</v>
      </c>
      <c r="F8" s="60">
        <f>food_insecure</f>
        <v>0.14399999999999999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0.14399999999999999</v>
      </c>
      <c r="F9" s="60">
        <f>food_insecure</f>
        <v>0.14399999999999999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0.14399999999999999</v>
      </c>
      <c r="I15" s="60">
        <f t="shared" si="0"/>
        <v>0.14399999999999999</v>
      </c>
      <c r="J15" s="60">
        <f t="shared" si="0"/>
        <v>0.14399999999999999</v>
      </c>
      <c r="K15" s="60">
        <f t="shared" si="0"/>
        <v>0.14399999999999999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0.14399999999999999</v>
      </c>
      <c r="I16" s="60">
        <f t="shared" si="0"/>
        <v>0.14399999999999999</v>
      </c>
      <c r="J16" s="60">
        <f t="shared" si="0"/>
        <v>0.14399999999999999</v>
      </c>
      <c r="K16" s="60">
        <f t="shared" si="0"/>
        <v>0.14399999999999999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7.2602821536000006E-2</v>
      </c>
      <c r="M25" s="60">
        <f>(1-food_insecure)*(0.49)+food_insecure*(0.7)</f>
        <v>0.52023999999999992</v>
      </c>
      <c r="N25" s="60">
        <f>(1-food_insecure)*(0.49)+food_insecure*(0.7)</f>
        <v>0.52023999999999992</v>
      </c>
      <c r="O25" s="60">
        <f>(1-food_insecure)*(0.49)+food_insecure*(0.7)</f>
        <v>0.52023999999999992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3.1115494944000007E-2</v>
      </c>
      <c r="M26" s="60">
        <f>(1-food_insecure)*(0.21)+food_insecure*(0.3)</f>
        <v>0.22295999999999999</v>
      </c>
      <c r="N26" s="60">
        <f>(1-food_insecure)*(0.21)+food_insecure*(0.3)</f>
        <v>0.22295999999999999</v>
      </c>
      <c r="O26" s="60">
        <f>(1-food_insecure)*(0.21)+food_insecure*(0.3)</f>
        <v>0.22295999999999999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3.5838083520000001E-2</v>
      </c>
      <c r="M27" s="60">
        <f>(1-food_insecure)*(0.3)</f>
        <v>0.25679999999999997</v>
      </c>
      <c r="N27" s="60">
        <f>(1-food_insecure)*(0.3)</f>
        <v>0.25679999999999997</v>
      </c>
      <c r="O27" s="60">
        <f>(1-food_insecure)*(0.3)</f>
        <v>0.25679999999999997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0.86044359999999986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vfbZXzJncjFm2EiOqfg3mxcSS+SHE/ODiZ99XFliBTXnL7WdDCrqz0CMq2/Wn05bxMSUvb549Wx6Ovv8roZyg==" saltValue="T2sljLNQmdF7Q3WE5D2Xi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gJCANwD4ExKnxbxz2fl2ZYZaGTnVzLT93NQs7v5ygxYbrbHSi6pLw8IhvrFMIqLDAHo/lIpkfjEVY09/JQGKzw==" saltValue="1YK8DURFeexoUcgFSqzVB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N5bhR3RfO3Q8eBaKk9jvS0CCe590NV74iREAmKwQu50VFkwhJoTFvagVt4ItfIoG4QHdyVMlgw0n/2K3xXLyA==" saltValue="a0LwFdbcqae0cVapMzhCT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nsD+tjIViHyrthc/nYhCzUR14X68MncWByD9k70Nbryzx9nOGl6eTMzKlWbJdAgPFd7PSDF1KMIpVyo8YAy1Q==" saltValue="zI/JB/RhoodkZ0jc8P16I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gOwZukIoecmNMbyPShpvEhuhThQa8OzDwmhOjasXcB8QNiaHVzGOoA8Q77abj4hpVI8+8M4p+l3bvV1FaxaARQ==" saltValue="tWYVBlOjTqV+N92Zv0A3s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d1Zii+dwi/ou4KYqoogcT8Y2xFogMyi5QgQJoGO9J1YcpsvZTCs80LEqXf+Bev6ECtiDrcjSBBL4q79tKbeHCg==" saltValue="HsPsgA1WNNjL3jB9SFSnP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Z/rwIkcfu2FneHfzizfjZ2q54QyvrpCKPhWVINQpW6DGUjL4CbhoS7qzwUodVRU6dQVEeuZXy6MI6c7p+G/Fg==" saltValue="+oEZ5zp5WFcgnzHNSNIeM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a/RzqSfw0IFJLGIfs2vhHWA0BkK02Dp0Wy/wmb3p/EA9f9lINpheTIzi+F2OGAo1ZdaPlsDSLnfe/Reul2qUyA==" saltValue="DxKkQoHdZCaoZerT1Cjj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98GQSSKD4j4TyJOtjUM/ATURD7Wg47Mp1KEcMEb37tOLAoHUmZfvsUk7XUb71pGlgPVeU6TTy8YAzXVI4rR17Q==" saltValue="uBumHAX5DGAeXTmGvzV/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y/r45w2JYJmBqDQvJQFUN/o6ezkFPJ8j9zb1XLe/pHJFSCxqx/w2aeS3XG9aDLDZzFAflrraMuJFBHKh7tC8w==" saltValue="m2PsC+J5zGgnbiEda3jJ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dcP3c9WKTwK/5gKrTWY7hgCXKoSxANm8/ku+NjUTWhSbzxrM+TtdSU6HbXbZ1r0QH2GhyT3HWR3ag3civ6yCw==" saltValue="s0qxQU8aT3kFICelAKio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aT2Z5ZEru63r1YaImAJdpHYR+W1OsDago73/ozEeS0zDevHFoGhYyN7tzbA84GEb87e0pXJEhkGudrjoZNMMQ==" saltValue="oyob0swJJizk6uSLduZA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Kml097gNU8cgzMCUgyqXN164x3oTUuO8Ugm1Qn+wHZ3iwhnNF4fhhPsF4zFa8Xg9axNMHvEaiJYsT5dXUfYyg==" saltValue="v1wimaPGzKhY56JqQN1ts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D8DhsLKPk76c/Ww30a8uHuCKQ9ndwzYa4BDFQBBktaq6EIFKfKLwSNUcSOvd17f9lZIkBk+7FM1a8V3EGROHcQ==" saltValue="SmNkq0Q8XGv2SancaWAO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S1Bw22CBgF01xFXpUKWBABsfI6oxKiOAJr2uaWRCShoYn8CMLxvcfEGUjsDl4UJYsQVuRsg7iiT46SHRnifXDA==" saltValue="8WB9R/JbMkWrMr5ofYSWd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2026-04-29T07:49:31Z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