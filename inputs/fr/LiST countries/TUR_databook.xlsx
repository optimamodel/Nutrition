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26F9AE02-4BCC-43B4-8475-DF558A61A12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<sst xmlns="http://schemas.openxmlformats.org/spreadsheetml/2006/main" count="2102" uniqueCount="337">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</sst>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6050583.625</v>
      </c>
    </row>
    <row r="8" spans="1:3" ht="15" customHeight="1" x14ac:dyDescent="0.25">
      <c r="B8" s="5" t="s">
        <v>19</v>
      </c>
      <c r="C8" s="44">
        <v>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0.8498191070556641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0.40300000000000002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7.0099999999999996E-2</v>
      </c>
    </row>
    <row r="24" spans="1:3" ht="15" customHeight="1" x14ac:dyDescent="0.25">
      <c r="B24" s="15" t="s">
        <v>33</v>
      </c>
      <c r="C24" s="45">
        <v>0.54359999999999997</v>
      </c>
    </row>
    <row r="25" spans="1:3" ht="15" customHeight="1" x14ac:dyDescent="0.25">
      <c r="B25" s="15" t="s">
        <v>34</v>
      </c>
      <c r="C25" s="45">
        <v>0.36299999999999999</v>
      </c>
    </row>
    <row r="26" spans="1:3" ht="15" customHeight="1" x14ac:dyDescent="0.25">
      <c r="B26" s="15" t="s">
        <v>35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0.34453989050682299</v>
      </c>
    </row>
    <row r="30" spans="1:3" ht="14.25" customHeight="1" x14ac:dyDescent="0.25">
      <c r="B30" s="25" t="s">
        <v>38</v>
      </c>
      <c r="C30" s="99">
        <v>4.9975046177627103E-2</v>
      </c>
    </row>
    <row r="31" spans="1:3" ht="14.25" customHeight="1" x14ac:dyDescent="0.25">
      <c r="B31" s="25" t="s">
        <v>39</v>
      </c>
      <c r="C31" s="99">
        <v>6.4980512501330898E-2</v>
      </c>
    </row>
    <row r="32" spans="1:3" ht="14.25" customHeight="1" x14ac:dyDescent="0.25">
      <c r="B32" s="25" t="s">
        <v>40</v>
      </c>
      <c r="C32" s="99">
        <v>0.540504550814219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4.7240500000000001</v>
      </c>
    </row>
    <row r="38" spans="1:5" ht="15" customHeight="1" x14ac:dyDescent="0.25">
      <c r="B38" s="11" t="s">
        <v>45</v>
      </c>
      <c r="C38" s="43">
        <v>7.6910100000000003</v>
      </c>
      <c r="D38" s="12"/>
      <c r="E38" s="13"/>
    </row>
    <row r="39" spans="1:5" ht="15" customHeight="1" x14ac:dyDescent="0.25">
      <c r="B39" s="11" t="s">
        <v>46</v>
      </c>
      <c r="C39" s="43">
        <v>8.9801699999999993</v>
      </c>
      <c r="D39" s="12"/>
      <c r="E39" s="12"/>
    </row>
    <row r="40" spans="1:5" ht="15" customHeight="1" x14ac:dyDescent="0.25">
      <c r="B40" s="11" t="s">
        <v>47</v>
      </c>
      <c r="C40" s="100">
        <v>0.17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9.3725000000000006E-3</v>
      </c>
      <c r="D45" s="12"/>
    </row>
    <row r="46" spans="1:5" ht="15.75" customHeight="1" x14ac:dyDescent="0.25">
      <c r="B46" s="11" t="s">
        <v>52</v>
      </c>
      <c r="C46" s="45">
        <v>0.1007064</v>
      </c>
      <c r="D46" s="12"/>
    </row>
    <row r="47" spans="1:5" ht="15.75" customHeight="1" x14ac:dyDescent="0.25">
      <c r="B47" s="11" t="s">
        <v>53</v>
      </c>
      <c r="C47" s="45">
        <v>7.2086999999999998E-2</v>
      </c>
      <c r="D47" s="12"/>
      <c r="E47" s="13"/>
    </row>
    <row r="48" spans="1:5" ht="15" customHeight="1" x14ac:dyDescent="0.25">
      <c r="B48" s="11" t="s">
        <v>54</v>
      </c>
      <c r="C48" s="46">
        <v>0.81783410000000001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0.59711100000000006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0.11396655999999999</v>
      </c>
    </row>
    <row r="63" spans="1:4" ht="15.75" customHeight="1" x14ac:dyDescent="0.3">
      <c r="A63" s="4"/>
    </row>
  </sheetData>
  <sheetProtection algorithmName="SHA-512" hashValue="NRGwsi/LpJRHHYrKx2XannjasAkANPw4mYJw6GJF0ttq5Em6yo9rkKTpv9I+vw83CdKj78FHWSR5UBt18yXqfA==" saltValue="FW9kvtm6SKar3fM5QrE0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1195978</v>
      </c>
      <c r="C2" s="49">
        <v>3703738.5</v>
      </c>
      <c r="D2" s="49">
        <v>6322805.5</v>
      </c>
      <c r="E2" s="49">
        <v>6500626.5</v>
      </c>
      <c r="F2" s="49">
        <v>5419678.5</v>
      </c>
      <c r="G2" s="17">
        <f t="shared" ref="G2:G13" si="0">C2+D2+E2+F2</f>
        <v>21946849</v>
      </c>
      <c r="H2" s="17">
        <f t="shared" ref="H2:H13" si="1">(B2 + stillbirth*B2/(1000-stillbirth))/(1-abortion)</f>
        <v>1364831.1195194938</v>
      </c>
      <c r="I2" s="17">
        <f t="shared" ref="I2:I13" si="2">G2-H2</f>
        <v>20582017.880480506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1176729</v>
      </c>
      <c r="C3" s="50">
        <v>3715798.5</v>
      </c>
      <c r="D3" s="50">
        <v>6210153.0000000009</v>
      </c>
      <c r="E3" s="50">
        <v>6476308.5</v>
      </c>
      <c r="F3" s="50">
        <v>5485263</v>
      </c>
      <c r="G3" s="17">
        <f t="shared" si="0"/>
        <v>21887523</v>
      </c>
      <c r="H3" s="17">
        <f t="shared" si="1"/>
        <v>1342864.4661031009</v>
      </c>
      <c r="I3" s="17">
        <f t="shared" si="2"/>
        <v>20544658.533896901</v>
      </c>
    </row>
    <row r="4" spans="1:9" ht="15.75" customHeight="1" x14ac:dyDescent="0.25">
      <c r="A4" s="5">
        <f t="shared" si="3"/>
        <v>2026</v>
      </c>
      <c r="B4" s="49">
        <v>1159738</v>
      </c>
      <c r="C4" s="50">
        <v>3729632.5</v>
      </c>
      <c r="D4" s="50">
        <v>6111654.5</v>
      </c>
      <c r="E4" s="50">
        <v>6452530</v>
      </c>
      <c r="F4" s="50">
        <v>5537964.5</v>
      </c>
      <c r="G4" s="17">
        <f t="shared" si="0"/>
        <v>21831781.5</v>
      </c>
      <c r="H4" s="17">
        <f t="shared" si="1"/>
        <v>1323474.6064637464</v>
      </c>
      <c r="I4" s="17">
        <f t="shared" si="2"/>
        <v>20508306.893536255</v>
      </c>
    </row>
    <row r="5" spans="1:9" ht="15.75" customHeight="1" x14ac:dyDescent="0.25">
      <c r="A5" s="5">
        <f t="shared" si="3"/>
        <v>2027</v>
      </c>
      <c r="B5" s="49">
        <v>1141354</v>
      </c>
      <c r="C5" s="50">
        <v>3753388.5</v>
      </c>
      <c r="D5" s="50">
        <v>6026252.5</v>
      </c>
      <c r="E5" s="50">
        <v>6427381.5</v>
      </c>
      <c r="F5" s="50">
        <v>5582836</v>
      </c>
      <c r="G5" s="17">
        <f t="shared" si="0"/>
        <v>21789858.5</v>
      </c>
      <c r="H5" s="17">
        <f t="shared" si="1"/>
        <v>1302495.0773242086</v>
      </c>
      <c r="I5" s="17">
        <f t="shared" si="2"/>
        <v>20487363.422675792</v>
      </c>
    </row>
    <row r="6" spans="1:9" ht="15.75" customHeight="1" x14ac:dyDescent="0.25">
      <c r="A6" s="5">
        <f t="shared" si="3"/>
        <v>2028</v>
      </c>
      <c r="B6" s="49">
        <v>1127231</v>
      </c>
      <c r="C6" s="50">
        <v>3794386</v>
      </c>
      <c r="D6" s="50">
        <v>5957540.5</v>
      </c>
      <c r="E6" s="50">
        <v>6393486.5</v>
      </c>
      <c r="F6" s="50">
        <v>5623595</v>
      </c>
      <c r="G6" s="17">
        <f t="shared" si="0"/>
        <v>21769008</v>
      </c>
      <c r="H6" s="17">
        <f t="shared" si="1"/>
        <v>1286378.133784299</v>
      </c>
      <c r="I6" s="17">
        <f t="shared" si="2"/>
        <v>20482629.866215702</v>
      </c>
    </row>
    <row r="7" spans="1:9" ht="15.75" customHeight="1" x14ac:dyDescent="0.25">
      <c r="A7" s="5">
        <f t="shared" si="3"/>
        <v>2029</v>
      </c>
      <c r="B7" s="49">
        <v>1111806</v>
      </c>
      <c r="C7" s="50">
        <v>3848719.5</v>
      </c>
      <c r="D7" s="50">
        <v>5909512.5</v>
      </c>
      <c r="E7" s="50">
        <v>6349038.5</v>
      </c>
      <c r="F7" s="50">
        <v>5651692</v>
      </c>
      <c r="G7" s="17">
        <f t="shared" si="0"/>
        <v>21758962.5</v>
      </c>
      <c r="H7" s="17">
        <f t="shared" si="1"/>
        <v>1268775.3685004993</v>
      </c>
      <c r="I7" s="17">
        <f t="shared" si="2"/>
        <v>20490187.131499499</v>
      </c>
    </row>
    <row r="8" spans="1:9" ht="15.75" customHeight="1" x14ac:dyDescent="0.25">
      <c r="A8" s="5">
        <f t="shared" si="3"/>
        <v>2030</v>
      </c>
      <c r="B8" s="49">
        <v>1097096</v>
      </c>
      <c r="C8" s="50">
        <v>3908817.5</v>
      </c>
      <c r="D8" s="50">
        <v>5886441.0000000009</v>
      </c>
      <c r="E8" s="50">
        <v>6296328</v>
      </c>
      <c r="F8" s="50">
        <v>5674067.5</v>
      </c>
      <c r="G8" s="17">
        <f t="shared" si="0"/>
        <v>21765654</v>
      </c>
      <c r="H8" s="17">
        <f t="shared" si="1"/>
        <v>1251988.5498732908</v>
      </c>
      <c r="I8" s="17">
        <f t="shared" si="2"/>
        <v>20513665.450126708</v>
      </c>
    </row>
    <row r="9" spans="1:9" ht="15.75" customHeight="1" x14ac:dyDescent="0.25">
      <c r="A9" s="5">
        <f t="shared" si="3"/>
        <v>2031</v>
      </c>
      <c r="B9" s="49">
        <v>1087408</v>
      </c>
      <c r="C9" s="50">
        <v>3964340</v>
      </c>
      <c r="D9" s="50">
        <v>5876339</v>
      </c>
      <c r="E9" s="50">
        <v>6249469</v>
      </c>
      <c r="F9" s="50">
        <v>5688006.5</v>
      </c>
      <c r="G9" s="17">
        <f t="shared" si="0"/>
        <v>21778154.5</v>
      </c>
      <c r="H9" s="17">
        <f t="shared" si="1"/>
        <v>1240932.7579725161</v>
      </c>
      <c r="I9" s="17">
        <f t="shared" si="2"/>
        <v>20537221.742027484</v>
      </c>
    </row>
    <row r="10" spans="1:9" ht="15.75" customHeight="1" x14ac:dyDescent="0.25">
      <c r="A10" s="5">
        <f t="shared" si="3"/>
        <v>2032</v>
      </c>
      <c r="B10" s="49">
        <v>1078737</v>
      </c>
      <c r="C10" s="50">
        <v>3994178</v>
      </c>
      <c r="D10" s="50">
        <v>5897778</v>
      </c>
      <c r="E10" s="50">
        <v>6194312.5</v>
      </c>
      <c r="F10" s="50">
        <v>5695680.5</v>
      </c>
      <c r="G10" s="17">
        <f t="shared" si="0"/>
        <v>21781949</v>
      </c>
      <c r="H10" s="17">
        <f t="shared" si="1"/>
        <v>1231037.55033713</v>
      </c>
      <c r="I10" s="17">
        <f t="shared" si="2"/>
        <v>20550911.449662872</v>
      </c>
    </row>
    <row r="11" spans="1:9" ht="15.75" customHeight="1" x14ac:dyDescent="0.25">
      <c r="A11" s="5">
        <f t="shared" si="3"/>
        <v>2033</v>
      </c>
      <c r="B11" s="49">
        <v>1071839</v>
      </c>
      <c r="C11" s="50">
        <v>3982966.5</v>
      </c>
      <c r="D11" s="50">
        <v>5965684</v>
      </c>
      <c r="E11" s="50">
        <v>6113765.5</v>
      </c>
      <c r="F11" s="50">
        <v>5697461.5</v>
      </c>
      <c r="G11" s="17">
        <f t="shared" si="0"/>
        <v>21759877.5</v>
      </c>
      <c r="H11" s="17">
        <f t="shared" si="1"/>
        <v>1223165.662173263</v>
      </c>
      <c r="I11" s="17">
        <f t="shared" si="2"/>
        <v>20536711.837826736</v>
      </c>
    </row>
    <row r="12" spans="1:9" ht="15.75" customHeight="1" x14ac:dyDescent="0.25">
      <c r="A12" s="5">
        <f t="shared" si="3"/>
        <v>2034</v>
      </c>
      <c r="B12" s="49">
        <v>1067760</v>
      </c>
      <c r="C12" s="50">
        <v>3931601.5</v>
      </c>
      <c r="D12" s="50">
        <v>6054710.0000000009</v>
      </c>
      <c r="E12" s="50">
        <v>6027664</v>
      </c>
      <c r="F12" s="50">
        <v>5692672</v>
      </c>
      <c r="G12" s="17">
        <f t="shared" si="0"/>
        <v>21706647.5</v>
      </c>
      <c r="H12" s="17">
        <f t="shared" si="1"/>
        <v>1218510.7720862213</v>
      </c>
      <c r="I12" s="17">
        <f t="shared" si="2"/>
        <v>20488136.727913778</v>
      </c>
    </row>
    <row r="13" spans="1:9" ht="15.75" customHeight="1" x14ac:dyDescent="0.25">
      <c r="A13" s="5">
        <f t="shared" si="3"/>
        <v>2035</v>
      </c>
      <c r="B13" s="49">
        <v>1063122</v>
      </c>
      <c r="C13" s="50">
        <v>3851667.5</v>
      </c>
      <c r="D13" s="50">
        <v>6148425.5</v>
      </c>
      <c r="E13" s="50">
        <v>5953262</v>
      </c>
      <c r="F13" s="50">
        <v>5687859</v>
      </c>
      <c r="G13" s="17">
        <f t="shared" si="0"/>
        <v>21641214</v>
      </c>
      <c r="H13" s="17">
        <f t="shared" si="1"/>
        <v>1213217.9600676626</v>
      </c>
      <c r="I13" s="17">
        <f t="shared" si="2"/>
        <v>20427996.039932337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jGS4ki6nQ1Z6aEWtp6gy0+o5my5NYKk39XFd1ecoZOaSSAxJUgeQ2m3n9p/yI/7D25VWIKScJNAlDZOGFqrkg==" saltValue="jccjNcSZ2gu5vwWpoBm8k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8.5716908571690814E-2</v>
      </c>
    </row>
    <row r="5" spans="1:8" ht="15.75" customHeight="1" x14ac:dyDescent="0.25">
      <c r="B5" s="19" t="s">
        <v>80</v>
      </c>
      <c r="C5" s="101">
        <v>1.9132901913290239E-2</v>
      </c>
    </row>
    <row r="6" spans="1:8" ht="15.75" customHeight="1" x14ac:dyDescent="0.25">
      <c r="B6" s="19" t="s">
        <v>81</v>
      </c>
      <c r="C6" s="101">
        <v>7.7509707750970658E-2</v>
      </c>
    </row>
    <row r="7" spans="1:8" ht="15.75" customHeight="1" x14ac:dyDescent="0.25">
      <c r="B7" s="19" t="s">
        <v>82</v>
      </c>
      <c r="C7" s="101">
        <v>0.42196434219643392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0.27333552733355321</v>
      </c>
    </row>
    <row r="10" spans="1:8" ht="15.75" customHeight="1" x14ac:dyDescent="0.25">
      <c r="B10" s="19" t="s">
        <v>85</v>
      </c>
      <c r="C10" s="101">
        <v>0.1223406122340612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88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89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95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3.9700850000000003E-2</v>
      </c>
    </row>
    <row r="27" spans="1:8" ht="15.75" customHeight="1" x14ac:dyDescent="0.25">
      <c r="B27" s="19" t="s">
        <v>102</v>
      </c>
      <c r="C27" s="101">
        <v>2.3007410999999998E-2</v>
      </c>
    </row>
    <row r="28" spans="1:8" ht="15.75" customHeight="1" x14ac:dyDescent="0.25">
      <c r="B28" s="19" t="s">
        <v>103</v>
      </c>
      <c r="C28" s="101">
        <v>0.18789456399999999</v>
      </c>
    </row>
    <row r="29" spans="1:8" ht="15.75" customHeight="1" x14ac:dyDescent="0.25">
      <c r="B29" s="19" t="s">
        <v>104</v>
      </c>
      <c r="C29" s="101">
        <v>0.14356665699999999</v>
      </c>
    </row>
    <row r="30" spans="1:8" ht="15.75" customHeight="1" x14ac:dyDescent="0.25">
      <c r="B30" s="19" t="s">
        <v>2</v>
      </c>
      <c r="C30" s="101">
        <v>5.2092121999999998E-2</v>
      </c>
    </row>
    <row r="31" spans="1:8" ht="15.75" customHeight="1" x14ac:dyDescent="0.25">
      <c r="B31" s="19" t="s">
        <v>105</v>
      </c>
      <c r="C31" s="101">
        <v>2.4076997999999999E-2</v>
      </c>
    </row>
    <row r="32" spans="1:8" ht="15.75" customHeight="1" x14ac:dyDescent="0.25">
      <c r="B32" s="19" t="s">
        <v>106</v>
      </c>
      <c r="C32" s="101">
        <v>8.5285021000000003E-2</v>
      </c>
    </row>
    <row r="33" spans="2:3" ht="15.75" customHeight="1" x14ac:dyDescent="0.25">
      <c r="B33" s="19" t="s">
        <v>107</v>
      </c>
      <c r="C33" s="101">
        <v>0.223807599</v>
      </c>
    </row>
    <row r="34" spans="2:3" ht="15.75" customHeight="1" x14ac:dyDescent="0.25">
      <c r="B34" s="19" t="s">
        <v>108</v>
      </c>
      <c r="C34" s="101">
        <v>0.22056877799999999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w9I/QqVynx7eT0fJI0UMKBqfLAQaMg5xM/woffZCF4C91Io67a4ebaG8ofwFpNV/U6Uel2LS5uFSpWTjdvKq/A==" saltValue="HNp1SY1ALNwbxOhkqNzRe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114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115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119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120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bWuMAx7L60ta/4LC17CSa8U9BGeGJvoyTE41qFMRqoDcYZ/Gn5YdIU/BvOxOCh4LRHxlIv3oyjCf0bZWDLvTQ==" saltValue="H3QRKf6rJDIw+p8RZYIl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132</v>
      </c>
      <c r="C5" s="52">
        <v>4.6687600000000003E-2</v>
      </c>
      <c r="D5" s="52">
        <v>8.3091000000000012E-2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IJDU5I9P2gsI1hOr0YSSjZecl2du3F6rzpOEEz+wiq23MsmP3n/6ffqCJH+rxTzZGdlM5j0dcZSDKGcjlWBtdQ==" saltValue="0kbKOfi9AKqb8GAp+RIu8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yMqbWnIXcGPAP8X5m4kVkXCoEBnLhGN3kvFkSvbOeJCcJebGd8bQrJwUR5UY6HX4JYpdAmznPuD2uNLaGriqw==" saltValue="TCoFSlUGw7SR7jGx3ze+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Hp9aLPDOOXOgkwUJU+R5nWLxq8d/Uj4g7egrLjVyA33E6vumlsnAtTsmiFYnO6dPPIhkPtdMNhB+kiASNWqcLg==" saltValue="kv9gWZFFWksFVInHU7cRH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0DZoUKlj0g87hh5P5eOu2aByUTAO/ygoR/ATsW4ZP7E5D7cclD7ej6WEt6PeAnRAbbaYvjqp96i75watGmkZKQ==" saltValue="Nk+vgRtXi8Fxb/WzzQmKe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fKKbuA1RtNzoIsvS0oW2vJqD3Xf7RXGyISSExeEqsaXrfAa9m7diiGPEgNbsfRGor4D8z+1we51LIn6xr+cbRg==" saltValue="BDzkMF4q/bGmnS/v4j65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100.8838400123179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0.23893208687459999</v>
      </c>
      <c r="C3" s="98">
        <v>0.95</v>
      </c>
      <c r="D3" s="56">
        <v>40.840660619620337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1086.2600399420769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3.0808634797970562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13.972960063416251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13.972960063416251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13.972960063416251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13.972960063416251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13.972960063416251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13.972960063416251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0.97</v>
      </c>
      <c r="C16" s="98">
        <v>0.95</v>
      </c>
      <c r="D16" s="56">
        <v>1.6797258633116019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0.12451952521206</v>
      </c>
      <c r="C18" s="98">
        <v>0.95</v>
      </c>
      <c r="D18" s="56">
        <v>24.839970481111401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0.99</v>
      </c>
      <c r="C19" s="98">
        <v>0.95</v>
      </c>
      <c r="D19" s="56">
        <v>24.839970481111401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0.95352400000000004</v>
      </c>
      <c r="C21" s="98">
        <v>0.95</v>
      </c>
      <c r="D21" s="56">
        <v>27.799382182381819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24.616622973147329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4.8798255494888956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0.94356790700472004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19.534604961991612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0.73994385379266003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211.45682792792479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0.56632019569628533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3.7054411364622579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0.1587344</v>
      </c>
      <c r="C38" s="98">
        <v>0.95</v>
      </c>
      <c r="D38" s="56">
        <v>3.7084194520624441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XsrmVUeCjzuWojKgpvJT4zcX9H0hlYeaDkhrmkNMuvxaOx2LAvjQXyOR9Y9gRvcgr5/ClakcIok5z5+81IBEpw==" saltValue="Db+MoqHPvH1Z8Pa4jM6Q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JxevzfbELeRsiTpE/a6UbOsKET9NEJvpbqgpH9Q0nKFw2sl++jpUcNGQ+pmMzKNjiswBzYq1MvLNd0lv5p/Dg==" saltValue="PJTrtjvbs+75YaBBVuWQ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Dj3vpDwmy9Z99LEGyu0EHB5xGYh6DsRavveg/nUSgS0fkonRhKlZYmxyH3GZL+Zlq/DEiU68A23I9BLRf3Teg==" saltValue="cgDUGeSEJ5/JOROkmIAY6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208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sheetProtection algorithmName="SHA-512" hashValue="hckyyBxo2z9EpZ7ctEwRqn0OiyfTNOd/Vu/n5TbEC7ukaQf8mBFBgWFRSA808BbfNi5lsPw4MQJgsiwQpRjeCQ==" saltValue="Ka9QthbZ5R+QWtS8rIUq6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0.40300000000000002</v>
      </c>
      <c r="M24" s="60">
        <f>famplan_unmet_need</f>
        <v>0.40300000000000002</v>
      </c>
      <c r="N24" s="60">
        <f>famplan_unmet_need</f>
        <v>0.40300000000000002</v>
      </c>
      <c r="O24" s="60">
        <f>famplan_unmet_need</f>
        <v>0.40300000000000002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7.3620175530242901E-2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3.155150379867553E-2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4.5009213615417466E-2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0.8498191070556641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0kFVV6cOWN/dUGcA4n4HhbwySTF4rsdm0VGLkxoA+s5GrzdofXOEkebzyRcKdvKeKtZsmeijA4QAau/0JRSHQ==" saltValue="8B7Z+rsF0Y6ip6IvjRM7l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KzGQIlddIo3+fYDJlu/F0dM27JwyPFaoFG/kyu6gA4V6gPvC5m/jCaiKbnc7vJ9Z64wEViRx0q+0MEOmkRSFw==" saltValue="RjHikPWWoychebUwmm1h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vAkqdCry0VCuauqjJHfgmgV6Q2KBlgz0b7NIsEsoujFrWvQem8k+m7CVxbDX39VjPt2cJbrGpSXfDIO4AXw4Q==" saltValue="vBZ95JT5SrNfXunCOkzdP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jUlzLaejn+9g96R4C6zFU8wkeRlaBUvYggNWXWzTHEp9g5QSiJKTUod8uaWFWi1SJuwLbXzuXbmA8GpOVMkzQ==" saltValue="bdllLrw/UEP83G7kW3YH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FzUZObdBBU8kxVTAzuvMRXseEvgE+s+0sE4X9uzJJee9Ixx052pNqvCwHssQMpFsUWsLSr3vbcncOEr119w4Ww==" saltValue="Ca9waQIPk2H+R7YmUbLPp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wG1W97AtPIxhf8iCIz2/mPG6JZSB+DEGIAoVZxC03rHG/J8x1uy3chREp4kt4ZRqUebOhXKf3y+wOxRt9w2dg==" saltValue="6brt45Wm7Rib2ttOurYCA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EDh+I3yDxgXXx75KsrCgPZHUglszLD3SV0q1Gw4f204mTQEWLdx7JoMKS3VwfyOy3Iy0TT1AvgC3bBiIEI0QPA==" saltValue="Eu7mG6PAa2BDPKCICDwDa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J9QAENP9PyB1wGNAQemKSd5vpIlcknBSH2gvOhpO37gUDwNrR9vuyQwvrM1EtlRrf5xh38omvqfnUdvC2kYMg==" saltValue="OMsh5AZTFfcD9gERiHXN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CwCxd2hKo1W2yAHm1q6Zvf4OK6RNWBftDAkHfn7cfUrSTwagcST1bvpl+qUcXlZ6EaGO+it3pAdk3QV79SjdQ==" saltValue="kq4Cv/reOMOI5KAHaM+i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pBrz9Cd9IBXTSjzUQHoI/9SNlJiqBKJU3HmyjJpVVLZphMdKFxe5RGwj5U3KRfEn+OZ5ohwAS9pCg1tzuT9jzQ==" saltValue="mwRi0DhNf2R6twWmkcWG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4vXVeixwefjtXOuRn2aGcA+8UMOxW0IdOyi0tK9/HVTpgKmbj8rzU0MujtODwehDhy3oyGOKoR3xPnwkNKIWg==" saltValue="jYo2FNPLTfFdq8ln4/Uz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/0f7fMaGSPpHnkoPk5oImvOnYx4iakzknCCf8FwEPUCxzSEn9osm8sMObSOix3koS4aeOOXzgs+uWqEApO98w==" saltValue="7o4pZGEpNcD0JwUYiicC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BL4snXkJAIW+4s1wEb4JKzUGL9zTtjWHvTIVOxqfBqrNHszRzl2M/MGtnT2J0UUDZgwB2WjVyM/fdtg2566Hg==" saltValue="fUO/JLYmUpMMhX7gv84/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Pa179WOWhvavsWzyDdxTG4BwjaDP6L8ENJvry7WYG9QtpNEeBY/mqLgfJuD5VcnWdiMrvZTaMWqE+cWM5gd8Q==" saltValue="ZNdbgsWHG70ufWI0bF1P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A0UPmmaMV/zB7OcboYguX1Fm67qJ7c9QrpFZY3fYll/jELZV8XnPb+ZsouWjkByUETezjKew2VckrOBSyZ3Lw==" saltValue="OYsw1znYLVGhwMGSmT49s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2024-05-17T01:00:14Z</dcterms:modified>
</cp:coreProperties>
</file>