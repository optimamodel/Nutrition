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B47CE4F-6863-4984-B561-C1ADF45F7AA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4" i="2"/>
  <c r="A31" i="2"/>
  <c r="A37" i="2"/>
  <c r="I4" i="2"/>
  <c r="I8" i="2"/>
  <c r="I12" i="2"/>
  <c r="A25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<sst xmlns="http://schemas.openxmlformats.org/spreadsheetml/2006/main" count="2159" uniqueCount="368">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</sst>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588941</v>
      </c>
    </row>
    <row r="8" spans="1:3" ht="15" customHeight="1" x14ac:dyDescent="0.25">
      <c r="B8" s="5" t="s">
        <v>37</v>
      </c>
      <c r="C8" s="44">
        <v>0.40899999999999997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0.40200000000000002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1.2699999999999999E-2</v>
      </c>
    </row>
    <row r="24" spans="1:3" ht="15" customHeight="1" x14ac:dyDescent="0.25">
      <c r="B24" s="15" t="s">
        <v>51</v>
      </c>
      <c r="C24" s="45">
        <v>0.32469999999999999</v>
      </c>
    </row>
    <row r="25" spans="1:3" ht="15" customHeight="1" x14ac:dyDescent="0.25">
      <c r="B25" s="15" t="s">
        <v>52</v>
      </c>
      <c r="C25" s="45">
        <v>0.53369999999999995</v>
      </c>
    </row>
    <row r="26" spans="1:3" ht="15" customHeight="1" x14ac:dyDescent="0.25">
      <c r="B26" s="15" t="s">
        <v>53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0.26912377197565901</v>
      </c>
    </row>
    <row r="30" spans="1:3" ht="14.25" customHeight="1" x14ac:dyDescent="0.25">
      <c r="B30" s="25" t="s">
        <v>56</v>
      </c>
      <c r="C30" s="99">
        <v>4.10301351064883E-2</v>
      </c>
    </row>
    <row r="31" spans="1:3" ht="14.25" customHeight="1" x14ac:dyDescent="0.25">
      <c r="B31" s="25" t="s">
        <v>57</v>
      </c>
      <c r="C31" s="99">
        <v>6.6332842080041601E-2</v>
      </c>
    </row>
    <row r="32" spans="1:3" ht="14.25" customHeight="1" x14ac:dyDescent="0.25">
      <c r="B32" s="25" t="s">
        <v>58</v>
      </c>
      <c r="C32" s="99">
        <v>0.62351325083781095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29.927250000000001</v>
      </c>
    </row>
    <row r="38" spans="1:5" ht="15" customHeight="1" x14ac:dyDescent="0.25">
      <c r="B38" s="11" t="s">
        <v>63</v>
      </c>
      <c r="C38" s="43">
        <v>56.723050000000001</v>
      </c>
      <c r="D38" s="12"/>
      <c r="E38" s="13"/>
    </row>
    <row r="39" spans="1:5" ht="15" customHeight="1" x14ac:dyDescent="0.25">
      <c r="B39" s="11" t="s">
        <v>64</v>
      </c>
      <c r="C39" s="43">
        <v>76.040170000000003</v>
      </c>
      <c r="D39" s="12"/>
      <c r="E39" s="12"/>
    </row>
    <row r="40" spans="1:5" ht="15" customHeight="1" x14ac:dyDescent="0.25">
      <c r="B40" s="11" t="s">
        <v>65</v>
      </c>
      <c r="C40" s="100">
        <v>6.52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71</v>
      </c>
      <c r="C47" s="45">
        <v>7.3475499999999999E-2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0.44132399999999999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0.14607059</v>
      </c>
    </row>
    <row r="63" spans="1:4" ht="15.75" customHeight="1" x14ac:dyDescent="0.3">
      <c r="A63" s="4"/>
    </row>
  </sheetData>
  <sheetProtection algorithmName="SHA-512" hashValue="dTm3+OnjzTW8XZ8CJBGNTKUr1DDjgujEFhx2nt9OZcnc0UAlCTjLFRgxGzoe7MVL2bGtbeYEg51jW0RoLIlcEw==" saltValue="WUEnlRxSff9aK/bjJW7I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JAyC5xN1WnS+oR0o1kirZFCNYXFXUbNerZE3PXEzzYDApCR0TrWxt4pUZCbJo97lUDfQkEbMpv+nN6H4/m/Cw==" saltValue="2qJkHMvXimVRvKsFMJLg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2.0916002091600189E-2</v>
      </c>
    </row>
    <row r="4" spans="1:8" ht="15.75" customHeight="1" x14ac:dyDescent="0.25">
      <c r="B4" s="19" t="s">
        <v>97</v>
      </c>
      <c r="C4" s="101">
        <v>6.5774706577470685E-2</v>
      </c>
    </row>
    <row r="5" spans="1:8" ht="15.75" customHeight="1" x14ac:dyDescent="0.25">
      <c r="B5" s="19" t="s">
        <v>98</v>
      </c>
      <c r="C5" s="101">
        <v>9.6632509663250973E-2</v>
      </c>
    </row>
    <row r="6" spans="1:8" ht="15.75" customHeight="1" x14ac:dyDescent="0.25">
      <c r="B6" s="19" t="s">
        <v>99</v>
      </c>
      <c r="C6" s="101">
        <v>0.25245662524566231</v>
      </c>
    </row>
    <row r="7" spans="1:8" ht="15.75" customHeight="1" x14ac:dyDescent="0.25">
      <c r="B7" s="19" t="s">
        <v>100</v>
      </c>
      <c r="C7" s="101">
        <v>0.39333373933337429</v>
      </c>
    </row>
    <row r="8" spans="1:8" ht="15.75" customHeight="1" x14ac:dyDescent="0.25">
      <c r="B8" s="19" t="s">
        <v>101</v>
      </c>
      <c r="C8" s="101">
        <v>3.4550003455000359E-3</v>
      </c>
    </row>
    <row r="9" spans="1:8" ht="15.75" customHeight="1" x14ac:dyDescent="0.25">
      <c r="B9" s="19" t="s">
        <v>102</v>
      </c>
      <c r="C9" s="101">
        <v>5.8309405830940547E-2</v>
      </c>
    </row>
    <row r="10" spans="1:8" ht="15.75" customHeight="1" x14ac:dyDescent="0.25">
      <c r="B10" s="19" t="s">
        <v>103</v>
      </c>
      <c r="C10" s="101">
        <v>0.1091220109122009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106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107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108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109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110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111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112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113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8.7635818000000004E-2</v>
      </c>
    </row>
    <row r="27" spans="1:8" ht="15.75" customHeight="1" x14ac:dyDescent="0.25">
      <c r="B27" s="19" t="s">
        <v>120</v>
      </c>
      <c r="C27" s="101">
        <v>8.6621349999999996E-3</v>
      </c>
    </row>
    <row r="28" spans="1:8" ht="15.75" customHeight="1" x14ac:dyDescent="0.25">
      <c r="B28" s="19" t="s">
        <v>121</v>
      </c>
      <c r="C28" s="101">
        <v>0.15441808500000001</v>
      </c>
    </row>
    <row r="29" spans="1:8" ht="15.75" customHeight="1" x14ac:dyDescent="0.25">
      <c r="B29" s="19" t="s">
        <v>122</v>
      </c>
      <c r="C29" s="101">
        <v>0.167759189</v>
      </c>
    </row>
    <row r="30" spans="1:8" ht="15.75" customHeight="1" x14ac:dyDescent="0.25">
      <c r="B30" s="19" t="s">
        <v>2</v>
      </c>
      <c r="C30" s="101">
        <v>0.10583751800000001</v>
      </c>
    </row>
    <row r="31" spans="1:8" ht="15.75" customHeight="1" x14ac:dyDescent="0.25">
      <c r="B31" s="19" t="s">
        <v>123</v>
      </c>
      <c r="C31" s="101">
        <v>0.109709026</v>
      </c>
    </row>
    <row r="32" spans="1:8" ht="15.75" customHeight="1" x14ac:dyDescent="0.25">
      <c r="B32" s="19" t="s">
        <v>124</v>
      </c>
      <c r="C32" s="101">
        <v>1.8596574000000001E-2</v>
      </c>
    </row>
    <row r="33" spans="2:3" ht="15.75" customHeight="1" x14ac:dyDescent="0.25">
      <c r="B33" s="19" t="s">
        <v>125</v>
      </c>
      <c r="C33" s="101">
        <v>8.3747772999999998E-2</v>
      </c>
    </row>
    <row r="34" spans="2:3" ht="15.75" customHeight="1" x14ac:dyDescent="0.25">
      <c r="B34" s="19" t="s">
        <v>126</v>
      </c>
      <c r="C34" s="101">
        <v>0.26363388300000001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Jg0TDghxVAX+9tTE2TVSdVIS2pPkHyVPlSesX4Frfwz+W527d80+9kI6zwpJc89yGfheDNaHlyKKjVAnuntLbg==" saltValue="lpQ4WgrTmvpy8eHSCNy4X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132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133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137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bc0uXe9fhJWHZEnylNjls8ptm0RvF2J3pwZd4Eh0qEudT6yrWhTWjgB1Y3u74ZAFB2QRFPxPofYqMLl604qwQ==" saltValue="1iJ1S7iFDxupxzsSmmMo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tmMpJgc48jj3CUZEei7EGZNSSXfcoOkkGGOKPcWNvRIhOxJNfzQiPm1Lz05idUhiT+0Go5Fc/85Hq+GSshG6Ag==" saltValue="8WA0Eo0TZva8Bk3rDocM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Fm2rLNO4J9gj+FDg0MZJDZ8IJlZZzyvH5JFlIeJp7E/cNCRi2G/MwYPqhvz6PGPDz+dlzwwgBgz97GDD/Z9jw==" saltValue="cUMeNb7MUPHKIlB8re2V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6716.0959846232799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0.40487000000000001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0.36991999999999997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1.0567949644444418E-2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98807.089730000007</v>
      </c>
      <c r="C22" s="109">
        <v>98628.64129</v>
      </c>
      <c r="D22" s="109">
        <v>98396.81005</v>
      </c>
      <c r="E22" s="109">
        <v>98002.189859999999</v>
      </c>
      <c r="F22" s="109">
        <v>97420.469469999996</v>
      </c>
      <c r="G22" s="109">
        <v>96823.648279999994</v>
      </c>
      <c r="H22" s="109">
        <v>96104.379369999995</v>
      </c>
      <c r="I22" s="109">
        <v>95202.783769999995</v>
      </c>
      <c r="J22" s="109">
        <v>94023.532319999998</v>
      </c>
      <c r="K22" s="109">
        <v>92269.896710000001</v>
      </c>
      <c r="L22" s="109">
        <v>89884.668460000001</v>
      </c>
      <c r="M22" s="109">
        <v>86369.482889999999</v>
      </c>
      <c r="N22" s="109">
        <v>80715.421700000006</v>
      </c>
      <c r="O22" s="109">
        <v>72640.698099999994</v>
      </c>
    </row>
  </sheetData>
  <sheetProtection algorithmName="SHA-512" hashValue="s1SuZDJ67KJaenhQChNFcNU2SRGWfoWWzXqXcHe5VU5xQQGlRHLmoGfCGbwYTNsA2U6uBK4dI69ouYhHRagQgQ==" saltValue="oH0bUv//a1Z7jLqksCF4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MkXE36qKJ/ZOZeHmHsPIphl9A9zzhWNHF/c2FB2E9+5hqRCYsVuMvgqWFUjrDvI9RhJZF4+jYl1bgu22vV8Mg==" saltValue="2VbfPKuhj6DRB06MIwxU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TNDANBLevkoG6SZh0YmSHjh7kCh29ULYqMf8bQ2zPqalMfg5XRVinrIj9wKYQNb2+JTeP/Rc2a7uBXAgC9cTA==" saltValue="0JsFt6RvWMWSWBUGqIcQ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0.42978100000000002</v>
      </c>
      <c r="C10" s="98">
        <v>0.95</v>
      </c>
      <c r="D10" s="56">
        <v>13.152774049592161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13.152774049592161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13.152774049592161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13.152774049592161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0.42978100000000002</v>
      </c>
      <c r="C14" s="98">
        <v>0.95</v>
      </c>
      <c r="D14" s="56">
        <v>13.152774049592161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13.152774049592161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0.69226200000000004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0.157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0.51254100000000002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0.51254100000000002</v>
      </c>
      <c r="C19" s="98">
        <v>0.95</v>
      </c>
      <c r="D19" s="56">
        <v>11.78698314040644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0.53483530000000001</v>
      </c>
      <c r="C23" s="98">
        <v>0.95</v>
      </c>
      <c r="D23" s="56">
        <v>4.3672092908488347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0.57084762680907997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0.54128999999999994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8.6074300000000006E-2</v>
      </c>
      <c r="C29" s="98">
        <v>0.95</v>
      </c>
      <c r="D29" s="56">
        <v>193.6128732031849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0.15140000000000001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0.5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3.4401899999999999E-2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0.1875019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1.9946800000000001E-2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5.4970400000000003E-2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0.2335767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DhSNx5ltebGuBm3mtSj+OCJg41oSDELt+gHb4+GOG0j7+fZRbIp34NbgoA/CFtVmNPEAryrgsuCQK4deU8UJVQ==" saltValue="WBGPMxKURVgZcJ0EPUm8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QQgNUCkTY25mErZbWto6lxbjXOMiRt+tH/cOd7yJCUklGwyq81HzJ0c65D0tIe+72C6Uuim4IfDGaA3NaRK9g==" saltValue="aAYiQ1SvMjnXAv2uUJ8z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4WL4MJogBU2fVyMsR8D09+Kn4iRxNxo/NnPCvb0Dvurv+LLA/iiQ8u0+r/Sfusd01SpF+iR8fnbfhoC7zvdCg==" saltValue="wf/Wy+tyCny0VSLGwRj5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Qyfaqn/ziyAbeKG+BnInj+oh1rSre3OVjKHl2xAV3OlICRo8TiRd2aCO2UD5AwKwtBJfL6m904B8lmK76DaFKA==" saltValue="H+CtUJlEbfJu+8oifGKY/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0.40200000000000002</v>
      </c>
      <c r="M24" s="60">
        <f>famplan_unmet_need</f>
        <v>0.40200000000000002</v>
      </c>
      <c r="N24" s="60">
        <f>famplan_unmet_need</f>
        <v>0.40200000000000002</v>
      </c>
      <c r="O24" s="60">
        <f>famplan_unmet_need</f>
        <v>0.40200000000000002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jocahFCNjd0qVejoyoNuCe+p4Soc0uxGX9/iL6TXM4Ep5idj9frgmXNalLOOIoMbb1X/G3TTX7JpjZDd0+g0Q==" saltValue="QCjNvoaHR6uLOQuqQiAF5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/X1bbRaJLWi+WeACGQwq1cik1k8OFkr07L3b/H2a6A7Y3c5/7bIN+mScYwVZ0fAVnG+RSZDM/cKcg/WpeZvPQ==" saltValue="pJ5NtRi1/YhQHnVcxdoPM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Haue66NDFEwpepqelda3//4wu2BpGjfwFf/yh0vI6s2ngA+zFfKOpt7jISur/BYFwV4T0w3QXZzGXlVUwCDCw==" saltValue="ICUXcYCoSJJLnBhdZELI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MQNtcRiLEXmqn5CTseQixeGqdXJUkgID4nRgOXrVavOyulabF9i/gvSNQfM34PD/DUkCseT400IoKUvwZOc8A==" saltValue="4dyAcJv5hfrD48O0TVql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kRl9Zcf0cWRi9P9j6Pe5MuuUliTf4sH0m+C+P5oJV62QEeFt8xXbctz6XL3McwtKWZWVaOLEnC1fCZxdxJmJ/A==" saltValue="M6SzAu1KJM5Z3eAScz9Q4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bmQ4stqXxvEl97aP7W1mPEAIwzV3jHTqczeht9gKNRqChL6RHy/7KwTW3K7Idva2Q2MVaZgHw4Bz6L93UlZaNg==" saltValue="eGDmYt0hEJAW+1qSx/oh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XDDaAIS6iCSLfPuXxUr+D/SYZD8KxKNn0vHgafXJy8sMqpQlgq/4sVGmhTo9UqhUQVtV68+6onAREUoC2LKNA==" saltValue="jtPYL4zjqubjD/x0LR4D8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j20+mWWbt1wkPywjL3ZgrRelaPHhwMAvJXVBOR4D949hmyPFbNdTxhfv6s8l8/U7dSWT79R7D3mtXO6G9ssI6Q==" saltValue="LzCzEaOA7MwQot7hASuH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8tOcKztwehBPLzfmsfdvh+ocf8AbhAND4xDOW9mob2Sfg7r/kfbLLBZfA7hQTOsE1q5BKh6hxJzz+YJoahnaQ==" saltValue="wOpfXae8hE7ILvRob6OS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HVIN+vjYQoZokb8B1tiMp3ztU21y7sErKsipCpv1wmAJ1OmCCUDVBtGhbJWkW9G1P0VtUSABzwP92ubx+Of/A==" saltValue="TYtwEyj0HUQa9XQ+nABN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SEro+6jJlLMpOihrG1vBoNLOIcvilqUzjrtDn1i40A5D6Mg2szv7ExlA5GOXE/hy7cFwlLS3HmS6pZ4QTRTww==" saltValue="R3+bh06sIAb6IyPoC7Hs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4y33+kqZf1i9AGuMH5fZeA/+61QtgranRjHuUNzVH71WjozQEVx19Kj5ytarcICBR59MObDFU/Y+9cywlXp7g==" saltValue="UQk5IwBiTQohfrqCfGrN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XZwzkrsWA6XUnR9NRuzpBPODtloaozH7BvZLeXMvPJyZpQlxwz0wijsm2s5XcfXPg0zdUbaGNuuYHrbU6qcmQ==" saltValue="Cz4oWgxX9xlJzYnFOSAH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PSWbLz+5u+3SXZ019OS+BFPWiTKyVPbClY4kYXUYDJktXlfdxAsvJUTZRS7KsP6N0rVm8KBay3iDD7sMzNEoQ==" saltValue="GBXzLq+EDFgyQTHLHZzq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0KMVvauj6wmG1D7h/G/ACJWqyf7ITHWouvRHE+y2Y5XwIV/vcmXbWbMtA3msHJWJ9gokZYgTd5NnPBUMe4PpA==" saltValue="9hAy31DD2mpHeM5vH2al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