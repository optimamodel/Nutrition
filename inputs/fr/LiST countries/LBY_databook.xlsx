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F124BFE7-0DDF-4F17-8143-781ABC91713E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25" i="2" l="1"/>
  <c r="A37" i="2"/>
  <c r="A3" i="2"/>
  <c r="A17" i="2"/>
  <c r="A39" i="2"/>
  <c r="A18" i="2"/>
  <c r="A33" i="2"/>
  <c r="A21" i="2"/>
  <c r="A26" i="2"/>
  <c r="A15" i="2"/>
  <c r="A28" i="2"/>
  <c r="A29" i="2"/>
  <c r="A31" i="2"/>
  <c r="A20" i="2"/>
  <c r="A34" i="2"/>
  <c r="A23" i="2"/>
  <c r="A36" i="2"/>
  <c r="A16" i="2"/>
  <c r="A24" i="2"/>
  <c r="A32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<sst xmlns="http://schemas.openxmlformats.org/spreadsheetml/2006/main" count="2101" uniqueCount="337">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</sst>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775167.515625</v>
      </c>
    </row>
    <row r="8" spans="1:3" ht="15" customHeight="1" x14ac:dyDescent="0.25">
      <c r="B8" s="5" t="s">
        <v>19</v>
      </c>
      <c r="C8" s="44">
        <v>0.40899999999999997</v>
      </c>
    </row>
    <row r="9" spans="1:3" ht="15" customHeight="1" x14ac:dyDescent="0.25">
      <c r="B9" s="5" t="s">
        <v>20</v>
      </c>
      <c r="C9" s="45">
        <v>1</v>
      </c>
    </row>
    <row r="10" spans="1:3" ht="15" customHeight="1" x14ac:dyDescent="0.25">
      <c r="B10" s="5" t="s">
        <v>21</v>
      </c>
      <c r="C10" s="45">
        <v>0.68451698300000008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0.70400000000000007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1.2699999999999999E-2</v>
      </c>
    </row>
    <row r="24" spans="1:3" ht="15" customHeight="1" x14ac:dyDescent="0.25">
      <c r="B24" s="15" t="s">
        <v>33</v>
      </c>
      <c r="C24" s="45">
        <v>0.32469999999999999</v>
      </c>
    </row>
    <row r="25" spans="1:3" ht="15" customHeight="1" x14ac:dyDescent="0.25">
      <c r="B25" s="15" t="s">
        <v>34</v>
      </c>
      <c r="C25" s="45">
        <v>0.53369999999999995</v>
      </c>
    </row>
    <row r="26" spans="1:3" ht="15" customHeight="1" x14ac:dyDescent="0.25">
      <c r="B26" s="15" t="s">
        <v>35</v>
      </c>
      <c r="C26" s="45">
        <v>0.12889999999999999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0.26912377197565901</v>
      </c>
    </row>
    <row r="30" spans="1:3" ht="14.25" customHeight="1" x14ac:dyDescent="0.25">
      <c r="B30" s="25" t="s">
        <v>38</v>
      </c>
      <c r="C30" s="99">
        <v>4.10301351064883E-2</v>
      </c>
    </row>
    <row r="31" spans="1:3" ht="14.25" customHeight="1" x14ac:dyDescent="0.25">
      <c r="B31" s="25" t="s">
        <v>39</v>
      </c>
      <c r="C31" s="99">
        <v>6.6332842080041601E-2</v>
      </c>
    </row>
    <row r="32" spans="1:3" ht="14.25" customHeight="1" x14ac:dyDescent="0.25">
      <c r="B32" s="25" t="s">
        <v>40</v>
      </c>
      <c r="C32" s="99">
        <v>0.62351325083781095</v>
      </c>
    </row>
    <row r="33" spans="1:5" ht="13" customHeight="1" x14ac:dyDescent="0.25">
      <c r="B33" s="27" t="s">
        <v>41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29.927250000000001</v>
      </c>
    </row>
    <row r="38" spans="1:5" ht="15" customHeight="1" x14ac:dyDescent="0.25">
      <c r="B38" s="11" t="s">
        <v>45</v>
      </c>
      <c r="C38" s="43">
        <v>56.723050000000001</v>
      </c>
      <c r="D38" s="12"/>
      <c r="E38" s="13"/>
    </row>
    <row r="39" spans="1:5" ht="15" customHeight="1" x14ac:dyDescent="0.25">
      <c r="B39" s="11" t="s">
        <v>46</v>
      </c>
      <c r="C39" s="43">
        <v>76.040170000000003</v>
      </c>
      <c r="D39" s="12"/>
      <c r="E39" s="12"/>
    </row>
    <row r="40" spans="1:5" ht="15" customHeight="1" x14ac:dyDescent="0.25">
      <c r="B40" s="11" t="s">
        <v>47</v>
      </c>
      <c r="C40" s="100">
        <v>6.52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7.9130999999999993E-3</v>
      </c>
      <c r="D45" s="12"/>
    </row>
    <row r="46" spans="1:5" ht="15.75" customHeight="1" x14ac:dyDescent="0.25">
      <c r="B46" s="11" t="s">
        <v>52</v>
      </c>
      <c r="C46" s="45">
        <v>8.50249E-2</v>
      </c>
      <c r="D46" s="12"/>
    </row>
    <row r="47" spans="1:5" ht="15.75" customHeight="1" x14ac:dyDescent="0.25">
      <c r="B47" s="11" t="s">
        <v>53</v>
      </c>
      <c r="C47" s="45">
        <v>7.3475499999999999E-2</v>
      </c>
      <c r="D47" s="12"/>
      <c r="E47" s="13"/>
    </row>
    <row r="48" spans="1:5" ht="15" customHeight="1" x14ac:dyDescent="0.25">
      <c r="B48" s="11" t="s">
        <v>54</v>
      </c>
      <c r="C48" s="46">
        <v>0.83358650000000001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0.44132399999999999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0.14607059</v>
      </c>
    </row>
    <row r="63" spans="1:4" ht="15.75" customHeight="1" x14ac:dyDescent="0.3">
      <c r="A63" s="4"/>
    </row>
  </sheetData>
  <sheetProtection algorithmName="SHA-512" hashValue="CmHfod1ynT2txXT9CReV8iROBaMDJjW8EhiWQ8n5IRJ/+OHUAGb+AuXYM5tU929nSIitwPkeG6WuXcvBP1+nUA==" saltValue="ImRxwv/5msC/rS8ecspC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115149</v>
      </c>
      <c r="C2" s="49">
        <v>386859.49999999988</v>
      </c>
      <c r="D2" s="49">
        <v>554924.50000000012</v>
      </c>
      <c r="E2" s="49">
        <v>463811.99999999988</v>
      </c>
      <c r="F2" s="49">
        <v>447610.5</v>
      </c>
      <c r="G2" s="17">
        <f t="shared" ref="G2:G13" si="0">C2+D2+E2+F2</f>
        <v>1853206.5</v>
      </c>
      <c r="H2" s="17">
        <f t="shared" ref="H2:H13" si="1">(B2 + stillbirth*B2/(1000-stillbirth))/(1-abortion)</f>
        <v>133912.66101093445</v>
      </c>
      <c r="I2" s="17">
        <f t="shared" ref="I2:I13" si="2">G2-H2</f>
        <v>1719293.8389890655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114639</v>
      </c>
      <c r="C3" s="50">
        <v>391606</v>
      </c>
      <c r="D3" s="50">
        <v>567647.5</v>
      </c>
      <c r="E3" s="50">
        <v>464652.5</v>
      </c>
      <c r="F3" s="50">
        <v>446755</v>
      </c>
      <c r="G3" s="17">
        <f t="shared" si="0"/>
        <v>1870661</v>
      </c>
      <c r="H3" s="17">
        <f t="shared" si="1"/>
        <v>133319.55592868818</v>
      </c>
      <c r="I3" s="17">
        <f t="shared" si="2"/>
        <v>1737341.4440713117</v>
      </c>
    </row>
    <row r="4" spans="1:9" ht="15.75" customHeight="1" x14ac:dyDescent="0.25">
      <c r="A4" s="5">
        <f t="shared" si="3"/>
        <v>2026</v>
      </c>
      <c r="B4" s="49">
        <v>114387</v>
      </c>
      <c r="C4" s="50">
        <v>393041</v>
      </c>
      <c r="D4" s="50">
        <v>579470</v>
      </c>
      <c r="E4" s="50">
        <v>467664.5</v>
      </c>
      <c r="F4" s="50">
        <v>444431.5</v>
      </c>
      <c r="G4" s="17">
        <f t="shared" si="0"/>
        <v>1884607</v>
      </c>
      <c r="H4" s="17">
        <f t="shared" si="1"/>
        <v>133026.49224099002</v>
      </c>
      <c r="I4" s="17">
        <f t="shared" si="2"/>
        <v>1751580.50775901</v>
      </c>
    </row>
    <row r="5" spans="1:9" ht="15.75" customHeight="1" x14ac:dyDescent="0.25">
      <c r="A5" s="5">
        <f t="shared" si="3"/>
        <v>2027</v>
      </c>
      <c r="B5" s="49">
        <v>114330</v>
      </c>
      <c r="C5" s="50">
        <v>390780.99999999988</v>
      </c>
      <c r="D5" s="50">
        <v>590497</v>
      </c>
      <c r="E5" s="50">
        <v>473004.5</v>
      </c>
      <c r="F5" s="50">
        <v>440761.5</v>
      </c>
      <c r="G5" s="17">
        <f t="shared" si="0"/>
        <v>1895044</v>
      </c>
      <c r="H5" s="17">
        <f t="shared" si="1"/>
        <v>132960.20402591545</v>
      </c>
      <c r="I5" s="17">
        <f t="shared" si="2"/>
        <v>1762083.7959740846</v>
      </c>
    </row>
    <row r="6" spans="1:9" ht="15.75" customHeight="1" x14ac:dyDescent="0.25">
      <c r="A6" s="5">
        <f t="shared" si="3"/>
        <v>2028</v>
      </c>
      <c r="B6" s="49">
        <v>114162</v>
      </c>
      <c r="C6" s="50">
        <v>389071.50000000012</v>
      </c>
      <c r="D6" s="50">
        <v>600692.5</v>
      </c>
      <c r="E6" s="50">
        <v>480057.5</v>
      </c>
      <c r="F6" s="50">
        <v>435785.5</v>
      </c>
      <c r="G6" s="17">
        <f t="shared" si="0"/>
        <v>1905607</v>
      </c>
      <c r="H6" s="17">
        <f t="shared" si="1"/>
        <v>132764.82823411663</v>
      </c>
      <c r="I6" s="17">
        <f t="shared" si="2"/>
        <v>1772842.1717658835</v>
      </c>
    </row>
    <row r="7" spans="1:9" ht="15.75" customHeight="1" x14ac:dyDescent="0.25">
      <c r="A7" s="5">
        <f t="shared" si="3"/>
        <v>2029</v>
      </c>
      <c r="B7" s="49">
        <v>114692</v>
      </c>
      <c r="C7" s="50">
        <v>387244.49999999988</v>
      </c>
      <c r="D7" s="50">
        <v>610065.5</v>
      </c>
      <c r="E7" s="50">
        <v>488487.00000000012</v>
      </c>
      <c r="F7" s="50">
        <v>429646</v>
      </c>
      <c r="G7" s="17">
        <f t="shared" si="0"/>
        <v>1915443</v>
      </c>
      <c r="H7" s="17">
        <f t="shared" si="1"/>
        <v>133381.19233919613</v>
      </c>
      <c r="I7" s="17">
        <f t="shared" si="2"/>
        <v>1782061.8076608039</v>
      </c>
    </row>
    <row r="8" spans="1:9" ht="15.75" customHeight="1" x14ac:dyDescent="0.25">
      <c r="A8" s="5">
        <f t="shared" si="3"/>
        <v>2030</v>
      </c>
      <c r="B8" s="49">
        <v>115296</v>
      </c>
      <c r="C8" s="50">
        <v>383428.5</v>
      </c>
      <c r="D8" s="50">
        <v>619598.5</v>
      </c>
      <c r="E8" s="50">
        <v>498065.5</v>
      </c>
      <c r="F8" s="50">
        <v>423264.5</v>
      </c>
      <c r="G8" s="17">
        <f t="shared" si="0"/>
        <v>1924357</v>
      </c>
      <c r="H8" s="17">
        <f t="shared" si="1"/>
        <v>134083.61482875838</v>
      </c>
      <c r="I8" s="17">
        <f t="shared" si="2"/>
        <v>1790273.3851712416</v>
      </c>
    </row>
    <row r="9" spans="1:9" ht="15.75" customHeight="1" x14ac:dyDescent="0.25">
      <c r="A9" s="5">
        <f t="shared" si="3"/>
        <v>2031</v>
      </c>
      <c r="B9" s="49">
        <v>115418</v>
      </c>
      <c r="C9" s="50">
        <v>376885.50000000012</v>
      </c>
      <c r="D9" s="50">
        <v>629807.5</v>
      </c>
      <c r="E9" s="50">
        <v>508835</v>
      </c>
      <c r="F9" s="50">
        <v>417293.5</v>
      </c>
      <c r="G9" s="17">
        <f t="shared" si="0"/>
        <v>1932821.5</v>
      </c>
      <c r="H9" s="17">
        <f t="shared" si="1"/>
        <v>134225.49486804081</v>
      </c>
      <c r="I9" s="17">
        <f t="shared" si="2"/>
        <v>1798596.0051319592</v>
      </c>
    </row>
    <row r="10" spans="1:9" ht="15.75" customHeight="1" x14ac:dyDescent="0.25">
      <c r="A10" s="5">
        <f t="shared" si="3"/>
        <v>2032</v>
      </c>
      <c r="B10" s="49">
        <v>116138</v>
      </c>
      <c r="C10" s="50">
        <v>372042.5</v>
      </c>
      <c r="D10" s="50">
        <v>635915.5</v>
      </c>
      <c r="E10" s="50">
        <v>520771.5</v>
      </c>
      <c r="F10" s="50">
        <v>411987</v>
      </c>
      <c r="G10" s="17">
        <f t="shared" si="0"/>
        <v>1940716.5</v>
      </c>
      <c r="H10" s="17">
        <f t="shared" si="1"/>
        <v>135062.81969003557</v>
      </c>
      <c r="I10" s="17">
        <f t="shared" si="2"/>
        <v>1805653.6803099643</v>
      </c>
    </row>
    <row r="11" spans="1:9" ht="15.75" customHeight="1" x14ac:dyDescent="0.25">
      <c r="A11" s="5">
        <f t="shared" si="3"/>
        <v>2033</v>
      </c>
      <c r="B11" s="49">
        <v>116501</v>
      </c>
      <c r="C11" s="50">
        <v>369242.5</v>
      </c>
      <c r="D11" s="50">
        <v>637500.5</v>
      </c>
      <c r="E11" s="50">
        <v>533541.5</v>
      </c>
      <c r="F11" s="50">
        <v>408668.5</v>
      </c>
      <c r="G11" s="17">
        <f t="shared" si="0"/>
        <v>1948953</v>
      </c>
      <c r="H11" s="17">
        <f t="shared" si="1"/>
        <v>135484.97095445791</v>
      </c>
      <c r="I11" s="17">
        <f t="shared" si="2"/>
        <v>1813468.029045542</v>
      </c>
    </row>
    <row r="12" spans="1:9" ht="15.75" customHeight="1" x14ac:dyDescent="0.25">
      <c r="A12" s="5">
        <f t="shared" si="3"/>
        <v>2034</v>
      </c>
      <c r="B12" s="49">
        <v>117064</v>
      </c>
      <c r="C12" s="50">
        <v>364623.00000000012</v>
      </c>
      <c r="D12" s="50">
        <v>638616.5</v>
      </c>
      <c r="E12" s="50">
        <v>546670</v>
      </c>
      <c r="F12" s="50">
        <v>407111.5</v>
      </c>
      <c r="G12" s="17">
        <f t="shared" si="0"/>
        <v>1957021</v>
      </c>
      <c r="H12" s="17">
        <f t="shared" si="1"/>
        <v>136139.71244721214</v>
      </c>
      <c r="I12" s="17">
        <f t="shared" si="2"/>
        <v>1820881.2875527879</v>
      </c>
    </row>
    <row r="13" spans="1:9" ht="15.75" customHeight="1" x14ac:dyDescent="0.25">
      <c r="A13" s="5">
        <f t="shared" si="3"/>
        <v>2035</v>
      </c>
      <c r="B13" s="49">
        <v>117746</v>
      </c>
      <c r="C13" s="50">
        <v>359218</v>
      </c>
      <c r="D13" s="50">
        <v>638866</v>
      </c>
      <c r="E13" s="50">
        <v>559347</v>
      </c>
      <c r="F13" s="50">
        <v>406674</v>
      </c>
      <c r="G13" s="17">
        <f t="shared" si="0"/>
        <v>1964105</v>
      </c>
      <c r="H13" s="17">
        <f t="shared" si="1"/>
        <v>136932.84512582381</v>
      </c>
      <c r="I13" s="17">
        <f t="shared" si="2"/>
        <v>1827172.1548741763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yjEcoWXgrTVpNU1Is0Nnx4TfO8uYVTOEUWsO4vB5HXGaeY3diKrCnl6F+SMjbhXOs2fEmM7hn3RIpCod5svqg==" saltValue="XmkmQOzmsAiO/Zsjgyfww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2.0916002091600189E-2</v>
      </c>
    </row>
    <row r="4" spans="1:8" ht="15.75" customHeight="1" x14ac:dyDescent="0.25">
      <c r="B4" s="19" t="s">
        <v>79</v>
      </c>
      <c r="C4" s="101">
        <v>6.5774706577470685E-2</v>
      </c>
    </row>
    <row r="5" spans="1:8" ht="15.75" customHeight="1" x14ac:dyDescent="0.25">
      <c r="B5" s="19" t="s">
        <v>80</v>
      </c>
      <c r="C5" s="101">
        <v>9.6632509663250973E-2</v>
      </c>
    </row>
    <row r="6" spans="1:8" ht="15.75" customHeight="1" x14ac:dyDescent="0.25">
      <c r="B6" s="19" t="s">
        <v>81</v>
      </c>
      <c r="C6" s="101">
        <v>0.25245662524566231</v>
      </c>
    </row>
    <row r="7" spans="1:8" ht="15.75" customHeight="1" x14ac:dyDescent="0.25">
      <c r="B7" s="19" t="s">
        <v>82</v>
      </c>
      <c r="C7" s="101">
        <v>0.39333373933337429</v>
      </c>
    </row>
    <row r="8" spans="1:8" ht="15.75" customHeight="1" x14ac:dyDescent="0.25">
      <c r="B8" s="19" t="s">
        <v>83</v>
      </c>
      <c r="C8" s="101">
        <v>3.4550003455000359E-3</v>
      </c>
    </row>
    <row r="9" spans="1:8" ht="15.75" customHeight="1" x14ac:dyDescent="0.25">
      <c r="B9" s="19" t="s">
        <v>84</v>
      </c>
      <c r="C9" s="101">
        <v>5.8309405830940547E-2</v>
      </c>
    </row>
    <row r="10" spans="1:8" ht="15.75" customHeight="1" x14ac:dyDescent="0.25">
      <c r="B10" s="19" t="s">
        <v>85</v>
      </c>
      <c r="C10" s="101">
        <v>0.1091220109122009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88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89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90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91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92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93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94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95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41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8.7635818000000004E-2</v>
      </c>
    </row>
    <row r="27" spans="1:8" ht="15.75" customHeight="1" x14ac:dyDescent="0.25">
      <c r="B27" s="19" t="s">
        <v>102</v>
      </c>
      <c r="C27" s="101">
        <v>8.6621349999999996E-3</v>
      </c>
    </row>
    <row r="28" spans="1:8" ht="15.75" customHeight="1" x14ac:dyDescent="0.25">
      <c r="B28" s="19" t="s">
        <v>103</v>
      </c>
      <c r="C28" s="101">
        <v>0.15441808500000001</v>
      </c>
    </row>
    <row r="29" spans="1:8" ht="15.75" customHeight="1" x14ac:dyDescent="0.25">
      <c r="B29" s="19" t="s">
        <v>104</v>
      </c>
      <c r="C29" s="101">
        <v>0.167759189</v>
      </c>
    </row>
    <row r="30" spans="1:8" ht="15.75" customHeight="1" x14ac:dyDescent="0.25">
      <c r="B30" s="19" t="s">
        <v>2</v>
      </c>
      <c r="C30" s="101">
        <v>0.10583751800000001</v>
      </c>
    </row>
    <row r="31" spans="1:8" ht="15.75" customHeight="1" x14ac:dyDescent="0.25">
      <c r="B31" s="19" t="s">
        <v>105</v>
      </c>
      <c r="C31" s="101">
        <v>0.109709026</v>
      </c>
    </row>
    <row r="32" spans="1:8" ht="15.75" customHeight="1" x14ac:dyDescent="0.25">
      <c r="B32" s="19" t="s">
        <v>106</v>
      </c>
      <c r="C32" s="101">
        <v>1.8596574000000001E-2</v>
      </c>
    </row>
    <row r="33" spans="2:3" ht="15.75" customHeight="1" x14ac:dyDescent="0.25">
      <c r="B33" s="19" t="s">
        <v>107</v>
      </c>
      <c r="C33" s="101">
        <v>8.3747772999999998E-2</v>
      </c>
    </row>
    <row r="34" spans="2:3" ht="15.75" customHeight="1" x14ac:dyDescent="0.25">
      <c r="B34" s="19" t="s">
        <v>108</v>
      </c>
      <c r="C34" s="101">
        <v>0.26363388300000001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fctUiS5JKkR7dT5QIaCZe5UC9T1CcBWBWSbxKeLU/oWC06UL6R46w+FpUAVQIaLew1Py+5Fh7s7YDNw6mSyBrQ==" saltValue="DesqThygho2LhRHSNfw1t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114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115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119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120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0.34717774225000009</v>
      </c>
      <c r="D14" s="54">
        <v>0.336716783849</v>
      </c>
      <c r="E14" s="54">
        <v>0.336716783849</v>
      </c>
      <c r="F14" s="54">
        <v>0.25295648786800001</v>
      </c>
      <c r="G14" s="54">
        <v>0.25295648786800001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0.15321786992073905</v>
      </c>
      <c r="D15" s="52">
        <f t="shared" si="0"/>
        <v>0.14860119791537607</v>
      </c>
      <c r="E15" s="52">
        <f t="shared" si="0"/>
        <v>0.14860119791537607</v>
      </c>
      <c r="F15" s="52">
        <f t="shared" si="0"/>
        <v>0.11163576905185724</v>
      </c>
      <c r="G15" s="52">
        <f t="shared" si="0"/>
        <v>0.11163576905185724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ezDDqR2t1/KUaKpaDn18KsIGkU6oZccBm381ubhQsp71qaW6a/xUHG1pIzAN4zwDczS7Lcvd5jvnWp4NotlIw==" saltValue="lO2QWQS0oTM+MaLpI6dP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132</v>
      </c>
      <c r="C5" s="52">
        <v>2.17007E-2</v>
      </c>
      <c r="D5" s="52">
        <v>6.7366499999999996E-2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isYVCyZY+dNohYQaGY6v9UqO4D3MwpkOZlCT/acBHHgAUXByUCRw/nrhBhufIdlyARDVq8yLl1RJ8dtg9Kf8Jg==" saltValue="nma5eWfzefImAJlyRwvjl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dGe2P6ZAul1mHOGdoNYqLzDx+laCyGDWGYHB9ywNfcVn178l7VBt1meOCQzSKHyyJJ/xouqNf4wKYEWEwBdfA==" saltValue="4NhPgTkZYjUldalZueOxr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hDcrmPg4zCloWX5K6Gu5zD94v4IRyq06Yh8Z9adEHvfBL4fPon7jrvDWf+vyH3OTHb2K5Z9Qtk6D+UIx6h159w==" saltValue="dAJMN0sIZrblrMtbmvuEm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y/c0Li05Zfwz1fPx381aEXlns6RIDygFMT54hwvaBXucdaghdTOTfk6v3AJ9EGed9BDw+ISI7nRkB+K0LTD2wQ==" saltValue="qne8E/p4o+jCZKx7dRQKc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UaX4xlJThD/49ogVb4PEnfuco/G6q4vhbuMNevQGS2TB9yYbh4vMEfShu08PtvbHer9SP2r1jILGHnN6NvI5/g==" saltValue="U5twVGAGFnNOFjsCfq8f2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144.3361538195548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17.111531340441921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16.029464016122279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5.1259904229438291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0.10284547803181469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0.21140459373206369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0.42978100000000002</v>
      </c>
      <c r="C10" s="98">
        <v>0.95</v>
      </c>
      <c r="D10" s="56">
        <v>13.152774049592161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13.152774049592161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13.152774049592161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13.152774049592161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0.42978100000000002</v>
      </c>
      <c r="C14" s="98">
        <v>0.95</v>
      </c>
      <c r="D14" s="56">
        <v>13.152774049592161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13.152774049592161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0.69226200000000004</v>
      </c>
      <c r="C16" s="98">
        <v>0.95</v>
      </c>
      <c r="D16" s="56">
        <v>5.5080133892626542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0.157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0.51254100000000002</v>
      </c>
      <c r="C18" s="98">
        <v>0.95</v>
      </c>
      <c r="D18" s="56">
        <v>16.029464016122279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0.51254100000000002</v>
      </c>
      <c r="C19" s="98">
        <v>0.95</v>
      </c>
      <c r="D19" s="56">
        <v>16.029464016122279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16.46619599914094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22.771204442043111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0.53483530000000001</v>
      </c>
      <c r="C23" s="98">
        <v>0.95</v>
      </c>
      <c r="D23" s="56">
        <v>4.3672092908488347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0.57084762680907997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0.42978100000000002</v>
      </c>
      <c r="C26" s="98">
        <v>0.95</v>
      </c>
      <c r="D26" s="56">
        <v>7.6264796156856711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30.36727751762248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0.54128999999999994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8.6074300000000006E-2</v>
      </c>
      <c r="C29" s="98">
        <v>0.95</v>
      </c>
      <c r="D29" s="56">
        <v>193.6128732031849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0.15140000000000001</v>
      </c>
      <c r="C31" s="98">
        <v>0.95</v>
      </c>
      <c r="D31" s="56">
        <v>398.07273654067848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</v>
      </c>
      <c r="C32" s="98">
        <v>0.95</v>
      </c>
      <c r="D32" s="56">
        <v>1.4358697255793671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3.4401899999999999E-2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0.1875019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1.9946800000000001E-2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5.4970400000000003E-2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0.2335767</v>
      </c>
      <c r="C38" s="98">
        <v>0.95</v>
      </c>
      <c r="D38" s="56">
        <v>5.3874863984233787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7.541139000710408</v>
      </c>
      <c r="E39" s="56" t="s">
        <v>201</v>
      </c>
      <c r="F39" s="98">
        <v>1</v>
      </c>
      <c r="G39" s="98">
        <v>1</v>
      </c>
    </row>
  </sheetData>
  <sheetProtection algorithmName="SHA-512" hashValue="Ldqh+RCCxTKmS5geolHdI811GzuiqYGoJ9f45jaTg+fwmzKMD53WBtYtdPgWooMa2OQT5pw4gDoArqAkcFHBkw==" saltValue="22N5kwsjL4dtSLbVS4ej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7wLGvNSfLYNqsiYEBWL5RcrrmJspN2ocz/zJl/1fJB3ChQN3SCx0G4NYYcYxH3uc3/BCUI4MXv1W461Jb8HbXA==" saltValue="XE1oABbXvO66iN3gW6vV1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R5AdzzZdIsqyiRlbcRtSUgBwxkSA1S6CK5MvHQdOaVL6kbGqsybMFCrdjHkMvlRd3jfXei8Wghc8Km8D4k4kjQ==" saltValue="Bo29JmCuioBBOgbo+cvgb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208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sheetProtection algorithmName="SHA-512" hashValue="2km74EsUZHifWZAqIQ8n5UDfJOFQq+1RzqDD6ZuoEQwPNCOyRUqqP3wDYd+ZthBt49yPYpw6hnVTSdbkJpYYXQ==" saltValue="w9p846jW2HsFBoF9xAw0H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0.40899999999999997</v>
      </c>
      <c r="E2" s="60">
        <f>food_insecure</f>
        <v>0.40899999999999997</v>
      </c>
      <c r="F2" s="60">
        <f>food_insecure</f>
        <v>0.40899999999999997</v>
      </c>
      <c r="G2" s="60">
        <f>food_insecure</f>
        <v>0.40899999999999997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0.40899999999999997</v>
      </c>
      <c r="I15" s="60">
        <f>food_insecure</f>
        <v>0.40899999999999997</v>
      </c>
      <c r="J15" s="60">
        <f>food_insecure</f>
        <v>0.40899999999999997</v>
      </c>
      <c r="K15" s="60">
        <f>food_insecure</f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0.70400000000000007</v>
      </c>
      <c r="M24" s="60">
        <f>famplan_unmet_need</f>
        <v>0.70400000000000007</v>
      </c>
      <c r="N24" s="60">
        <f>famplan_unmet_need</f>
        <v>0.70400000000000007</v>
      </c>
      <c r="O24" s="60">
        <f>famplan_unmet_need</f>
        <v>0.70400000000000007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0.18168351466012991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7.7864363425769967E-2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5.5935138914099979E-2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0.68451698299999997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AOLYsg64h3UQ1sLjhs+dNbmDWdZ/PiHX+XKAooMAyY3Nhpk0N9aObmGuMUVYXz4II2jzmvRjDqe07c2BHIkXw==" saltValue="omGaEy+vb2lM4dDFm/IAL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4UvyF9f229qMXpIS0O8in8x15O5PeNY9jGbtABd1L5Wn0RPl8VXBuCNAGcYe0pROsvIm0/u1c66YfLoUFoyZsQ==" saltValue="nViSIqjm67FY4XAWWVGL8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DcbqLlQo8rgej0W6q3xoPlxjHoSLFDB5+wdStbpcfMkaIX15EoJMwKHyM5ivSv7q/uxBKRB6e5NcXvHyMSD7w==" saltValue="1oFcZB4m8qXD77UgTf2wa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96p2JREHKJWW2aBFJU6HXNKMJeP3rje8xDaEZaVzWSpBd+qdBcSlat3+5Zc4NqQv5vgMTgi1tibltkEjZYvIPQ==" saltValue="/kCu5ArBn1lhdkaZZqjxy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EVqiJRoeKbCPJwwoV7aIeztVgzgF52o+KIMQU0G1Hg9U6LH8RO4xlMAw1VQmfSwOufJXoyM2juMmsE9Lbc5eDg==" saltValue="gVUHE+HTJenmov3NMhPXA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S/7hE5xBHxEI8w1lca41DHE4Co+okaqDKW1EEPaRb+esFPtISA1v0yfDgq2ChwFTYBcAS1/0bIzaWZ/6J94aDQ==" saltValue="JwdZPxD5QHRQOB4ee3+er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jvytXkW+sPPyUprcKeG/4NFUXy/B+YSv4nc21XqdeYINvteGuwSiKo3IjMpIwF9nuem73mhvGhgNFyogHrizg==" saltValue="PP5uFib/5WYRoVBOzqGPK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6lT/xj4O9hcRf56Uq8Em+Met9S44nroLib6j/jGni8F9u8oh06iOIw+Vwgt88nuL9lIsGj+C1iQglJlHpMaRZQ==" saltValue="CppRdYdWF9I5zGxtMUjW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C4a38gKhmIewKY5GHkmD5y9hqbuP5S6yMnFxnof2NGy/o7xh7w9IDCWD0QAJuDMp4/JHjAQw7ArZPCqxQNxbw==" saltValue="X5UTOmrWw7G5YnTSIN4Y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RRZXIvVPMQaYqsI+++IAZkKo3SJCzEDJNKJPCsZZVRQlH815wrWUME3vLztljJndYl9zdqlmizVN6hHfUQlBPg==" saltValue="t7m3cmjAPSeJVNCUrjD1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f3V9A4ixc3B30SlqWigdyJt89FNPf5N6Yf4tT4/5cl56YD1PJ/39BDQRcDEB5eXMQisUVKwAIxewMKXUk8diSA==" saltValue="X+Obmsl2sHU+0+X9MVLf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1dukZ1Mc4zqdOzoOzztYLgQ8JppSjZHKbIs3gzFMCyt5T8elD0aQfjSX/7V72ZZvlfjGmJe4ppN8zZ5D1b2Nw==" saltValue="Ezy/ap8fvSzcL88xUdE5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rNsJ+e1p7iLz+ijP0Yuz8SAElen9cUERIehDR/ZI41qBjJ0ArdzJrlvexdQdGAlNc66ap0awBVwggJYcz02eOg==" saltValue="wWu25ZFyGCkEKNsLssXLz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0.10878363582238137</v>
      </c>
      <c r="G18" s="90">
        <f>MIN(MAX(1-0.89/(1-frac_sam_12_23months+(frac_sam_12_23months*0.89)),0),1)</f>
        <v>0.10900210374013841</v>
      </c>
      <c r="H18" s="90">
        <f>MIN(MAX(1-0.89/(1-frac_sam_24_59months+(frac_sam_24_59months*0.89)),0),1)</f>
        <v>0.10982432293995648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0.10457663107893689</v>
      </c>
      <c r="G20" s="90">
        <f>MIN(MAX(1-0.89/(1-frac_mam_12_23months+(frac_mam_12_23months*0.89)),0),1)</f>
        <v>0.10510405021068525</v>
      </c>
      <c r="H20" s="90">
        <f>MIN(MAX(1-0.89/(1-frac_mam_24_59months+(frac_mam_24_59months*0.89)),0),1)</f>
        <v>0.10831478538751438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9.8771495172035317E-3</v>
      </c>
      <c r="G73" s="90">
        <f>MIN(MAX(1-0.99/(1-frac_sam_12_23months+(frac_sam_12_23months*0.99)),0),1)</f>
        <v>9.8991918961220948E-3</v>
      </c>
      <c r="H73" s="90">
        <f>MIN(MAX(1-0.99/(1-frac_sam_24_59months+(frac_sam_24_59months*0.99)),0),1)</f>
        <v>9.982238091333584E-3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9.4545908395351486E-3</v>
      </c>
      <c r="G75" s="90">
        <f>MIN(MAX(1-0.99/(1-frac_mam_12_23months+(frac_mam_12_23months*0.99)),0),1)</f>
        <v>9.5073675938538438E-3</v>
      </c>
      <c r="H75" s="90">
        <f>MIN(MAX(1-0.99/(1-frac_mam_24_59months+(frac_mam_24_59months*0.99)),0),1)</f>
        <v>9.8298778811486409E-3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0.19800984539153599</v>
      </c>
      <c r="G128" s="90">
        <f>MIN(MAX(1-0.8/(1-frac_sam_12_23months+(frac_sam_12_23months*0.8)),0),1)</f>
        <v>0.19836761995186036</v>
      </c>
      <c r="H128" s="90">
        <f>MIN(MAX(1-0.8/(1-frac_sam_24_59months+(frac_sam_24_59months*0.8)),0),1)</f>
        <v>0.19971284096159381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0.19109206312677096</v>
      </c>
      <c r="G130" s="90">
        <f>MIN(MAX(1-0.8/(1-frac_mam_12_23months+(frac_mam_12_23months*0.8)),0),1)</f>
        <v>0.19196227094074725</v>
      </c>
      <c r="H130" s="90">
        <f>MIN(MAX(1-0.8/(1-frac_mam_24_59months+(frac_mam_24_59months*0.8)),0),1)</f>
        <v>0.19724154534293825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Sgekmby8QFfyb5qymifG9XoQq2Y5FMkcqG42pwPvIBGqJnmX+2hCqsqMhA3NW2cE3XwVSK8f4MD8XNDg8Ixsw==" saltValue="Gjy89ttgtd27irO8l4m5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JRUgqrSpGdGnqiW2RzfZqJywt6Fk+wEVXftQr30e8hM7MItosgymG3Zy7E+BKB9SnmejsMEI4GiKG7A9vflHZg==" saltValue="ZhidDWrWUegBRfbGAWw/V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2024-08-06T09:20:07Z</dcterms:modified>
</cp:coreProperties>
</file>