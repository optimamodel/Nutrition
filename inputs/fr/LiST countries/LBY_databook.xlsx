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1A7F8EF7-A44E-480F-8B48-36426FFAA90C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6" i="2"/>
  <c r="A34" i="2"/>
  <c r="A31" i="2"/>
  <c r="A26" i="2"/>
  <c r="H13" i="2"/>
  <c r="G13" i="2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38" i="2" l="1"/>
  <c r="I39" i="2"/>
  <c r="A25" i="2"/>
  <c r="I6" i="2"/>
  <c r="I12" i="2"/>
  <c r="A35" i="2"/>
  <c r="I7" i="2"/>
  <c r="I13" i="2"/>
  <c r="A37" i="2"/>
  <c r="I8" i="2"/>
  <c r="A19" i="2"/>
  <c r="A22" i="2"/>
  <c r="I3" i="2"/>
  <c r="A23" i="2"/>
  <c r="I2" i="2"/>
  <c r="A2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<sst xmlns="http://schemas.openxmlformats.org/spreadsheetml/2006/main" count="2169" uniqueCount="369">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</sst>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588941</v>
      </c>
    </row>
    <row r="8" spans="1:3" ht="15" customHeight="1" x14ac:dyDescent="0.25">
      <c r="B8" s="5" t="s">
        <v>37</v>
      </c>
      <c r="C8" s="44">
        <v>0.40899999999999997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0.68451698300000008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0.40200000000000002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1.2699999999999999E-2</v>
      </c>
    </row>
    <row r="24" spans="1:3" ht="15" customHeight="1" x14ac:dyDescent="0.25">
      <c r="B24" s="15" t="s">
        <v>51</v>
      </c>
      <c r="C24" s="45">
        <v>0.32469999999999999</v>
      </c>
    </row>
    <row r="25" spans="1:3" ht="15" customHeight="1" x14ac:dyDescent="0.25">
      <c r="B25" s="15" t="s">
        <v>52</v>
      </c>
      <c r="C25" s="45">
        <v>0.53369999999999995</v>
      </c>
    </row>
    <row r="26" spans="1:3" ht="15" customHeight="1" x14ac:dyDescent="0.25">
      <c r="B26" s="15" t="s">
        <v>53</v>
      </c>
      <c r="C26" s="45">
        <v>0.12889999999999999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0.26912377197565901</v>
      </c>
    </row>
    <row r="30" spans="1:3" ht="14.25" customHeight="1" x14ac:dyDescent="0.25">
      <c r="B30" s="25" t="s">
        <v>56</v>
      </c>
      <c r="C30" s="97">
        <v>4.10301351064883E-2</v>
      </c>
    </row>
    <row r="31" spans="1:3" ht="14.25" customHeight="1" x14ac:dyDescent="0.25">
      <c r="B31" s="25" t="s">
        <v>57</v>
      </c>
      <c r="C31" s="97">
        <v>6.6332842080041601E-2</v>
      </c>
    </row>
    <row r="32" spans="1:3" ht="14.25" customHeight="1" x14ac:dyDescent="0.25">
      <c r="B32" s="25" t="s">
        <v>58</v>
      </c>
      <c r="C32" s="97">
        <v>0.62351325083781095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29.927250000000001</v>
      </c>
    </row>
    <row r="38" spans="1:5" ht="15" customHeight="1" x14ac:dyDescent="0.25">
      <c r="B38" s="11" t="s">
        <v>63</v>
      </c>
      <c r="C38" s="43">
        <v>56.723050000000001</v>
      </c>
      <c r="D38" s="12"/>
      <c r="E38" s="13"/>
    </row>
    <row r="39" spans="1:5" ht="15" customHeight="1" x14ac:dyDescent="0.25">
      <c r="B39" s="11" t="s">
        <v>64</v>
      </c>
      <c r="C39" s="43">
        <v>76.040170000000003</v>
      </c>
      <c r="D39" s="12"/>
      <c r="E39" s="12"/>
    </row>
    <row r="40" spans="1:5" ht="15" customHeight="1" x14ac:dyDescent="0.25">
      <c r="B40" s="11" t="s">
        <v>65</v>
      </c>
      <c r="C40" s="98">
        <v>6.52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7.9130999999999993E-3</v>
      </c>
      <c r="D45" s="12"/>
    </row>
    <row r="46" spans="1:5" ht="15.75" customHeight="1" x14ac:dyDescent="0.25">
      <c r="B46" s="11" t="s">
        <v>70</v>
      </c>
      <c r="C46" s="45">
        <v>8.50249E-2</v>
      </c>
      <c r="D46" s="12"/>
    </row>
    <row r="47" spans="1:5" ht="15.75" customHeight="1" x14ac:dyDescent="0.25">
      <c r="B47" s="11" t="s">
        <v>71</v>
      </c>
      <c r="C47" s="45">
        <v>7.3475499999999999E-2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0.44132399999999999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0.14607059</v>
      </c>
    </row>
    <row r="63" spans="1:4" ht="15.75" customHeight="1" x14ac:dyDescent="0.3">
      <c r="A63" s="4"/>
    </row>
  </sheetData>
  <sheetProtection algorithmName="SHA-512" hashValue="/zlTMODnIH91eaSFEJLPv1f3C/Z5U2+BAWtHlJHPmVln7hMh4/kpzX44YDH83LV9aJZ0ErUzpfJ/1cQSXaVPog==" saltValue="QOqxTr9tu+LtO2tYeJ8P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115149</v>
      </c>
      <c r="C2" s="49">
        <v>386859.49999999988</v>
      </c>
      <c r="D2" s="49">
        <v>554924.50000000012</v>
      </c>
      <c r="E2" s="49">
        <v>463811.99999999988</v>
      </c>
      <c r="F2" s="49">
        <v>447610.5</v>
      </c>
      <c r="G2" s="17">
        <f t="shared" ref="G2:G13" si="0">C2+D2+E2+F2</f>
        <v>1853206.5</v>
      </c>
      <c r="H2" s="17">
        <f t="shared" ref="H2:H13" si="1">(B2 + stillbirth*B2/(1000-stillbirth))/(1-abortion)</f>
        <v>133912.66101093445</v>
      </c>
      <c r="I2" s="17">
        <f t="shared" ref="I2:I13" si="2">G2-H2</f>
        <v>1719293.8389890655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114639</v>
      </c>
      <c r="C3" s="50">
        <v>391606</v>
      </c>
      <c r="D3" s="50">
        <v>567647.5</v>
      </c>
      <c r="E3" s="50">
        <v>464652.5</v>
      </c>
      <c r="F3" s="50">
        <v>446755</v>
      </c>
      <c r="G3" s="17">
        <f t="shared" si="0"/>
        <v>1870661</v>
      </c>
      <c r="H3" s="17">
        <f t="shared" si="1"/>
        <v>133319.55592868818</v>
      </c>
      <c r="I3" s="17">
        <f t="shared" si="2"/>
        <v>1737341.4440713117</v>
      </c>
    </row>
    <row r="4" spans="1:9" ht="15.75" customHeight="1" x14ac:dyDescent="0.25">
      <c r="A4" s="5">
        <f t="shared" si="3"/>
        <v>2026</v>
      </c>
      <c r="B4" s="49">
        <v>114387</v>
      </c>
      <c r="C4" s="50">
        <v>393041</v>
      </c>
      <c r="D4" s="50">
        <v>579470</v>
      </c>
      <c r="E4" s="50">
        <v>467664.5</v>
      </c>
      <c r="F4" s="50">
        <v>444431.5</v>
      </c>
      <c r="G4" s="17">
        <f t="shared" si="0"/>
        <v>1884607</v>
      </c>
      <c r="H4" s="17">
        <f t="shared" si="1"/>
        <v>133026.49224099002</v>
      </c>
      <c r="I4" s="17">
        <f t="shared" si="2"/>
        <v>1751580.50775901</v>
      </c>
    </row>
    <row r="5" spans="1:9" ht="15.75" customHeight="1" x14ac:dyDescent="0.25">
      <c r="A5" s="5">
        <f t="shared" si="3"/>
        <v>2027</v>
      </c>
      <c r="B5" s="49">
        <v>114330</v>
      </c>
      <c r="C5" s="50">
        <v>390780.99999999988</v>
      </c>
      <c r="D5" s="50">
        <v>590497</v>
      </c>
      <c r="E5" s="50">
        <v>473004.5</v>
      </c>
      <c r="F5" s="50">
        <v>440761.5</v>
      </c>
      <c r="G5" s="17">
        <f t="shared" si="0"/>
        <v>1895044</v>
      </c>
      <c r="H5" s="17">
        <f t="shared" si="1"/>
        <v>132960.20402591545</v>
      </c>
      <c r="I5" s="17">
        <f t="shared" si="2"/>
        <v>1762083.7959740846</v>
      </c>
    </row>
    <row r="6" spans="1:9" ht="15.75" customHeight="1" x14ac:dyDescent="0.25">
      <c r="A6" s="5">
        <f t="shared" si="3"/>
        <v>2028</v>
      </c>
      <c r="B6" s="49">
        <v>114162</v>
      </c>
      <c r="C6" s="50">
        <v>389071.50000000012</v>
      </c>
      <c r="D6" s="50">
        <v>600692.5</v>
      </c>
      <c r="E6" s="50">
        <v>480057.5</v>
      </c>
      <c r="F6" s="50">
        <v>435785.5</v>
      </c>
      <c r="G6" s="17">
        <f t="shared" si="0"/>
        <v>1905607</v>
      </c>
      <c r="H6" s="17">
        <f t="shared" si="1"/>
        <v>132764.82823411663</v>
      </c>
      <c r="I6" s="17">
        <f t="shared" si="2"/>
        <v>1772842.1717658835</v>
      </c>
    </row>
    <row r="7" spans="1:9" ht="15.75" customHeight="1" x14ac:dyDescent="0.25">
      <c r="A7" s="5">
        <f t="shared" si="3"/>
        <v>2029</v>
      </c>
      <c r="B7" s="49">
        <v>114692</v>
      </c>
      <c r="C7" s="50">
        <v>387244.49999999988</v>
      </c>
      <c r="D7" s="50">
        <v>610065.5</v>
      </c>
      <c r="E7" s="50">
        <v>488487.00000000012</v>
      </c>
      <c r="F7" s="50">
        <v>429646</v>
      </c>
      <c r="G7" s="17">
        <f t="shared" si="0"/>
        <v>1915443</v>
      </c>
      <c r="H7" s="17">
        <f t="shared" si="1"/>
        <v>133381.19233919613</v>
      </c>
      <c r="I7" s="17">
        <f t="shared" si="2"/>
        <v>1782061.8076608039</v>
      </c>
    </row>
    <row r="8" spans="1:9" ht="15.75" customHeight="1" x14ac:dyDescent="0.25">
      <c r="A8" s="5">
        <f t="shared" si="3"/>
        <v>2030</v>
      </c>
      <c r="B8" s="49">
        <v>115296</v>
      </c>
      <c r="C8" s="50">
        <v>383428.5</v>
      </c>
      <c r="D8" s="50">
        <v>619598.5</v>
      </c>
      <c r="E8" s="50">
        <v>498065.5</v>
      </c>
      <c r="F8" s="50">
        <v>423264.5</v>
      </c>
      <c r="G8" s="17">
        <f t="shared" si="0"/>
        <v>1924357</v>
      </c>
      <c r="H8" s="17">
        <f t="shared" si="1"/>
        <v>134083.61482875838</v>
      </c>
      <c r="I8" s="17">
        <f t="shared" si="2"/>
        <v>1790273.3851712416</v>
      </c>
    </row>
    <row r="9" spans="1:9" ht="15.75" customHeight="1" x14ac:dyDescent="0.25">
      <c r="A9" s="5">
        <f t="shared" si="3"/>
        <v>2031</v>
      </c>
      <c r="B9" s="49">
        <v>115418</v>
      </c>
      <c r="C9" s="50">
        <v>376885.50000000012</v>
      </c>
      <c r="D9" s="50">
        <v>629807.5</v>
      </c>
      <c r="E9" s="50">
        <v>508835</v>
      </c>
      <c r="F9" s="50">
        <v>417293.5</v>
      </c>
      <c r="G9" s="17">
        <f t="shared" si="0"/>
        <v>1932821.5</v>
      </c>
      <c r="H9" s="17">
        <f t="shared" si="1"/>
        <v>134225.49486804081</v>
      </c>
      <c r="I9" s="17">
        <f t="shared" si="2"/>
        <v>1798596.0051319592</v>
      </c>
    </row>
    <row r="10" spans="1:9" ht="15.75" customHeight="1" x14ac:dyDescent="0.25">
      <c r="A10" s="5">
        <f t="shared" si="3"/>
        <v>2032</v>
      </c>
      <c r="B10" s="49">
        <v>116138</v>
      </c>
      <c r="C10" s="50">
        <v>372042.5</v>
      </c>
      <c r="D10" s="50">
        <v>635915.5</v>
      </c>
      <c r="E10" s="50">
        <v>520771.5</v>
      </c>
      <c r="F10" s="50">
        <v>411987</v>
      </c>
      <c r="G10" s="17">
        <f t="shared" si="0"/>
        <v>1940716.5</v>
      </c>
      <c r="H10" s="17">
        <f t="shared" si="1"/>
        <v>135062.81969003557</v>
      </c>
      <c r="I10" s="17">
        <f t="shared" si="2"/>
        <v>1805653.6803099643</v>
      </c>
    </row>
    <row r="11" spans="1:9" ht="15.75" customHeight="1" x14ac:dyDescent="0.25">
      <c r="A11" s="5">
        <f t="shared" si="3"/>
        <v>2033</v>
      </c>
      <c r="B11" s="49">
        <v>116501</v>
      </c>
      <c r="C11" s="50">
        <v>369242.5</v>
      </c>
      <c r="D11" s="50">
        <v>637500.5</v>
      </c>
      <c r="E11" s="50">
        <v>533541.5</v>
      </c>
      <c r="F11" s="50">
        <v>408668.5</v>
      </c>
      <c r="G11" s="17">
        <f t="shared" si="0"/>
        <v>1948953</v>
      </c>
      <c r="H11" s="17">
        <f t="shared" si="1"/>
        <v>135484.97095445791</v>
      </c>
      <c r="I11" s="17">
        <f t="shared" si="2"/>
        <v>1813468.029045542</v>
      </c>
    </row>
    <row r="12" spans="1:9" ht="15.75" customHeight="1" x14ac:dyDescent="0.25">
      <c r="A12" s="5">
        <f t="shared" si="3"/>
        <v>2034</v>
      </c>
      <c r="B12" s="49">
        <v>117064</v>
      </c>
      <c r="C12" s="50">
        <v>364623.00000000012</v>
      </c>
      <c r="D12" s="50">
        <v>638616.5</v>
      </c>
      <c r="E12" s="50">
        <v>546670</v>
      </c>
      <c r="F12" s="50">
        <v>407111.5</v>
      </c>
      <c r="G12" s="17">
        <f t="shared" si="0"/>
        <v>1957021</v>
      </c>
      <c r="H12" s="17">
        <f t="shared" si="1"/>
        <v>136139.71244721214</v>
      </c>
      <c r="I12" s="17">
        <f t="shared" si="2"/>
        <v>1820881.2875527879</v>
      </c>
    </row>
    <row r="13" spans="1:9" ht="15.75" customHeight="1" x14ac:dyDescent="0.25">
      <c r="A13" s="5">
        <f t="shared" si="3"/>
        <v>2035</v>
      </c>
      <c r="B13" s="49">
        <v>117746</v>
      </c>
      <c r="C13" s="50">
        <v>359218</v>
      </c>
      <c r="D13" s="50">
        <v>638866</v>
      </c>
      <c r="E13" s="50">
        <v>559347</v>
      </c>
      <c r="F13" s="50">
        <v>406674</v>
      </c>
      <c r="G13" s="17">
        <f t="shared" si="0"/>
        <v>1964105</v>
      </c>
      <c r="H13" s="17">
        <f t="shared" si="1"/>
        <v>136932.84512582381</v>
      </c>
      <c r="I13" s="17">
        <f t="shared" si="2"/>
        <v>1827172.1548741763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m/GgD0rwVPlzwQGvP7qzvXVTE/H0SKOrTOlAOLatHty3r19ja/QHvUrjwjeHJeQSEfwllsLdgDB7Gav9xw/eg==" saltValue="AukRePji9H1MugKqpkWwv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2.0916002091600189E-2</v>
      </c>
    </row>
    <row r="4" spans="1:8" ht="15.75" customHeight="1" x14ac:dyDescent="0.25">
      <c r="B4" s="19" t="s">
        <v>97</v>
      </c>
      <c r="C4" s="99">
        <v>6.5774706577470685E-2</v>
      </c>
    </row>
    <row r="5" spans="1:8" ht="15.75" customHeight="1" x14ac:dyDescent="0.25">
      <c r="B5" s="19" t="s">
        <v>98</v>
      </c>
      <c r="C5" s="99">
        <v>9.6632509663250973E-2</v>
      </c>
    </row>
    <row r="6" spans="1:8" ht="15.75" customHeight="1" x14ac:dyDescent="0.25">
      <c r="B6" s="19" t="s">
        <v>99</v>
      </c>
      <c r="C6" s="99">
        <v>0.25245662524566231</v>
      </c>
    </row>
    <row r="7" spans="1:8" ht="15.75" customHeight="1" x14ac:dyDescent="0.25">
      <c r="B7" s="19" t="s">
        <v>100</v>
      </c>
      <c r="C7" s="99">
        <v>0.39333373933337429</v>
      </c>
    </row>
    <row r="8" spans="1:8" ht="15.75" customHeight="1" x14ac:dyDescent="0.25">
      <c r="B8" s="19" t="s">
        <v>101</v>
      </c>
      <c r="C8" s="99">
        <v>3.4550003455000359E-3</v>
      </c>
    </row>
    <row r="9" spans="1:8" ht="15.75" customHeight="1" x14ac:dyDescent="0.25">
      <c r="B9" s="19" t="s">
        <v>102</v>
      </c>
      <c r="C9" s="99">
        <v>5.8309405830940547E-2</v>
      </c>
    </row>
    <row r="10" spans="1:8" ht="15.75" customHeight="1" x14ac:dyDescent="0.25">
      <c r="B10" s="19" t="s">
        <v>103</v>
      </c>
      <c r="C10" s="99">
        <v>0.1091220109122009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106</v>
      </c>
      <c r="C15" s="99">
        <v>0.1345887809257377</v>
      </c>
      <c r="D15" s="99">
        <v>0.1345887809257377</v>
      </c>
      <c r="E15" s="99">
        <v>0.1345887809257377</v>
      </c>
      <c r="F15" s="99">
        <v>0.1345887809257377</v>
      </c>
    </row>
    <row r="16" spans="1:8" ht="15.75" customHeight="1" x14ac:dyDescent="0.25">
      <c r="B16" s="19" t="s">
        <v>107</v>
      </c>
      <c r="C16" s="99">
        <v>1.8017639370382608E-2</v>
      </c>
      <c r="D16" s="99">
        <v>1.8017639370382608E-2</v>
      </c>
      <c r="E16" s="99">
        <v>1.8017639370382608E-2</v>
      </c>
      <c r="F16" s="99">
        <v>1.8017639370382608E-2</v>
      </c>
    </row>
    <row r="17" spans="1:8" ht="15.75" customHeight="1" x14ac:dyDescent="0.25">
      <c r="B17" s="19" t="s">
        <v>108</v>
      </c>
      <c r="C17" s="99">
        <v>0.2417018345573996</v>
      </c>
      <c r="D17" s="99">
        <v>0.2417018345573996</v>
      </c>
      <c r="E17" s="99">
        <v>0.2417018345573996</v>
      </c>
      <c r="F17" s="99">
        <v>0.2417018345573996</v>
      </c>
    </row>
    <row r="18" spans="1:8" ht="15.75" customHeight="1" x14ac:dyDescent="0.25">
      <c r="B18" s="19" t="s">
        <v>109</v>
      </c>
      <c r="C18" s="99">
        <v>0.33724276611699389</v>
      </c>
      <c r="D18" s="99">
        <v>0.33724276611699389</v>
      </c>
      <c r="E18" s="99">
        <v>0.33724276611699389</v>
      </c>
      <c r="F18" s="99">
        <v>0.33724276611699389</v>
      </c>
    </row>
    <row r="19" spans="1:8" ht="15.75" customHeight="1" x14ac:dyDescent="0.25">
      <c r="B19" s="19" t="s">
        <v>110</v>
      </c>
      <c r="C19" s="99">
        <v>1.3011294343433301E-2</v>
      </c>
      <c r="D19" s="99">
        <v>1.3011294343433301E-2</v>
      </c>
      <c r="E19" s="99">
        <v>1.3011294343433301E-2</v>
      </c>
      <c r="F19" s="99">
        <v>1.3011294343433301E-2</v>
      </c>
    </row>
    <row r="20" spans="1:8" ht="15.75" customHeight="1" x14ac:dyDescent="0.25">
      <c r="B20" s="19" t="s">
        <v>111</v>
      </c>
      <c r="C20" s="99">
        <v>1.8809148277049541E-2</v>
      </c>
      <c r="D20" s="99">
        <v>1.8809148277049541E-2</v>
      </c>
      <c r="E20" s="99">
        <v>1.8809148277049541E-2</v>
      </c>
      <c r="F20" s="99">
        <v>1.8809148277049541E-2</v>
      </c>
    </row>
    <row r="21" spans="1:8" ht="15.75" customHeight="1" x14ac:dyDescent="0.25">
      <c r="B21" s="19" t="s">
        <v>112</v>
      </c>
      <c r="C21" s="99">
        <v>5.8069678944985201E-2</v>
      </c>
      <c r="D21" s="99">
        <v>5.8069678944985201E-2</v>
      </c>
      <c r="E21" s="99">
        <v>5.8069678944985201E-2</v>
      </c>
      <c r="F21" s="99">
        <v>5.8069678944985201E-2</v>
      </c>
    </row>
    <row r="22" spans="1:8" ht="15.75" customHeight="1" x14ac:dyDescent="0.25">
      <c r="B22" s="19" t="s">
        <v>113</v>
      </c>
      <c r="C22" s="99">
        <v>8.585191933485864E-2</v>
      </c>
      <c r="D22" s="99">
        <v>8.585191933485864E-2</v>
      </c>
      <c r="E22" s="99">
        <v>8.585191933485864E-2</v>
      </c>
      <c r="F22" s="99">
        <v>8.585191933485864E-2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8.7635818000000004E-2</v>
      </c>
    </row>
    <row r="27" spans="1:8" ht="15.75" customHeight="1" x14ac:dyDescent="0.25">
      <c r="B27" s="19" t="s">
        <v>120</v>
      </c>
      <c r="C27" s="99">
        <v>8.6621349999999996E-3</v>
      </c>
    </row>
    <row r="28" spans="1:8" ht="15.75" customHeight="1" x14ac:dyDescent="0.25">
      <c r="B28" s="19" t="s">
        <v>121</v>
      </c>
      <c r="C28" s="99">
        <v>0.15441808500000001</v>
      </c>
    </row>
    <row r="29" spans="1:8" ht="15.75" customHeight="1" x14ac:dyDescent="0.25">
      <c r="B29" s="19" t="s">
        <v>122</v>
      </c>
      <c r="C29" s="99">
        <v>0.167759189</v>
      </c>
    </row>
    <row r="30" spans="1:8" ht="15.75" customHeight="1" x14ac:dyDescent="0.25">
      <c r="B30" s="19" t="s">
        <v>2</v>
      </c>
      <c r="C30" s="99">
        <v>0.10583751800000001</v>
      </c>
    </row>
    <row r="31" spans="1:8" ht="15.75" customHeight="1" x14ac:dyDescent="0.25">
      <c r="B31" s="19" t="s">
        <v>123</v>
      </c>
      <c r="C31" s="99">
        <v>0.109709026</v>
      </c>
    </row>
    <row r="32" spans="1:8" ht="15.75" customHeight="1" x14ac:dyDescent="0.25">
      <c r="B32" s="19" t="s">
        <v>124</v>
      </c>
      <c r="C32" s="99">
        <v>1.8596574000000001E-2</v>
      </c>
    </row>
    <row r="33" spans="2:3" ht="15.75" customHeight="1" x14ac:dyDescent="0.25">
      <c r="B33" s="19" t="s">
        <v>125</v>
      </c>
      <c r="C33" s="99">
        <v>8.3747772999999998E-2</v>
      </c>
    </row>
    <row r="34" spans="2:3" ht="15.75" customHeight="1" x14ac:dyDescent="0.25">
      <c r="B34" s="19" t="s">
        <v>126</v>
      </c>
      <c r="C34" s="99">
        <v>0.26363388300000001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//VFzZDcxKxS7QfrZKd9m2rF2DsB0iwInuXWan/QnG2Aa7j8xY4P1pUITzn8z0aL/A/xsQBbwrCWi9HSfAAanA==" saltValue="9xZMTwXpPLT4OLRGewoSk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132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133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137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138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0.34717774225000009</v>
      </c>
      <c r="D14" s="54">
        <v>0.336716783849</v>
      </c>
      <c r="E14" s="54">
        <v>0.336716783849</v>
      </c>
      <c r="F14" s="54">
        <v>0.25295648786800001</v>
      </c>
      <c r="G14" s="54">
        <v>0.25295648786800001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0.15321786992073905</v>
      </c>
      <c r="D15" s="52">
        <f t="shared" si="0"/>
        <v>0.14860119791537607</v>
      </c>
      <c r="E15" s="52">
        <f t="shared" si="0"/>
        <v>0.14860119791537607</v>
      </c>
      <c r="F15" s="52">
        <f t="shared" si="0"/>
        <v>0.11163576905185724</v>
      </c>
      <c r="G15" s="52">
        <f t="shared" si="0"/>
        <v>0.11163576905185724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r32EO5m9G8xXJ9Rt9puN/bswa3y/wqz9LVpEALbAJ2n0yRyD0OCzlLNnN2MoPecddvXcaDfOkwA+DZiRnLySg==" saltValue="dtcuc+eoifZLtLnm3mBD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2.1700700000000017E-2</v>
      </c>
      <c r="D5" s="52">
        <f t="shared" si="0"/>
        <v>6.7366600000000054E-2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r9EMHxBStM/kHiVFoUhjTF1wqIWDY/X5V+LpESz41rf6wYsGhnn79fQKlOIw4rlP9mN46LazC+VkcJH6s9ZFmA==" saltValue="sAr7wzrSMkSVmBlWtoqPb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q8ScqvtRCArY9avdEiWsPOG86zB9+73DbLxs5+sUQN5mCbybn97hPAK2Y58jFAX1EJ5PoAcD50OE18MufHewg==" saltValue="Tx143APVrQq7IKZFaA1Yb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6716.0959846232799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0.40487000000000001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0.36991999999999997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1.0567949644444418E-2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98807.089730000007</v>
      </c>
      <c r="C22" s="107">
        <v>98628.64129</v>
      </c>
      <c r="D22" s="107">
        <v>98396.81005</v>
      </c>
      <c r="E22" s="107">
        <v>98002.189859999999</v>
      </c>
      <c r="F22" s="107">
        <v>97420.469469999996</v>
      </c>
      <c r="G22" s="107">
        <v>96823.648279999994</v>
      </c>
      <c r="H22" s="107">
        <v>96104.379369999995</v>
      </c>
      <c r="I22" s="107">
        <v>95202.783769999995</v>
      </c>
      <c r="J22" s="107">
        <v>94023.532319999998</v>
      </c>
      <c r="K22" s="107">
        <v>92269.896710000001</v>
      </c>
      <c r="L22" s="107">
        <v>89884.668460000001</v>
      </c>
      <c r="M22" s="107">
        <v>86369.482889999999</v>
      </c>
      <c r="N22" s="107">
        <v>80715.421700000006</v>
      </c>
      <c r="O22" s="107">
        <v>72640.698099999994</v>
      </c>
    </row>
  </sheetData>
  <sheetProtection algorithmName="SHA-512" hashValue="trMqc+JeXZHS33oKvtkBfyD1+5HtSkkJJqnHRaVcDtk8Ht8wcXcANZQpaHuG2Jn2BW9Lgt1ueuZFMbv89VcojA==" saltValue="gnchY12J6xKRN42MU6e3W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OUL+4thNqJam085c1VCQ1teWpk7+G09LTOWbjyLd/Zi1t7DrPSSZmmQ9h5ZJBVKnnhvqFQ5rWUrGSIcKxDtZRQ==" saltValue="TuJqPF4r1bwhNTXKoOapd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MdrK4Y+j6p2Trroyy5zUyQ0QNMPhqr2iUU27E5ARVGpWCli3RX14Z8ZdEamvHPU9kkgRDoIv2FatrtjdettBuQ==" saltValue="sVmiZwyOPs9T4UGdiEokI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7.4289688625382997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0.10284547803181469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0.42978100000000002</v>
      </c>
      <c r="C10" s="96">
        <v>0.95</v>
      </c>
      <c r="D10" s="56">
        <v>13.152774049592161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13.152774049592161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13.152774049592161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13.152774049592161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0.42978100000000002</v>
      </c>
      <c r="C14" s="96">
        <v>0.95</v>
      </c>
      <c r="D14" s="56">
        <v>13.152774049592161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13.152774049592161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0.69226200000000004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0.157</v>
      </c>
      <c r="C17" s="96">
        <v>0.95</v>
      </c>
      <c r="D17" s="56">
        <v>7.992352075384429E-2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0.51254100000000002</v>
      </c>
      <c r="C18" s="96">
        <v>0.95</v>
      </c>
      <c r="D18" s="56">
        <v>7.4289688625382997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0.51254100000000002</v>
      </c>
      <c r="C19" s="96">
        <v>0.95</v>
      </c>
      <c r="D19" s="56">
        <v>11.78698314040644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7.4289688625382997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0.53483530000000001</v>
      </c>
      <c r="C23" s="96">
        <v>0.95</v>
      </c>
      <c r="D23" s="56">
        <v>4.3672092908488347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0.57084762680907997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2.9567118730808599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17.846880984952122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0.54128999999999994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8.6074300000000006E-2</v>
      </c>
      <c r="C29" s="96">
        <v>0.95</v>
      </c>
      <c r="D29" s="56">
        <v>193.6128732031849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0.15140000000000001</v>
      </c>
      <c r="C31" s="96">
        <v>0.95</v>
      </c>
      <c r="D31" s="56">
        <v>173.50469037871034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0.5</v>
      </c>
      <c r="C32" s="96">
        <v>0.95</v>
      </c>
      <c r="D32" s="56">
        <v>0.53033228587019021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3.4401899999999999E-2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0.1875019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1.9946800000000001E-2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5.4970400000000003E-2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0.2335767</v>
      </c>
      <c r="C38" s="96">
        <v>0.95</v>
      </c>
      <c r="D38" s="56">
        <v>2.6612563971340846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M8aun2XZ3MW5SOBmk5KinQh9QmjpvPbR4xx1JVY1usjeSHjd2TPJ95rBPrurrI26Dm6uZiMciBtAiMwlUldEeg==" saltValue="78PI13lJztP9Y10ZqX12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Ql2wsuKZ5xEGGbm9CFiQW9vgrosZ1+OpcA3n7f2a/x4C/hsVFwja3+1SXMkohR6sVAihtEsA40zm6MaiCLTOg==" saltValue="k+cfKwWwXg7/Uga7rQrCa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pbvZD20roMeg7ump6UYjOdJBe/FGHwUuiQTtlHMBEej/L88cObFoob8bG32wjfVvIi2bzgsTbBHB3MTa973Ww==" saltValue="UOjNCma0vEsdVAW6LxFCH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237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5g6GV5soKhHCow4arnfA6ZwpfkvEtOs8KHmJY8DaZur0Gyq/RHgHiRxT1NKhpV8fXhvoHODM8394xN2uLcJJuQ==" saltValue="7nCbb1uvtFTPo3uQfyo/z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0.40899999999999997</v>
      </c>
      <c r="F2" s="60">
        <f>food_insecure</f>
        <v>0.40899999999999997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0.40899999999999997</v>
      </c>
      <c r="I15" s="60">
        <f t="shared" si="0"/>
        <v>0.40899999999999997</v>
      </c>
      <c r="J15" s="60">
        <f t="shared" si="0"/>
        <v>0.40899999999999997</v>
      </c>
      <c r="K15" s="60">
        <f t="shared" si="0"/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0.40899999999999997</v>
      </c>
      <c r="I16" s="60">
        <f t="shared" si="0"/>
        <v>0.40899999999999997</v>
      </c>
      <c r="J16" s="60">
        <f t="shared" si="0"/>
        <v>0.40899999999999997</v>
      </c>
      <c r="K16" s="60">
        <f t="shared" si="0"/>
        <v>0.40899999999999997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0.40200000000000002</v>
      </c>
      <c r="M24" s="60">
        <f>famplan_unmet_need</f>
        <v>0.40200000000000002</v>
      </c>
      <c r="N24" s="60">
        <f>famplan_unmet_need</f>
        <v>0.40200000000000002</v>
      </c>
      <c r="O24" s="60">
        <f>famplan_unmet_need</f>
        <v>0.40200000000000002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0.18168351466012991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7.7864363425769967E-2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5.5935138914099979E-2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0.68451698299999997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JtJBwAH6wDW2qPC4bMYzHX6pEtKaMTGCf/ishcEvv1lCkXEUvEF64H+XbbfpruDgz/+Q8jhtSSuUWroKdl39wA==" saltValue="cGt2roWtKtjPTUvArNXSP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THAmXXKOzHCM5H/FRPHD/s8X4YQYfnnU+OTMQDCe0VIB4UrRObs4lwvjyc6uMarGsf/iksrk8XtAYCiJ5lIdVg==" saltValue="FS3C4lsSpS1L0qHDZe7e8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wAbLg8G/w+Z2g172yiNo9pKGFp4lMEHUiJ3lC+ZzTimon0rS5sBF2Wq6l2FnrOFdc0Am8g2GmJBtp5hLxFFeg==" saltValue="5jrbRT6VdJiQNeT0J1kno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HMN/gChsSTvTrcBSiFmlUSZ5YhbCV0IP08KCqJi/xHgat73xOIr+KhWKzIKj52VqRjvV+RJ33WlQYMXyz1Nfg==" saltValue="F36ckGSte0LMAoGy8OTHT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ayWJzO++QjcPladRLATrmNYH+jDjICnN3Rlg8d1Ps+NqlOotImBv40oDo0BW8COkB+M6gw+stcEp10nq4NBSHA==" saltValue="Ap4XFzVgWkjUbDmxKAGn+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fX47mb014eKaPOU3YGzt9/CdmhmGIyyq5fTHhqUjVsJykXSYFhTFwcyOKAbhu0NaX8u3ft82ldhYuw87rbj8Mg==" saltValue="HsZL2fj/CgpfTQyi111d/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cIr8vIUWR86QGm5/4V/UMU3B+rvIB3RgrpRopxmTQXSBYjXilB8UVt9apQjYjVhLZHPmiRieAaZoPytbrNIVw==" saltValue="mBa6b79m/xDe3+eINFcrj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v970IKIlPX+vS5lwjOJf+XF85KZCgN/oEEOfTUL9Kw5zL9K0hoRG7MdobdIO0kjVVcKAGpGD7bqgCEuEHtKAPA==" saltValue="DwXBQGMk1Ib3qGV27PGQ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X4EcgBrOw9/4P/1EcZ6c1jtkAvw3J3fc0HFJy8FM3j0zhOuXWTGL/U+8Vc2giXG5KOtxZI8fwzjUgV91Zxx48g==" saltValue="Lmcf8ZV62pRhgeZPIJcR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+LGDTllNLyp1C1DhkcY1NK4t9b+tyOMRU7jQnHvGhzP/iUDQSA0JIRnj7ahYBBL3UdI8udOHYVhj41tpi9hBVA==" saltValue="Cuh3OGbCwBgmevcJykcW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3F8mcKoETTBBInMQyOtKRB/HH+JZUHrsDTwc+KDKHOG2ggYA+NNTImLCjF0SccmLk2z/g0Xu+efdSNuQHtYZ+A==" saltValue="MXmLG09u2WDGa7YE/qeO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glMb/pDhWrSBdA1qwaWRTDctXe52Nw3ps5Gtcm0lEa50BJtkkGmYumWCNYtxwCvmA6HO0J87miuD/eIg04Qhw==" saltValue="bWqH2WzlF6zIBz+t9xDo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AHDbiSCXOZu4d2/QsZbdqYy2bGwggzK7kNL0KvAZDyQe3/KhI9IGvmjNTMW03mM/6kszGI7Cef+uvLdYmryKw==" saltValue="hG3EVVpJ7jgCYwfq2gfDH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5ls3CW+ROXjdjg1Un4qq8zY6mRv+X2hEQ58tLS5lpmiRYegUkkO2bPEJ9Iop0sLes4AQlHlY+dO/YYpftFfklw==" saltValue="Gubssh2tOgRM+TvyHSIb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TtwNb3myEXk+tDUIveonDlyHYqXNCSRpYwjciI0z3+ciRoH3IK+J4iZpxIJ+hhiitCJhoQ4ZhIHwYiYrtAmcqA==" saltValue="Nhg2PoeY51uSIeVhuWgCp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