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1D7D766-ADE2-4DC2-AB9F-517747D14D2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<sst xmlns="http://schemas.openxmlformats.org/spreadsheetml/2006/main" count="2102" uniqueCount="337">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</sst>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3853603.25</v>
      </c>
    </row>
    <row r="8" spans="1:3" ht="15" customHeight="1" x14ac:dyDescent="0.25">
      <c r="B8" s="5" t="s">
        <v>19</v>
      </c>
      <c r="C8" s="44">
        <v>0.621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0.90041511535644503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9.3399999999999997E-2</v>
      </c>
    </row>
    <row r="24" spans="1:3" ht="15" customHeight="1" x14ac:dyDescent="0.25">
      <c r="B24" s="15" t="s">
        <v>33</v>
      </c>
      <c r="C24" s="45">
        <v>0.65379999999999994</v>
      </c>
    </row>
    <row r="25" spans="1:3" ht="15" customHeight="1" x14ac:dyDescent="0.25">
      <c r="B25" s="15" t="s">
        <v>34</v>
      </c>
      <c r="C25" s="45">
        <v>0.23599999999999999</v>
      </c>
    </row>
    <row r="26" spans="1:3" ht="15" customHeight="1" x14ac:dyDescent="0.25">
      <c r="B26" s="15" t="s">
        <v>35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0.305826683497959</v>
      </c>
    </row>
    <row r="30" spans="1:3" ht="14.25" customHeight="1" x14ac:dyDescent="0.25">
      <c r="B30" s="25" t="s">
        <v>38</v>
      </c>
      <c r="C30" s="99">
        <v>8.0334841914884408E-2</v>
      </c>
    </row>
    <row r="31" spans="1:3" ht="14.25" customHeight="1" x14ac:dyDescent="0.25">
      <c r="B31" s="25" t="s">
        <v>39</v>
      </c>
      <c r="C31" s="99">
        <v>0.12438567345943199</v>
      </c>
    </row>
    <row r="32" spans="1:3" ht="14.25" customHeight="1" x14ac:dyDescent="0.25">
      <c r="B32" s="25" t="s">
        <v>40</v>
      </c>
      <c r="C32" s="99">
        <v>0.48945280112772499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7.6795799999999996</v>
      </c>
    </row>
    <row r="38" spans="1:5" ht="15" customHeight="1" x14ac:dyDescent="0.25">
      <c r="B38" s="11" t="s">
        <v>45</v>
      </c>
      <c r="C38" s="43">
        <v>12.565189999999999</v>
      </c>
      <c r="D38" s="12"/>
      <c r="E38" s="13"/>
    </row>
    <row r="39" spans="1:5" ht="15" customHeight="1" x14ac:dyDescent="0.25">
      <c r="B39" s="11" t="s">
        <v>46</v>
      </c>
      <c r="C39" s="43">
        <v>14.06606</v>
      </c>
      <c r="D39" s="12"/>
      <c r="E39" s="12"/>
    </row>
    <row r="40" spans="1:5" ht="15" customHeight="1" x14ac:dyDescent="0.25">
      <c r="B40" s="11" t="s">
        <v>47</v>
      </c>
      <c r="C40" s="100">
        <v>0.3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5.9385999999999996E-3</v>
      </c>
      <c r="D45" s="12"/>
    </row>
    <row r="46" spans="1:5" ht="15.75" customHeight="1" x14ac:dyDescent="0.25">
      <c r="B46" s="11" t="s">
        <v>52</v>
      </c>
      <c r="C46" s="45">
        <v>6.3809699999999997E-2</v>
      </c>
      <c r="D46" s="12"/>
    </row>
    <row r="47" spans="1:5" ht="15.75" customHeight="1" x14ac:dyDescent="0.25">
      <c r="B47" s="11" t="s">
        <v>53</v>
      </c>
      <c r="C47" s="45">
        <v>7.5353900000000001E-2</v>
      </c>
      <c r="D47" s="12"/>
      <c r="E47" s="13"/>
    </row>
    <row r="48" spans="1:5" ht="15" customHeight="1" x14ac:dyDescent="0.25">
      <c r="B48" s="11" t="s">
        <v>54</v>
      </c>
      <c r="C48" s="46">
        <v>0.85489779999999993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0.59351200000000004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47GX48boQ8GrJfbHGnyxqUtWsasGEyRKANQf/rISDRjNWzY1MFwhRJEmol90OMVFwL22d1q44dnf2ymn4nhDmg==" saltValue="FM+GqeVKJE/iEkonFWQ0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732525</v>
      </c>
      <c r="C2" s="49">
        <v>1678074.5</v>
      </c>
      <c r="D2" s="49">
        <v>2625416.5</v>
      </c>
      <c r="E2" s="49">
        <v>2937205</v>
      </c>
      <c r="F2" s="49">
        <v>1953296</v>
      </c>
      <c r="G2" s="17">
        <f t="shared" ref="G2:G13" si="0">C2+D2+E2+F2</f>
        <v>9193992</v>
      </c>
      <c r="H2" s="17">
        <f t="shared" ref="H2:H13" si="1">(B2 + stillbirth*B2/(1000-stillbirth))/(1-abortion)</f>
        <v>837329.55390356958</v>
      </c>
      <c r="I2" s="17">
        <f t="shared" ref="I2:I13" si="2">G2-H2</f>
        <v>8356662.4460964305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714952</v>
      </c>
      <c r="C3" s="50">
        <v>1727863.5</v>
      </c>
      <c r="D3" s="50">
        <v>2576514.5</v>
      </c>
      <c r="E3" s="50">
        <v>2959064</v>
      </c>
      <c r="F3" s="50">
        <v>2010970.5</v>
      </c>
      <c r="G3" s="17">
        <f t="shared" si="0"/>
        <v>9274412.5</v>
      </c>
      <c r="H3" s="17">
        <f t="shared" si="1"/>
        <v>817242.33196473133</v>
      </c>
      <c r="I3" s="17">
        <f t="shared" si="2"/>
        <v>8457170.1680352688</v>
      </c>
    </row>
    <row r="4" spans="1:9" ht="15.75" customHeight="1" x14ac:dyDescent="0.25">
      <c r="A4" s="5">
        <f t="shared" si="3"/>
        <v>2026</v>
      </c>
      <c r="B4" s="49">
        <v>698119</v>
      </c>
      <c r="C4" s="50">
        <v>1772315</v>
      </c>
      <c r="D4" s="50">
        <v>2541203</v>
      </c>
      <c r="E4" s="50">
        <v>2963134.5</v>
      </c>
      <c r="F4" s="50">
        <v>2076009.5</v>
      </c>
      <c r="G4" s="17">
        <f t="shared" si="0"/>
        <v>9352662</v>
      </c>
      <c r="H4" s="17">
        <f t="shared" si="1"/>
        <v>798000.9840505186</v>
      </c>
      <c r="I4" s="17">
        <f t="shared" si="2"/>
        <v>8554661.0159494821</v>
      </c>
    </row>
    <row r="5" spans="1:9" ht="15.75" customHeight="1" x14ac:dyDescent="0.25">
      <c r="A5" s="5">
        <f t="shared" si="3"/>
        <v>2027</v>
      </c>
      <c r="B5" s="49">
        <v>684830</v>
      </c>
      <c r="C5" s="50">
        <v>1811713.5</v>
      </c>
      <c r="D5" s="50">
        <v>2530522.5</v>
      </c>
      <c r="E5" s="50">
        <v>2949002</v>
      </c>
      <c r="F5" s="50">
        <v>2147697</v>
      </c>
      <c r="G5" s="17">
        <f t="shared" si="0"/>
        <v>9438935</v>
      </c>
      <c r="H5" s="17">
        <f t="shared" si="1"/>
        <v>782810.68687045702</v>
      </c>
      <c r="I5" s="17">
        <f t="shared" si="2"/>
        <v>8656124.3131295424</v>
      </c>
    </row>
    <row r="6" spans="1:9" ht="15.75" customHeight="1" x14ac:dyDescent="0.25">
      <c r="A6" s="5">
        <f t="shared" si="3"/>
        <v>2028</v>
      </c>
      <c r="B6" s="49">
        <v>678347</v>
      </c>
      <c r="C6" s="50">
        <v>1847655</v>
      </c>
      <c r="D6" s="50">
        <v>2549681</v>
      </c>
      <c r="E6" s="50">
        <v>2920168.5</v>
      </c>
      <c r="F6" s="50">
        <v>2222669.5</v>
      </c>
      <c r="G6" s="17">
        <f t="shared" si="0"/>
        <v>9540174</v>
      </c>
      <c r="H6" s="17">
        <f t="shared" si="1"/>
        <v>775400.14457093575</v>
      </c>
      <c r="I6" s="17">
        <f t="shared" si="2"/>
        <v>8764773.8554290645</v>
      </c>
    </row>
    <row r="7" spans="1:9" ht="15.75" customHeight="1" x14ac:dyDescent="0.25">
      <c r="A7" s="5">
        <f t="shared" si="3"/>
        <v>2029</v>
      </c>
      <c r="B7" s="49">
        <v>672981</v>
      </c>
      <c r="C7" s="50">
        <v>1882559</v>
      </c>
      <c r="D7" s="50">
        <v>2592138</v>
      </c>
      <c r="E7" s="50">
        <v>2879461</v>
      </c>
      <c r="F7" s="50">
        <v>2292972</v>
      </c>
      <c r="G7" s="17">
        <f t="shared" si="0"/>
        <v>9647130</v>
      </c>
      <c r="H7" s="17">
        <f t="shared" si="1"/>
        <v>769266.4148193961</v>
      </c>
      <c r="I7" s="17">
        <f t="shared" si="2"/>
        <v>8877863.585180603</v>
      </c>
    </row>
    <row r="8" spans="1:9" ht="15.75" customHeight="1" x14ac:dyDescent="0.25">
      <c r="A8" s="5">
        <f t="shared" si="3"/>
        <v>2030</v>
      </c>
      <c r="B8" s="49">
        <v>671944</v>
      </c>
      <c r="C8" s="50">
        <v>1919143</v>
      </c>
      <c r="D8" s="50">
        <v>2644051</v>
      </c>
      <c r="E8" s="50">
        <v>2827141.5</v>
      </c>
      <c r="F8" s="50">
        <v>2356372.5</v>
      </c>
      <c r="G8" s="17">
        <f t="shared" si="0"/>
        <v>9746708</v>
      </c>
      <c r="H8" s="17">
        <f t="shared" si="1"/>
        <v>768081.04811191442</v>
      </c>
      <c r="I8" s="17">
        <f t="shared" si="2"/>
        <v>8978626.9518880863</v>
      </c>
    </row>
    <row r="9" spans="1:9" ht="15.75" customHeight="1" x14ac:dyDescent="0.25">
      <c r="A9" s="5">
        <f t="shared" si="3"/>
        <v>2031</v>
      </c>
      <c r="B9" s="49">
        <v>668197</v>
      </c>
      <c r="C9" s="50">
        <v>1958617.5</v>
      </c>
      <c r="D9" s="50">
        <v>2696658.5</v>
      </c>
      <c r="E9" s="50">
        <v>2765324</v>
      </c>
      <c r="F9" s="50">
        <v>2419521.5</v>
      </c>
      <c r="G9" s="17">
        <f t="shared" si="0"/>
        <v>9840121.5</v>
      </c>
      <c r="H9" s="17">
        <f t="shared" si="1"/>
        <v>763797.95355749433</v>
      </c>
      <c r="I9" s="17">
        <f t="shared" si="2"/>
        <v>9076323.546442505</v>
      </c>
    </row>
    <row r="10" spans="1:9" ht="15.75" customHeight="1" x14ac:dyDescent="0.25">
      <c r="A10" s="5">
        <f t="shared" si="3"/>
        <v>2032</v>
      </c>
      <c r="B10" s="49">
        <v>664696</v>
      </c>
      <c r="C10" s="50">
        <v>2009074.5</v>
      </c>
      <c r="D10" s="50">
        <v>2750849.5</v>
      </c>
      <c r="E10" s="50">
        <v>2702334</v>
      </c>
      <c r="F10" s="50">
        <v>2484054</v>
      </c>
      <c r="G10" s="17">
        <f t="shared" si="0"/>
        <v>9946312</v>
      </c>
      <c r="H10" s="17">
        <f t="shared" si="1"/>
        <v>759796.05496261152</v>
      </c>
      <c r="I10" s="17">
        <f t="shared" si="2"/>
        <v>9186515.9450373892</v>
      </c>
    </row>
    <row r="11" spans="1:9" ht="15.75" customHeight="1" x14ac:dyDescent="0.25">
      <c r="A11" s="5">
        <f t="shared" si="3"/>
        <v>2033</v>
      </c>
      <c r="B11" s="49">
        <v>667198</v>
      </c>
      <c r="C11" s="50">
        <v>2068905.5</v>
      </c>
      <c r="D11" s="50">
        <v>2815605.5</v>
      </c>
      <c r="E11" s="50">
        <v>2640574.5</v>
      </c>
      <c r="F11" s="50">
        <v>2541504</v>
      </c>
      <c r="G11" s="17">
        <f t="shared" si="0"/>
        <v>10066589.5</v>
      </c>
      <c r="H11" s="17">
        <f t="shared" si="1"/>
        <v>762656.02362425008</v>
      </c>
      <c r="I11" s="17">
        <f t="shared" si="2"/>
        <v>9303933.4763757493</v>
      </c>
    </row>
    <row r="12" spans="1:9" ht="15.75" customHeight="1" x14ac:dyDescent="0.25">
      <c r="A12" s="5">
        <f t="shared" si="3"/>
        <v>2034</v>
      </c>
      <c r="B12" s="49">
        <v>669130</v>
      </c>
      <c r="C12" s="50">
        <v>2129417.5</v>
      </c>
      <c r="D12" s="50">
        <v>2892515.5</v>
      </c>
      <c r="E12" s="50">
        <v>2583608.5</v>
      </c>
      <c r="F12" s="50">
        <v>2584338</v>
      </c>
      <c r="G12" s="17">
        <f t="shared" si="0"/>
        <v>10189879.5</v>
      </c>
      <c r="H12" s="17">
        <f t="shared" si="1"/>
        <v>764864.4406723259</v>
      </c>
      <c r="I12" s="17">
        <f t="shared" si="2"/>
        <v>9425015.0593276732</v>
      </c>
    </row>
    <row r="13" spans="1:9" ht="15.75" customHeight="1" x14ac:dyDescent="0.25">
      <c r="A13" s="5">
        <f t="shared" si="3"/>
        <v>2035</v>
      </c>
      <c r="B13" s="49">
        <v>671915</v>
      </c>
      <c r="C13" s="50">
        <v>2180307</v>
      </c>
      <c r="D13" s="50">
        <v>2975157.5</v>
      </c>
      <c r="E13" s="50">
        <v>2535472.5</v>
      </c>
      <c r="F13" s="50">
        <v>2610650</v>
      </c>
      <c r="G13" s="17">
        <f t="shared" si="0"/>
        <v>10301587</v>
      </c>
      <c r="H13" s="17">
        <f t="shared" si="1"/>
        <v>768047.89899473323</v>
      </c>
      <c r="I13" s="17">
        <f t="shared" si="2"/>
        <v>9533539.1010052674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p9LyPxlPzRqVtq3tYlhx/ApdC/aLohyUbmfhfVB/KvDZMwlyvolVxRdlcW9mFweTa8gC8HFHSukVk3xFHrzPw==" saltValue="TV0Mj6alVURUifGENYqGD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4.4007592784674611E-4</v>
      </c>
    </row>
    <row r="4" spans="1:8" ht="15.75" customHeight="1" x14ac:dyDescent="0.25">
      <c r="B4" s="19" t="s">
        <v>79</v>
      </c>
      <c r="C4" s="101">
        <v>5.7395460468312433E-2</v>
      </c>
    </row>
    <row r="5" spans="1:8" ht="15.75" customHeight="1" x14ac:dyDescent="0.25">
      <c r="B5" s="19" t="s">
        <v>80</v>
      </c>
      <c r="C5" s="101">
        <v>4.4677456143148997E-2</v>
      </c>
    </row>
    <row r="6" spans="1:8" ht="15.75" customHeight="1" x14ac:dyDescent="0.25">
      <c r="B6" s="19" t="s">
        <v>81</v>
      </c>
      <c r="C6" s="101">
        <v>0.17366390058463799</v>
      </c>
    </row>
    <row r="7" spans="1:8" ht="15.75" customHeight="1" x14ac:dyDescent="0.25">
      <c r="B7" s="19" t="s">
        <v>82</v>
      </c>
      <c r="C7" s="101">
        <v>0.43792874529763209</v>
      </c>
    </row>
    <row r="8" spans="1:8" ht="15.75" customHeight="1" x14ac:dyDescent="0.25">
      <c r="B8" s="19" t="s">
        <v>83</v>
      </c>
      <c r="C8" s="101">
        <v>5.1597177634383427E-5</v>
      </c>
    </row>
    <row r="9" spans="1:8" ht="15.75" customHeight="1" x14ac:dyDescent="0.25">
      <c r="B9" s="19" t="s">
        <v>84</v>
      </c>
      <c r="C9" s="101">
        <v>0.2093974459597063</v>
      </c>
    </row>
    <row r="10" spans="1:8" ht="15.75" customHeight="1" x14ac:dyDescent="0.25">
      <c r="B10" s="19" t="s">
        <v>85</v>
      </c>
      <c r="C10" s="101">
        <v>7.6445318441081156E-2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88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89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90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93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94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95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6.9449472999999998E-2</v>
      </c>
    </row>
    <row r="27" spans="1:8" ht="15.75" customHeight="1" x14ac:dyDescent="0.25">
      <c r="B27" s="19" t="s">
        <v>102</v>
      </c>
      <c r="C27" s="101">
        <v>2.9846799E-2</v>
      </c>
    </row>
    <row r="28" spans="1:8" ht="15.75" customHeight="1" x14ac:dyDescent="0.25">
      <c r="B28" s="19" t="s">
        <v>103</v>
      </c>
      <c r="C28" s="101">
        <v>7.5538350000000004E-2</v>
      </c>
    </row>
    <row r="29" spans="1:8" ht="15.75" customHeight="1" x14ac:dyDescent="0.25">
      <c r="B29" s="19" t="s">
        <v>104</v>
      </c>
      <c r="C29" s="101">
        <v>0.20332114100000001</v>
      </c>
    </row>
    <row r="30" spans="1:8" ht="15.75" customHeight="1" x14ac:dyDescent="0.25">
      <c r="B30" s="19" t="s">
        <v>2</v>
      </c>
      <c r="C30" s="101">
        <v>4.5681777999999999E-2</v>
      </c>
    </row>
    <row r="31" spans="1:8" ht="15.75" customHeight="1" x14ac:dyDescent="0.25">
      <c r="B31" s="19" t="s">
        <v>105</v>
      </c>
      <c r="C31" s="101">
        <v>1.9566962E-2</v>
      </c>
    </row>
    <row r="32" spans="1:8" ht="15.75" customHeight="1" x14ac:dyDescent="0.25">
      <c r="B32" s="19" t="s">
        <v>106</v>
      </c>
      <c r="C32" s="101">
        <v>8.5306862999999997E-2</v>
      </c>
    </row>
    <row r="33" spans="2:3" ht="15.75" customHeight="1" x14ac:dyDescent="0.25">
      <c r="B33" s="19" t="s">
        <v>107</v>
      </c>
      <c r="C33" s="101">
        <v>0.392452888</v>
      </c>
    </row>
    <row r="34" spans="2:3" ht="15.75" customHeight="1" x14ac:dyDescent="0.25">
      <c r="B34" s="19" t="s">
        <v>108</v>
      </c>
      <c r="C34" s="101">
        <v>7.8835746999999998E-2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ZKsnPLHjsqEV/urKal5rM+NeI4kfOlBe/rz4eYsVwfh4HjNoDBesAIGfdgzGAIm4I9n1pQWnSD/nWroJOyVwlA==" saltValue="449m/hOW6/74oCM3vnk/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114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115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119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120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toodEIp3aUW4I4CXF58qp0rYOtN6eDBNMvm/b15D/qIHfOQGEvAM9jRwibFmMEQzAl33+xHN/W9lH/3dx6laA==" saltValue="9W83pyAjA055V6CU8OhW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132</v>
      </c>
      <c r="C5" s="52">
        <v>2.3456899999999999E-2</v>
      </c>
      <c r="D5" s="52">
        <v>9.3364799999999998E-2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aXZk23LxijSVP44mHH7Mosez3z9i9MzdNpIkvfW3nkrnTiqTYnKrIHs4a0d5kvgpHW/JEEjKaNPmL2Zi+GhkEw==" saltValue="cQTW0wIYCXMI7+Uy0FBuH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xrVFJ3gIMOpnSwiH0MYSl02JaNRGmsYU2xwxKcdAvuJzbx4t3zZuWmtSoWRjH2ajBO2q3mPFXK9jmtZw2psqg==" saltValue="83i5BCsBF/VwLbjeBZyXK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KVbYPrLNgy4hHsFLC/iKFFOailLW/MzMSF5VlC8HtQPy8GPZ4KhyYKCZLXVXLjtY+9fOIuMDvo1N/evJAubJgw==" saltValue="04RaBh2gXS3Pq9+Yrikua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h33HVgDMAtnPbBFDj3GOIViShhtZP/bg1Np0DJhxypRNRv+/Azj0+h7bbbSUvdRblSpCrfB5S6qapn9toM4s7w==" saltValue="sRbZb2QPgqJdv5OunHXS6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C4+xuZtHhuQ7n0FSaAuVjRF+LFQobzWaxlk5KLfwrH2WEH9Tk+bSXblnndEms6RwCDNRx30rYDMCBXz0Fr+ukQ==" saltValue="/K6aHy56vvNkeWdAMRJ0/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45.059697708734632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0.24284238634880001</v>
      </c>
      <c r="C3" s="98">
        <v>0.95</v>
      </c>
      <c r="D3" s="56">
        <v>42.681515161267903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211.06677542197349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7.2395987071572607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13.699227061288489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13.699227061288489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13.699227061288489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13.699227061288489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13.699227061288489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13.699227061288489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0.43846979913857109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0.76225600000000004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0.12483437314788</v>
      </c>
      <c r="C18" s="98">
        <v>0.95</v>
      </c>
      <c r="D18" s="56">
        <v>4.9270454148954128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0.96306690000000006</v>
      </c>
      <c r="C19" s="98">
        <v>0.95</v>
      </c>
      <c r="D19" s="56">
        <v>4.9270454148954128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0.72948809999999997</v>
      </c>
      <c r="C21" s="98">
        <v>0.95</v>
      </c>
      <c r="D21" s="56">
        <v>78.708084515042287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23.463764774460952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4.5607388970998564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0.94595372085456009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19.698516154118199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0.74181480370667996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84.046606343271279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0.99</v>
      </c>
      <c r="C31" s="98">
        <v>0.95</v>
      </c>
      <c r="D31" s="56">
        <v>1.310082435231509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0.90679548983180225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0.56111960000000005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0.67195470000000002</v>
      </c>
      <c r="C38" s="98">
        <v>0.95</v>
      </c>
      <c r="D38" s="56">
        <v>1.362241488981754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b6rf1Xv8IlaQsJZR9fk1yXGBs72FDf45xYx+P7k5j47a/dJWAUXsPfcx0HKuGfLPazVU4nlneWBip6fZLSQxrA==" saltValue="c6SCfo76oVlGJQQe/UXu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7RE7YvyxLvqCfLf95RYVBHeQLbzw4FYtSj9ZwhiSxmYmKOfYAchleUgqjJ8wH3/oOk4tbx3HxVlvTvqa7Xf8Q==" saltValue="S+PdL0sLDUpVL28fyTi7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NaT10Qhg0EtrkAzQ2p85dBCinSfEXajE+QnQbG5bS3f7cv1f8jcCldl8KxRYk+oQnKR6M7eYR1PpFFZKkCJCQ==" saltValue="bqNisM4xUrwTiT+HKqne0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208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sheetProtection algorithmName="SHA-512" hashValue="yDTbH2fpuGUk0APqf9kjTkZb1J0N2LhcznygHxSB81tPf/jRrxvlzkaUQcwCgtVg5/zTGfplUNxIuqBs34i6WA==" saltValue="2Izj90FQM2a19k3KqaGRt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0.621</v>
      </c>
      <c r="E2" s="60">
        <f>food_insecure</f>
        <v>0.621</v>
      </c>
      <c r="F2" s="60">
        <f>food_insecure</f>
        <v>0.621</v>
      </c>
      <c r="G2" s="60">
        <f>food_insecure</f>
        <v>0.621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0.621</v>
      </c>
      <c r="I15" s="60">
        <f>food_insecure</f>
        <v>0.621</v>
      </c>
      <c r="J15" s="60">
        <f>food_insecure</f>
        <v>0.621</v>
      </c>
      <c r="K15" s="60">
        <f>food_insecure</f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tqGzuFV6AIuNwupq4TK4mQ5cR4GFnAq6X6HazaJODGzJj81Y1Pih4vgB3AZ1qvnGwkAnvvir2WV6q3MbxGvBw==" saltValue="cnl2vYjrO3bQdmGG6rKs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8CiPGB/zB8cVv9B0DQbC0Vr9vazvwiABMyVyHAWqpTzQW7SdeaYHhkhXlby6qFfXb8L/7q6jZLNEQ/Qcyh9noQ==" saltValue="tyJsHJqLKrvDlBzZqytL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Y5bJ4y7utFloSV3dYXfbFZQ6sQkz7TXVBKLiscpXcCNZpgizF5Fl8J/8rTi0iTZqTPwK5TRrOFOqpFT23YXbw==" saltValue="V2rzg1dFlNWP21abnJSfB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u5+PN1Q3Cjmukf6qtEig7caXGJ7/bRnJhorPW8I0jGbfsh0xO5nJoDfUp04/8hAuyw0QVaAmEbxae4KtCgKlA==" saltValue="v4L36c4bKAaoinnvWzZT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6UuxDWAiqxrq0uf8fkgCygrulQuo67sHqtGzuxMaHFD2D3pbqKWrZVFQV6pIs+pNNexFTGsqXAhClG//6UVCiA==" saltValue="OAOcdfEF4UXEYv1HcYV8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43XdvWuljqlCH1BNJ4Dz1mjlBdYlGxcvR+eMI3jpLPE/zKLzPqxE6XCUK3y+1dRMrH4UtcAZWfKQNsYqV/xSA==" saltValue="+fF4hZIFpeOz93anjClqe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3ONVc4wIDLrBwOCOu87UjHLM+N4vnjxHYOULsE3dLdCFr8mdDER4Ke8EBe39JnvHmsv1rqNS8D7vFoCsA+KoCg==" saltValue="HnZDxCX/YjeXtj84kgsTC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ugjtug0cGz9pT3XIObTzmNpXKBLUw18d3NNlpgp3R6TVS8wxKuAZEPYgHKhl3b5E0GX4fD41cWPYmlzmtwThQ==" saltValue="TrH5hTVusZZ5tJxW57hb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11y1fuQU96kxBs0Y91lDPisQ77tSst9vq3v9ncT267kgbApKFcjm7driovWkiFbQZNP63a1irmaJmYrFLBvdw==" saltValue="urQiw/GXGX5UDRyIeWrC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a52Wz5/KxqOj9gA0ZB7Jj+589tBrAAnzU2G6yRe3z7Y9ffTR4ft9gewl12RPEDZ5yFRi9qd4hQ3mYUdKiOMBg==" saltValue="tFthd/NwolfSxcNfLVmq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/sl1j8Jg1PagPuUpFG4ccvYPTmLC8UJlKuNDz3jQ/BePgWWJENL7aIgWZ8FEq1dr6+0B5HCefACSVJJTLPsuLA==" saltValue="0yzMACeJ5vrIH3ew+/yA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BYrI7vY+vwHZP75thib4PeMZM2UWAjKEmMG1QSUpFMcUOnD3X9VMJi5TQ/OaK6UA0I9fZIOEjRC84b3EQavaQ==" saltValue="knmL3hQOA3NaiB2avJ0Z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bXtaRSkm1XNDopmHPQNf281FgyK+lhswo6vT3+bC08A6m/8Hh2SsdZgjrKNm7c/idW40iYpHDed6oCtxN1mjw==" saltValue="h0iwh95nw0jjmwLKZMVj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PGIZn4Q3ubP/kv7CKkuJVPPImJeuceZcY54PBFW1o7tqxvByOgCiqsAhd84gqqVHLtKhimIGdiG1kfgw9mg==" saltValue="X89zTMGj8ZRPFfCuHgw3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FkneaW4Rd8+sxch89jtqeDAtvbNeUT9auxnHP3P03SGAQ06PO2LA5VfcLU/iY+9rQUx8KsR1R7p6V/ZUWjnlA==" saltValue="28chAJmcsGcJPbbWxMSLH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2024-05-17T01:02:13Z</dcterms:modified>
</cp:coreProperties>
</file>