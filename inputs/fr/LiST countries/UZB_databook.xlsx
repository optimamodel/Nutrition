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3BB8C60-BC90-4F1D-B28D-A085AE2E5142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H38" i="2"/>
  <c r="I38" i="2" s="1"/>
  <c r="G38" i="2"/>
  <c r="A25" i="2"/>
  <c r="A17" i="2"/>
  <c r="H13" i="2"/>
  <c r="I13" i="2" s="1"/>
  <c r="G13" i="2"/>
  <c r="I12" i="2"/>
  <c r="H12" i="2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I4" i="2"/>
  <c r="H4" i="2"/>
  <c r="G4" i="2"/>
  <c r="H3" i="2"/>
  <c r="I3" i="2" s="1"/>
  <c r="G3" i="2"/>
  <c r="A3" i="2"/>
  <c r="H2" i="2"/>
  <c r="I2" i="2" s="1"/>
  <c r="G2" i="2"/>
  <c r="A2" i="2"/>
  <c r="A38" i="2" s="1"/>
  <c r="C33" i="1"/>
  <c r="C20" i="1"/>
  <c r="A33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16" i="2"/>
  <c r="A24" i="2"/>
  <c r="A32" i="2"/>
  <c r="A18" i="2"/>
  <c r="A26" i="2"/>
  <c r="A39" i="2"/>
  <c r="A19" i="2"/>
  <c r="A27" i="2"/>
  <c r="A35" i="2"/>
  <c r="A34" i="2"/>
  <c r="A20" i="2"/>
  <c r="A28" i="2"/>
  <c r="A36" i="2"/>
  <c r="A21" i="2"/>
  <c r="A29" i="2"/>
  <c r="A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<sst xmlns="http://schemas.openxmlformats.org/spreadsheetml/2006/main" count="2101" uniqueCount="337">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</sst>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3853603.25</v>
      </c>
    </row>
    <row r="8" spans="1:3" ht="15" customHeight="1" x14ac:dyDescent="0.25">
      <c r="B8" s="5" t="s">
        <v>19</v>
      </c>
      <c r="C8" s="44">
        <v>0.621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0.90041511535644503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9.3399999999999997E-2</v>
      </c>
    </row>
    <row r="24" spans="1:3" ht="15" customHeight="1" x14ac:dyDescent="0.25">
      <c r="B24" s="15" t="s">
        <v>33</v>
      </c>
      <c r="C24" s="45">
        <v>0.65379999999999994</v>
      </c>
    </row>
    <row r="25" spans="1:3" ht="15" customHeight="1" x14ac:dyDescent="0.25">
      <c r="B25" s="15" t="s">
        <v>34</v>
      </c>
      <c r="C25" s="45">
        <v>0.23599999999999999</v>
      </c>
    </row>
    <row r="26" spans="1:3" ht="15" customHeight="1" x14ac:dyDescent="0.25">
      <c r="B26" s="15" t="s">
        <v>35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0.305826683497959</v>
      </c>
    </row>
    <row r="30" spans="1:3" ht="14.25" customHeight="1" x14ac:dyDescent="0.25">
      <c r="B30" s="25" t="s">
        <v>38</v>
      </c>
      <c r="C30" s="99">
        <v>8.0334841914884408E-2</v>
      </c>
    </row>
    <row r="31" spans="1:3" ht="14.25" customHeight="1" x14ac:dyDescent="0.25">
      <c r="B31" s="25" t="s">
        <v>39</v>
      </c>
      <c r="C31" s="99">
        <v>0.12438567345943199</v>
      </c>
    </row>
    <row r="32" spans="1:3" ht="14.25" customHeight="1" x14ac:dyDescent="0.25">
      <c r="B32" s="25" t="s">
        <v>40</v>
      </c>
      <c r="C32" s="99">
        <v>0.48945280112772499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7.6795799999999996</v>
      </c>
    </row>
    <row r="38" spans="1:5" ht="15" customHeight="1" x14ac:dyDescent="0.25">
      <c r="B38" s="11" t="s">
        <v>45</v>
      </c>
      <c r="C38" s="43">
        <v>12.565189999999999</v>
      </c>
      <c r="D38" s="12"/>
      <c r="E38" s="13"/>
    </row>
    <row r="39" spans="1:5" ht="15" customHeight="1" x14ac:dyDescent="0.25">
      <c r="B39" s="11" t="s">
        <v>46</v>
      </c>
      <c r="C39" s="43">
        <v>14.06606</v>
      </c>
      <c r="D39" s="12"/>
      <c r="E39" s="12"/>
    </row>
    <row r="40" spans="1:5" ht="15" customHeight="1" x14ac:dyDescent="0.25">
      <c r="B40" s="11" t="s">
        <v>47</v>
      </c>
      <c r="C40" s="100">
        <v>0.3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5.9385999999999996E-3</v>
      </c>
      <c r="D45" s="12"/>
    </row>
    <row r="46" spans="1:5" ht="15.75" customHeight="1" x14ac:dyDescent="0.25">
      <c r="B46" s="11" t="s">
        <v>52</v>
      </c>
      <c r="C46" s="45">
        <v>6.3809699999999997E-2</v>
      </c>
      <c r="D46" s="12"/>
    </row>
    <row r="47" spans="1:5" ht="15.75" customHeight="1" x14ac:dyDescent="0.25">
      <c r="B47" s="11" t="s">
        <v>53</v>
      </c>
      <c r="C47" s="45">
        <v>7.5353900000000001E-2</v>
      </c>
      <c r="D47" s="12"/>
      <c r="E47" s="13"/>
    </row>
    <row r="48" spans="1:5" ht="15" customHeight="1" x14ac:dyDescent="0.25">
      <c r="B48" s="11" t="s">
        <v>54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0.59351200000000004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miD2fSf3FOyTETZQmdAY9VIO2KGsJLRtwZgSgUeIVIxraAuP1Q60s6awjOIJpLxSqIA2SOnj13B8zdRY8PREUQ==" saltValue="CWN7XYav8mJX90gBXJrT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eyBmufaPnFJJJOeBe6VYTi5xyLaOwetE7TesofROi9eNkWUK9SVaT3pGGEzlQCvRfiKTwQfx6L6Rp/wNMHJdQ==" saltValue="If40iRizwJt1hfq8T6KQ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4.4007592784674611E-4</v>
      </c>
    </row>
    <row r="4" spans="1:8" ht="15.75" customHeight="1" x14ac:dyDescent="0.25">
      <c r="B4" s="19" t="s">
        <v>79</v>
      </c>
      <c r="C4" s="101">
        <v>5.7395460468312433E-2</v>
      </c>
    </row>
    <row r="5" spans="1:8" ht="15.75" customHeight="1" x14ac:dyDescent="0.25">
      <c r="B5" s="19" t="s">
        <v>80</v>
      </c>
      <c r="C5" s="101">
        <v>4.4677456143148997E-2</v>
      </c>
    </row>
    <row r="6" spans="1:8" ht="15.75" customHeight="1" x14ac:dyDescent="0.25">
      <c r="B6" s="19" t="s">
        <v>81</v>
      </c>
      <c r="C6" s="101">
        <v>0.17366390058463799</v>
      </c>
    </row>
    <row r="7" spans="1:8" ht="15.75" customHeight="1" x14ac:dyDescent="0.25">
      <c r="B7" s="19" t="s">
        <v>82</v>
      </c>
      <c r="C7" s="101">
        <v>0.43792874529763209</v>
      </c>
    </row>
    <row r="8" spans="1:8" ht="15.75" customHeight="1" x14ac:dyDescent="0.25">
      <c r="B8" s="19" t="s">
        <v>83</v>
      </c>
      <c r="C8" s="101">
        <v>5.1597177634383427E-5</v>
      </c>
    </row>
    <row r="9" spans="1:8" ht="15.75" customHeight="1" x14ac:dyDescent="0.25">
      <c r="B9" s="19" t="s">
        <v>84</v>
      </c>
      <c r="C9" s="101">
        <v>0.2093974459597063</v>
      </c>
    </row>
    <row r="10" spans="1:8" ht="15.75" customHeight="1" x14ac:dyDescent="0.25">
      <c r="B10" s="19" t="s">
        <v>85</v>
      </c>
      <c r="C10" s="101">
        <v>7.6445318441081156E-2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88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89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90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93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94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95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6.9449472999999998E-2</v>
      </c>
    </row>
    <row r="27" spans="1:8" ht="15.75" customHeight="1" x14ac:dyDescent="0.25">
      <c r="B27" s="19" t="s">
        <v>102</v>
      </c>
      <c r="C27" s="101">
        <v>2.9846799E-2</v>
      </c>
    </row>
    <row r="28" spans="1:8" ht="15.75" customHeight="1" x14ac:dyDescent="0.25">
      <c r="B28" s="19" t="s">
        <v>103</v>
      </c>
      <c r="C28" s="101">
        <v>7.5538350000000004E-2</v>
      </c>
    </row>
    <row r="29" spans="1:8" ht="15.75" customHeight="1" x14ac:dyDescent="0.25">
      <c r="B29" s="19" t="s">
        <v>104</v>
      </c>
      <c r="C29" s="101">
        <v>0.20332114100000001</v>
      </c>
    </row>
    <row r="30" spans="1:8" ht="15.75" customHeight="1" x14ac:dyDescent="0.25">
      <c r="B30" s="19" t="s">
        <v>2</v>
      </c>
      <c r="C30" s="101">
        <v>4.5681777999999999E-2</v>
      </c>
    </row>
    <row r="31" spans="1:8" ht="15.75" customHeight="1" x14ac:dyDescent="0.25">
      <c r="B31" s="19" t="s">
        <v>105</v>
      </c>
      <c r="C31" s="101">
        <v>1.9566962E-2</v>
      </c>
    </row>
    <row r="32" spans="1:8" ht="15.75" customHeight="1" x14ac:dyDescent="0.25">
      <c r="B32" s="19" t="s">
        <v>106</v>
      </c>
      <c r="C32" s="101">
        <v>8.5306862999999997E-2</v>
      </c>
    </row>
    <row r="33" spans="2:3" ht="15.75" customHeight="1" x14ac:dyDescent="0.25">
      <c r="B33" s="19" t="s">
        <v>107</v>
      </c>
      <c r="C33" s="101">
        <v>0.392452888</v>
      </c>
    </row>
    <row r="34" spans="2:3" ht="15.75" customHeight="1" x14ac:dyDescent="0.25">
      <c r="B34" s="19" t="s">
        <v>108</v>
      </c>
      <c r="C34" s="101">
        <v>7.8835746999999998E-2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XuWHVC/Hdka9+rzeLSOSuBu+Tburrup1IspjS+uxmNsPw3BGPHrnHBdlKpdlHmR9OaDm62g7p3usRFyzVD527Q==" saltValue="7xs0frhPNewKcdHzLlwU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114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115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119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120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XnbnKnAH2O6ShkrHfL/UGFY2HTwst9iOSRzcflIuBm7aMZq3K1phIBlJdMUk9WsDLjk+KUloVxURS/IZ38qZw==" saltValue="BIHtyAsWkLphdHZEEHeK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132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jaa+6r/OcBxlJIacgfS06SaQo4HqWGbDmd5/Ez29eLPWTHcOJW15eEpoMdBaMs0FTzJKvayDlwn05nG03UkZ9w==" saltValue="6bAAe9fIVyax5wFVfMbv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PFo3/BRWz4whs7Aj6X8jjAvqIHD72q+D/wtg/ZBSGDRSBS/7d/pDi1WdtzEdPTsthM36bWw5tx3kRYkhO+RIA==" saltValue="i7HQTxz4S77E8ertJBCBu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MerNtsMxGxHg7HmMdcD/1DNtIno2WwJLacWZ5p16WpfKouZqASNZ3/5GBO5fVkfhViERP4SzlV1aIu+qFJ0v3g==" saltValue="tkq3lmTUIZ0J0dUc8UyK2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qmfPrwidoCZgSUuM3bOyKTuQlyXvT8eE2w03Mp97AU0Tsmjp3ySJ/EecnZc8HpmcoKovYJ5LNMj1ZxBbr/nxA==" saltValue="g1gJBHTgTvYiFemcSExN4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yEFponDoyH5fv69XxQWi+8rNZBtBYg7aP20k085YgvTjDQYTKVjqH+4CBdyDAK6jWtH7Ywbob3JE/sXAF5DwHQ==" saltValue="DjI/sot+bi3dg6h9FA0W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45.059697708734632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42.681515161267903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211.06677542197349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7.2395987071572607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13.699227061288489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13.699227061288489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13.699227061288489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13.699227061288489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13.699227061288489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13.699227061288489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0.43846979913857109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0.76225600000000004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0.2368297</v>
      </c>
      <c r="C18" s="98">
        <v>0.95</v>
      </c>
      <c r="D18" s="56">
        <v>4.9270454148954128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0.2368297</v>
      </c>
      <c r="C19" s="98">
        <v>0.95</v>
      </c>
      <c r="D19" s="56">
        <v>4.9270454148954128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78.708084515042287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23.463764774460952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4.5607388970998564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0.70884126301032002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19.698516154118199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0.67195470000000002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0.56111960000000005</v>
      </c>
      <c r="C29" s="98">
        <v>0.95</v>
      </c>
      <c r="D29" s="56">
        <v>84.046606343271279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1.310082435231509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0.90679548983180225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0.8162645999999999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0.7434151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5.2288500000000002E-2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0.72948809999999997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0.1601621</v>
      </c>
      <c r="C38" s="98">
        <v>0.95</v>
      </c>
      <c r="D38" s="56">
        <v>1.362241488981754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iqltkvKBwYY87W/t/K2W2hSfOTs7mh9cO+rvOd9fyUoNuHxi6S4H2iMroIUyX+2VZ9mzW83v5tVa6jtQflJimA==" saltValue="ZXriCnNpXGJaXYxJ/K6l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MO1rxgeHXxmosU3PnZNWyikQ7ktTzKGoBcZJpb2pik8IQkdtyYRTnrMSaNSJht5wrC+U5Fm3s1YL4BPuthBnw==" saltValue="JdiKboYTaB4ZAIDiOpJR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5wpiw+ML6+5wPGlEv6yVGQ4RHF+S4fJXPj/XTwZEJW1cQpGH7dwZjp1ktMom5bNyQe65lhm8HG9LqtRin7OPQ==" saltValue="dowxVUcXHtrWwmbL0G3h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208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YzjFFsctjkieJ53Xcy1zqsXvVsLSkOZ2Y/b0C6y8r4H512vahOSCO58rLtXsC13vgCatIj0z24TT+H5F+ChZrA==" saltValue="H8hHeyWznamKBrrPx7/q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Dsj2XVfp/3yJ7PMjdCFpTCjzpenVBT1Nhch5t1iJhIRmmYwBvZ0YK26PMY5A1L2ZUVmM1eep1XkNO1lCxE0Zg==" saltValue="XqLOdp5LAb1R+/SfEoP9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C30NPzxmLMd92FU58LodRHK3yEcZc20T4NB8ssAnBEXW8iNb1Mrt9+7nepbyPYW8O6e/107dPlb6nTa45kWn6A==" saltValue="Lt0A6luZl8CNh3kD/sr4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uJeved9Ys9kkrQYgfwE66dYNm2IywmrXpTNGmRVpGZB/fGOl49ZfSFXA/ma8/MpwFXGaHlYCfAleH2e2SJopg==" saltValue="e4k6blPTkrr8HXlMgv0o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MI9QOwUPy9b10WihT/h1hN/6TMZT5Pkz6pXvegtRMjFIZpcgM6QFJypSdCnN6XAhQTKIsKR9IujWdhXv8Wj1g==" saltValue="9spC6Rpk9T+F0D4mzKtj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7N7GlYAIFXmLcbEDsAkYsZw02lpxHF0jsC2qhVMTmDHx90mJPAfKQtUL0rC8JmWRYybTMmiglCUJRYn81Eth4A==" saltValue="aDylQQbWq3991omOMnb9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3x9mBu8vTY9jvP5BKGiovwC2zj+pOHnjHi9r/UsxckSg3YAYjft9YVir/4X2zRAj4svh9i/2Vld7MyrQL5FjA==" saltValue="cfZeHni04Q8oNifo4Spo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KCETk5EhNf0o2uGgJGmHIb58OqUBPBBoLJxwW7AaC7Bb3J5aMRuEX9qfbOebAy2un+evXS1JmMRj9TP+B9R0g==" saltValue="00LkKvA1sIKcZbeeVaWFZ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YNrEZcc3oPZL1287gISOfaGleOQz2hA3TWUjllaGRkKyyhi5Ug8TNkCos8lQi9AX5bMpZpL1a0+T24CBzR0hg==" saltValue="N9fYNAY46Qmz/y3bdtPU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C/iSN5YWMsXKyZ4Mvv38pXI0csywIe2O955m0mGYuY2LGT7xrtF/oDub+UyVZV3ZNLNsPcEYOuEzRghrKW0rQ==" saltValue="HF7XeTQMzsW78KX7itjj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BoviUwe/6XmzeZBexXu7wrQrlctkS5CKZ3YoNFmSGApMErYi+QlDw3V9zkKIzm1EiVQgKTHEPfvb2q8HIflMg==" saltValue="hKTkVck7JOVqTzlRGXiL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uTbstVaIPdQPgLJN41dDxGPm0BrMWLV7KqiZ0r8BjI2W5ZFEDF0mZGBkvfcNBRYc5DUqda5LEfTdFhJRLuykg==" saltValue="NQyKUsFMFbmrfFGNaJm/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FOQCHnTw80xTyyvPTQ0Pd2dMopNde+b4DVvAVSP2ETZVQOlcb3dvShZ9vmYX4tR/8jXmgiNxI8xsizxPSblFw==" saltValue="TMSnFaZy5oinWclHm6OZ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A5KsWbk50y8kIugv+ejuNk+JffCCCQG3nGzBgnbhMTBZ+TgGJlaqCccHwVPV9+/iBaR8C8dj0Oqa/6Cptnepw==" saltValue="AUlA4ZbHZbbrfyRw7K9t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0.1087920192721864</v>
      </c>
      <c r="G18" s="90">
        <f>MIN(MAX(1-0.89/(1-frac_sam_12_23months+(frac_sam_12_23months*0.89)),0),1)</f>
        <v>0.10973166333037598</v>
      </c>
      <c r="H18" s="90">
        <f>MIN(MAX(1-0.89/(1-frac_sam_24_59months+(frac_sam_24_59months*0.89)),0),1)</f>
        <v>0.10951413131935872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0.108175120284555</v>
      </c>
      <c r="G20" s="90">
        <f>MIN(MAX(1-0.89/(1-frac_mam_12_23months+(frac_mam_12_23months*0.89)),0),1)</f>
        <v>0.10944123760627</v>
      </c>
      <c r="H20" s="90">
        <f>MIN(MAX(1-0.89/(1-frac_mam_24_59months+(frac_mam_24_59months*0.89)),0),1)</f>
        <v>0.10923434148745981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9.8779951863229298E-3</v>
      </c>
      <c r="G73" s="90">
        <f>MIN(MAX(1-0.99/(1-frac_sam_12_23months+(frac_sam_12_23months*0.99)),0),1)</f>
        <v>9.972872266672983E-3</v>
      </c>
      <c r="H73" s="90">
        <f>MIN(MAX(1-0.99/(1-frac_sam_24_59months+(frac_sam_24_59months*0.99)),0),1)</f>
        <v>9.9508915841244328E-3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9.8158049458518803E-3</v>
      </c>
      <c r="G75" s="90">
        <f>MIN(MAX(1-0.99/(1-frac_mam_12_23months+(frac_mam_12_23months*0.99)),0),1)</f>
        <v>9.943528168903204E-3</v>
      </c>
      <c r="H75" s="90">
        <f>MIN(MAX(1-0.99/(1-frac_mam_24_59months+(frac_mam_24_59months*0.99)),0),1)</f>
        <v>9.9226343645718584E-3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0.19802357722465558</v>
      </c>
      <c r="G128" s="90">
        <f>MIN(MAX(1-0.8/(1-frac_sam_12_23months+(frac_sam_12_23months*0.8)),0),1)</f>
        <v>0.19956134360752376</v>
      </c>
      <c r="H128" s="90">
        <f>MIN(MAX(1-0.8/(1-frac_sam_24_59months+(frac_sam_24_59months*0.8)),0),1)</f>
        <v>0.19920557990348742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0.19701254942914714</v>
      </c>
      <c r="G130" s="90">
        <f>MIN(MAX(1-0.8/(1-frac_mam_12_23months+(frac_mam_12_23months*0.8)),0),1)</f>
        <v>0.19908633370776718</v>
      </c>
      <c r="H130" s="90">
        <f>MIN(MAX(1-0.8/(1-frac_mam_24_59months+(frac_mam_24_59months*0.8)),0),1)</f>
        <v>0.19874778701650508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Ssl2R9y+btCYvzSTbvrSzOJjjehT+HO9EMw1iwuaOgXSAcZjQjJ6XcaqpZ+OPTSFbQ50JVaT4CamYVuaZ89Lw==" saltValue="57pvqoFj6EqY3OCfhExc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pJD3lM51kptI8uMxbpT3c8GpR2dY6GoR9M9MVtXLhHAel6wQmMYEDmT/AVNHE1OzMF9SfBMCbV4qpFGgOCUGw==" saltValue="ahmLwS8u2klVgQtYCGfap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2024-08-06T09:57:11Z</dcterms:modified>
</cp:coreProperties>
</file>