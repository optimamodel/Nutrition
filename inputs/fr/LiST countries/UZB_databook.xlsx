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1FE5B56-8EF1-4C61-B8E9-F3248F575BE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8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<sst xmlns="http://schemas.openxmlformats.org/spreadsheetml/2006/main" count="2169" uniqueCount="369">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</sst>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4532514.5</v>
      </c>
    </row>
    <row r="8" spans="1:3" ht="15" customHeight="1" x14ac:dyDescent="0.25">
      <c r="B8" s="5" t="s">
        <v>37</v>
      </c>
      <c r="C8" s="44">
        <v>0.621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0.90041511535644503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9.3399999999999997E-2</v>
      </c>
    </row>
    <row r="24" spans="1:3" ht="15" customHeight="1" x14ac:dyDescent="0.25">
      <c r="B24" s="15" t="s">
        <v>51</v>
      </c>
      <c r="C24" s="45">
        <v>0.65379999999999994</v>
      </c>
    </row>
    <row r="25" spans="1:3" ht="15" customHeight="1" x14ac:dyDescent="0.25">
      <c r="B25" s="15" t="s">
        <v>52</v>
      </c>
      <c r="C25" s="45">
        <v>0.23599999999999999</v>
      </c>
    </row>
    <row r="26" spans="1:3" ht="15" customHeight="1" x14ac:dyDescent="0.25">
      <c r="B26" s="15" t="s">
        <v>53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0.305826683497959</v>
      </c>
    </row>
    <row r="30" spans="1:3" ht="14.25" customHeight="1" x14ac:dyDescent="0.25">
      <c r="B30" s="25" t="s">
        <v>56</v>
      </c>
      <c r="C30" s="97">
        <v>8.0334841914884408E-2</v>
      </c>
    </row>
    <row r="31" spans="1:3" ht="14.25" customHeight="1" x14ac:dyDescent="0.25">
      <c r="B31" s="25" t="s">
        <v>57</v>
      </c>
      <c r="C31" s="97">
        <v>0.12438567345943199</v>
      </c>
    </row>
    <row r="32" spans="1:3" ht="14.25" customHeight="1" x14ac:dyDescent="0.25">
      <c r="B32" s="25" t="s">
        <v>58</v>
      </c>
      <c r="C32" s="97">
        <v>0.48945280112772499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7.6795799999999996</v>
      </c>
    </row>
    <row r="38" spans="1:5" ht="15" customHeight="1" x14ac:dyDescent="0.25">
      <c r="B38" s="11" t="s">
        <v>63</v>
      </c>
      <c r="C38" s="43">
        <v>12.565189999999999</v>
      </c>
      <c r="D38" s="12"/>
      <c r="E38" s="13"/>
    </row>
    <row r="39" spans="1:5" ht="15" customHeight="1" x14ac:dyDescent="0.25">
      <c r="B39" s="11" t="s">
        <v>64</v>
      </c>
      <c r="C39" s="43">
        <v>14.06606</v>
      </c>
      <c r="D39" s="12"/>
      <c r="E39" s="12"/>
    </row>
    <row r="40" spans="1:5" ht="15" customHeight="1" x14ac:dyDescent="0.25">
      <c r="B40" s="11" t="s">
        <v>65</v>
      </c>
      <c r="C40" s="98">
        <v>0.3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5.9385999999999996E-3</v>
      </c>
      <c r="D45" s="12"/>
    </row>
    <row r="46" spans="1:5" ht="15.75" customHeight="1" x14ac:dyDescent="0.25">
      <c r="B46" s="11" t="s">
        <v>70</v>
      </c>
      <c r="C46" s="45">
        <v>6.3809699999999997E-2</v>
      </c>
      <c r="D46" s="12"/>
    </row>
    <row r="47" spans="1:5" ht="15.75" customHeight="1" x14ac:dyDescent="0.25">
      <c r="B47" s="11" t="s">
        <v>71</v>
      </c>
      <c r="C47" s="45">
        <v>7.5353900000000001E-2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0.59351200000000004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vPHqOwbaSUeOL01rQuTxmhzAfSi67GW8urhzLRaFlvC/4uhhUvUlGzN7pL2aBwl83G08KD5CQtafrScszCZydA==" saltValue="5phCnmmgfmYGXBkVpWIo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929292</v>
      </c>
      <c r="C2" s="49">
        <v>1353663</v>
      </c>
      <c r="D2" s="49">
        <v>2584046.0000000005</v>
      </c>
      <c r="E2" s="49">
        <v>2926165</v>
      </c>
      <c r="F2" s="49">
        <v>2136783</v>
      </c>
      <c r="G2" s="17">
        <f t="shared" ref="G2:G13" si="0">C2+D2+E2+F2</f>
        <v>9000657</v>
      </c>
      <c r="H2" s="17">
        <f t="shared" ref="H2:H13" si="1">(B2 + stillbirth*B2/(1000-stillbirth))/(1-abortion)</f>
        <v>1062248.6001244409</v>
      </c>
      <c r="I2" s="17">
        <f t="shared" ref="I2:I13" si="2">G2-H2</f>
        <v>7938408.3998755589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911213</v>
      </c>
      <c r="C3" s="50">
        <v>1405256.5</v>
      </c>
      <c r="D3" s="50">
        <v>2532712.5</v>
      </c>
      <c r="E3" s="50">
        <v>2947605.5</v>
      </c>
      <c r="F3" s="50">
        <v>2213733</v>
      </c>
      <c r="G3" s="17">
        <f t="shared" si="0"/>
        <v>9099307.5</v>
      </c>
      <c r="H3" s="17">
        <f t="shared" si="1"/>
        <v>1041582.9832444398</v>
      </c>
      <c r="I3" s="17">
        <f t="shared" si="2"/>
        <v>8057724.5167555604</v>
      </c>
    </row>
    <row r="4" spans="1:9" ht="15.75" customHeight="1" x14ac:dyDescent="0.25">
      <c r="A4" s="5">
        <f t="shared" si="3"/>
        <v>2026</v>
      </c>
      <c r="B4" s="49">
        <v>894379</v>
      </c>
      <c r="C4" s="50">
        <v>1448170.5</v>
      </c>
      <c r="D4" s="50">
        <v>2492321.5</v>
      </c>
      <c r="E4" s="50">
        <v>2952274.0000000005</v>
      </c>
      <c r="F4" s="50">
        <v>2298902.5</v>
      </c>
      <c r="G4" s="17">
        <f t="shared" si="0"/>
        <v>9191668.5</v>
      </c>
      <c r="H4" s="17">
        <f t="shared" si="1"/>
        <v>1022340.4922572208</v>
      </c>
      <c r="I4" s="17">
        <f t="shared" si="2"/>
        <v>8169328.0077427793</v>
      </c>
    </row>
    <row r="5" spans="1:9" ht="15.75" customHeight="1" x14ac:dyDescent="0.25">
      <c r="A5" s="5">
        <f t="shared" si="3"/>
        <v>2027</v>
      </c>
      <c r="B5" s="49">
        <v>881880</v>
      </c>
      <c r="C5" s="50">
        <v>1477142.5</v>
      </c>
      <c r="D5" s="50">
        <v>2477961.5000000005</v>
      </c>
      <c r="E5" s="50">
        <v>2939273.5000000005</v>
      </c>
      <c r="F5" s="50">
        <v>2387910.5</v>
      </c>
      <c r="G5" s="17">
        <f t="shared" si="0"/>
        <v>9282288</v>
      </c>
      <c r="H5" s="17">
        <f t="shared" si="1"/>
        <v>1008053.2227520971</v>
      </c>
      <c r="I5" s="17">
        <f t="shared" si="2"/>
        <v>8274234.7772479029</v>
      </c>
    </row>
    <row r="6" spans="1:9" ht="15.75" customHeight="1" x14ac:dyDescent="0.25">
      <c r="A6" s="5">
        <f t="shared" si="3"/>
        <v>2028</v>
      </c>
      <c r="B6" s="49">
        <v>872359</v>
      </c>
      <c r="C6" s="50">
        <v>1499598.5</v>
      </c>
      <c r="D6" s="50">
        <v>2495352.5</v>
      </c>
      <c r="E6" s="50">
        <v>2914077</v>
      </c>
      <c r="F6" s="50">
        <v>2473071.5</v>
      </c>
      <c r="G6" s="17">
        <f t="shared" si="0"/>
        <v>9382099.5</v>
      </c>
      <c r="H6" s="17">
        <f t="shared" si="1"/>
        <v>997170.02465958719</v>
      </c>
      <c r="I6" s="17">
        <f t="shared" si="2"/>
        <v>8384929.4753404129</v>
      </c>
    </row>
    <row r="7" spans="1:9" ht="15.75" customHeight="1" x14ac:dyDescent="0.25">
      <c r="A7" s="5">
        <f t="shared" si="3"/>
        <v>2029</v>
      </c>
      <c r="B7" s="49">
        <v>864944</v>
      </c>
      <c r="C7" s="50">
        <v>1529797.5</v>
      </c>
      <c r="D7" s="50">
        <v>2535561.5</v>
      </c>
      <c r="E7" s="50">
        <v>2879735.5</v>
      </c>
      <c r="F7" s="50">
        <v>2551100</v>
      </c>
      <c r="G7" s="17">
        <f t="shared" si="0"/>
        <v>9496194.5</v>
      </c>
      <c r="H7" s="17">
        <f t="shared" si="1"/>
        <v>988694.13831824041</v>
      </c>
      <c r="I7" s="17">
        <f t="shared" si="2"/>
        <v>8507500.3616817594</v>
      </c>
    </row>
    <row r="8" spans="1:9" ht="15.75" customHeight="1" x14ac:dyDescent="0.25">
      <c r="A8" s="5">
        <f t="shared" si="3"/>
        <v>2030</v>
      </c>
      <c r="B8" s="49">
        <v>859689</v>
      </c>
      <c r="C8" s="50">
        <v>1572467.5</v>
      </c>
      <c r="D8" s="50">
        <v>2585301</v>
      </c>
      <c r="E8" s="50">
        <v>2831749.5</v>
      </c>
      <c r="F8" s="50">
        <v>2626655.5</v>
      </c>
      <c r="G8" s="17">
        <f t="shared" si="0"/>
        <v>9616173.5</v>
      </c>
      <c r="H8" s="17">
        <f t="shared" si="1"/>
        <v>982687.28967039462</v>
      </c>
      <c r="I8" s="17">
        <f t="shared" si="2"/>
        <v>8633486.2103296053</v>
      </c>
    </row>
    <row r="9" spans="1:9" ht="15.75" customHeight="1" x14ac:dyDescent="0.25">
      <c r="A9" s="5">
        <f t="shared" si="3"/>
        <v>2031</v>
      </c>
      <c r="B9" s="49">
        <v>855161</v>
      </c>
      <c r="C9" s="50">
        <v>1621930.5</v>
      </c>
      <c r="D9" s="50">
        <v>2637468.5</v>
      </c>
      <c r="E9" s="50">
        <v>2767270.5</v>
      </c>
      <c r="F9" s="50">
        <v>2705511</v>
      </c>
      <c r="G9" s="17">
        <f t="shared" si="0"/>
        <v>9732180.5</v>
      </c>
      <c r="H9" s="17">
        <f t="shared" si="1"/>
        <v>977511.45509809279</v>
      </c>
      <c r="I9" s="17">
        <f t="shared" si="2"/>
        <v>8754669.0449019074</v>
      </c>
    </row>
    <row r="10" spans="1:9" ht="15.75" customHeight="1" x14ac:dyDescent="0.25">
      <c r="A10" s="5">
        <f t="shared" si="3"/>
        <v>2032</v>
      </c>
      <c r="B10" s="49">
        <v>851864</v>
      </c>
      <c r="C10" s="50">
        <v>1670227</v>
      </c>
      <c r="D10" s="50">
        <v>2692181.4999999995</v>
      </c>
      <c r="E10" s="50">
        <v>2696521.5</v>
      </c>
      <c r="F10" s="50">
        <v>2781294</v>
      </c>
      <c r="G10" s="17">
        <f t="shared" si="0"/>
        <v>9840224</v>
      </c>
      <c r="H10" s="17">
        <f t="shared" si="1"/>
        <v>973742.74339648534</v>
      </c>
      <c r="I10" s="17">
        <f t="shared" si="2"/>
        <v>8866481.2566035148</v>
      </c>
    </row>
    <row r="11" spans="1:9" ht="15.75" customHeight="1" x14ac:dyDescent="0.25">
      <c r="A11" s="5">
        <f t="shared" si="3"/>
        <v>2033</v>
      </c>
      <c r="B11" s="49">
        <v>850842</v>
      </c>
      <c r="C11" s="50">
        <v>1716187.5</v>
      </c>
      <c r="D11" s="50">
        <v>2759478.5</v>
      </c>
      <c r="E11" s="50">
        <v>2629085.5</v>
      </c>
      <c r="F11" s="50">
        <v>2843047</v>
      </c>
      <c r="G11" s="17">
        <f t="shared" si="0"/>
        <v>9947798.5</v>
      </c>
      <c r="H11" s="17">
        <f t="shared" si="1"/>
        <v>972574.52278409735</v>
      </c>
      <c r="I11" s="17">
        <f t="shared" si="2"/>
        <v>8975223.9772159029</v>
      </c>
    </row>
    <row r="12" spans="1:9" ht="15.75" customHeight="1" x14ac:dyDescent="0.25">
      <c r="A12" s="5">
        <f t="shared" si="3"/>
        <v>2034</v>
      </c>
      <c r="B12" s="49">
        <v>851642</v>
      </c>
      <c r="C12" s="50">
        <v>1762079</v>
      </c>
      <c r="D12" s="50">
        <v>2843484.9999999995</v>
      </c>
      <c r="E12" s="50">
        <v>2570953.9999999995</v>
      </c>
      <c r="F12" s="50">
        <v>2883655.5</v>
      </c>
      <c r="G12" s="17">
        <f t="shared" si="0"/>
        <v>10060173.5</v>
      </c>
      <c r="H12" s="17">
        <f t="shared" si="1"/>
        <v>973488.98118909774</v>
      </c>
      <c r="I12" s="17">
        <f t="shared" si="2"/>
        <v>9086684.5188109018</v>
      </c>
    </row>
    <row r="13" spans="1:9" ht="15.75" customHeight="1" x14ac:dyDescent="0.25">
      <c r="A13" s="5">
        <f t="shared" si="3"/>
        <v>2035</v>
      </c>
      <c r="B13" s="49">
        <v>855103</v>
      </c>
      <c r="C13" s="50">
        <v>1815421.5</v>
      </c>
      <c r="D13" s="50">
        <v>2937148</v>
      </c>
      <c r="E13" s="50">
        <v>2521215</v>
      </c>
      <c r="F13" s="50">
        <v>2905680</v>
      </c>
      <c r="G13" s="17">
        <f t="shared" si="0"/>
        <v>10179464.5</v>
      </c>
      <c r="H13" s="17">
        <f t="shared" si="1"/>
        <v>977445.1568637304</v>
      </c>
      <c r="I13" s="17">
        <f t="shared" si="2"/>
        <v>9202019.3431362696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pxdD8C4O3sUmclh0iG7SOH5X1RQYo99/UWzYWD4j+yuv0HrJILXY2rxBauB3bXPu9rX1Pl3XyyUPjRAdqIo9w==" saltValue="Ag/M+q2uFZ5aYnfMrSiI/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4.4007592784674611E-4</v>
      </c>
    </row>
    <row r="4" spans="1:8" ht="15.75" customHeight="1" x14ac:dyDescent="0.25">
      <c r="B4" s="19" t="s">
        <v>97</v>
      </c>
      <c r="C4" s="99">
        <v>5.7395460468312433E-2</v>
      </c>
    </row>
    <row r="5" spans="1:8" ht="15.75" customHeight="1" x14ac:dyDescent="0.25">
      <c r="B5" s="19" t="s">
        <v>98</v>
      </c>
      <c r="C5" s="99">
        <v>4.4677456143148997E-2</v>
      </c>
    </row>
    <row r="6" spans="1:8" ht="15.75" customHeight="1" x14ac:dyDescent="0.25">
      <c r="B6" s="19" t="s">
        <v>99</v>
      </c>
      <c r="C6" s="99">
        <v>0.17366390058463799</v>
      </c>
    </row>
    <row r="7" spans="1:8" ht="15.75" customHeight="1" x14ac:dyDescent="0.25">
      <c r="B7" s="19" t="s">
        <v>100</v>
      </c>
      <c r="C7" s="99">
        <v>0.43792874529763209</v>
      </c>
    </row>
    <row r="8" spans="1:8" ht="15.75" customHeight="1" x14ac:dyDescent="0.25">
      <c r="B8" s="19" t="s">
        <v>101</v>
      </c>
      <c r="C8" s="99">
        <v>5.1597177634383427E-5</v>
      </c>
    </row>
    <row r="9" spans="1:8" ht="15.75" customHeight="1" x14ac:dyDescent="0.25">
      <c r="B9" s="19" t="s">
        <v>102</v>
      </c>
      <c r="C9" s="99">
        <v>0.2093974459597063</v>
      </c>
    </row>
    <row r="10" spans="1:8" ht="15.75" customHeight="1" x14ac:dyDescent="0.25">
      <c r="B10" s="19" t="s">
        <v>103</v>
      </c>
      <c r="C10" s="99">
        <v>7.6445318441081156E-2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106</v>
      </c>
      <c r="C15" s="99">
        <v>0.36879511464592329</v>
      </c>
      <c r="D15" s="99">
        <v>0.36879511464592329</v>
      </c>
      <c r="E15" s="99">
        <v>0.36879511464592329</v>
      </c>
      <c r="F15" s="99">
        <v>0.36879511464592329</v>
      </c>
    </row>
    <row r="16" spans="1:8" ht="15.75" customHeight="1" x14ac:dyDescent="0.25">
      <c r="B16" s="19" t="s">
        <v>107</v>
      </c>
      <c r="C16" s="99">
        <v>2.4413339123503991E-2</v>
      </c>
      <c r="D16" s="99">
        <v>2.4413339123503991E-2</v>
      </c>
      <c r="E16" s="99">
        <v>2.4413339123503991E-2</v>
      </c>
      <c r="F16" s="99">
        <v>2.4413339123503991E-2</v>
      </c>
    </row>
    <row r="17" spans="1:8" ht="15.75" customHeight="1" x14ac:dyDescent="0.25">
      <c r="B17" s="19" t="s">
        <v>108</v>
      </c>
      <c r="C17" s="99">
        <v>2.4697229962766711E-4</v>
      </c>
      <c r="D17" s="99">
        <v>2.4697229962766711E-4</v>
      </c>
      <c r="E17" s="99">
        <v>2.4697229962766711E-4</v>
      </c>
      <c r="F17" s="99">
        <v>2.4697229962766711E-4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5.9231523023368969E-3</v>
      </c>
      <c r="D19" s="99">
        <v>5.9231523023368969E-3</v>
      </c>
      <c r="E19" s="99">
        <v>5.9231523023368969E-3</v>
      </c>
      <c r="F19" s="99">
        <v>5.9231523023368969E-3</v>
      </c>
    </row>
    <row r="20" spans="1:8" ht="15.75" customHeight="1" x14ac:dyDescent="0.25">
      <c r="B20" s="19" t="s">
        <v>111</v>
      </c>
      <c r="C20" s="99">
        <v>9.0116220308402023E-2</v>
      </c>
      <c r="D20" s="99">
        <v>9.0116220308402023E-2</v>
      </c>
      <c r="E20" s="99">
        <v>9.0116220308402023E-2</v>
      </c>
      <c r="F20" s="99">
        <v>9.0116220308402023E-2</v>
      </c>
    </row>
    <row r="21" spans="1:8" ht="15.75" customHeight="1" x14ac:dyDescent="0.25">
      <c r="B21" s="19" t="s">
        <v>112</v>
      </c>
      <c r="C21" s="99">
        <v>0.31442374459401951</v>
      </c>
      <c r="D21" s="99">
        <v>0.31442374459401951</v>
      </c>
      <c r="E21" s="99">
        <v>0.31442374459401951</v>
      </c>
      <c r="F21" s="99">
        <v>0.31442374459401951</v>
      </c>
    </row>
    <row r="22" spans="1:8" ht="15.75" customHeight="1" x14ac:dyDescent="0.25">
      <c r="B22" s="19" t="s">
        <v>113</v>
      </c>
      <c r="C22" s="99">
        <v>0.1384357941245801</v>
      </c>
      <c r="D22" s="99">
        <v>0.1384357941245801</v>
      </c>
      <c r="E22" s="99">
        <v>0.1384357941245801</v>
      </c>
      <c r="F22" s="99">
        <v>0.1384357941245801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6.9449472999999998E-2</v>
      </c>
    </row>
    <row r="27" spans="1:8" ht="15.75" customHeight="1" x14ac:dyDescent="0.25">
      <c r="B27" s="19" t="s">
        <v>120</v>
      </c>
      <c r="C27" s="99">
        <v>2.9846799E-2</v>
      </c>
    </row>
    <row r="28" spans="1:8" ht="15.75" customHeight="1" x14ac:dyDescent="0.25">
      <c r="B28" s="19" t="s">
        <v>121</v>
      </c>
      <c r="C28" s="99">
        <v>7.5538350000000004E-2</v>
      </c>
    </row>
    <row r="29" spans="1:8" ht="15.75" customHeight="1" x14ac:dyDescent="0.25">
      <c r="B29" s="19" t="s">
        <v>122</v>
      </c>
      <c r="C29" s="99">
        <v>0.20332114100000001</v>
      </c>
    </row>
    <row r="30" spans="1:8" ht="15.75" customHeight="1" x14ac:dyDescent="0.25">
      <c r="B30" s="19" t="s">
        <v>2</v>
      </c>
      <c r="C30" s="99">
        <v>4.5681777999999999E-2</v>
      </c>
    </row>
    <row r="31" spans="1:8" ht="15.75" customHeight="1" x14ac:dyDescent="0.25">
      <c r="B31" s="19" t="s">
        <v>123</v>
      </c>
      <c r="C31" s="99">
        <v>1.9566962E-2</v>
      </c>
    </row>
    <row r="32" spans="1:8" ht="15.75" customHeight="1" x14ac:dyDescent="0.25">
      <c r="B32" s="19" t="s">
        <v>124</v>
      </c>
      <c r="C32" s="99">
        <v>8.5306862999999997E-2</v>
      </c>
    </row>
    <row r="33" spans="2:3" ht="15.75" customHeight="1" x14ac:dyDescent="0.25">
      <c r="B33" s="19" t="s">
        <v>125</v>
      </c>
      <c r="C33" s="99">
        <v>0.392452888</v>
      </c>
    </row>
    <row r="34" spans="2:3" ht="15.75" customHeight="1" x14ac:dyDescent="0.25">
      <c r="B34" s="19" t="s">
        <v>126</v>
      </c>
      <c r="C34" s="99">
        <v>7.8835746999999998E-2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faa241ZIofJHgZ3SZZmTlIPtSDTFqDybE1wvkyX1ptqAOdo8Ko1tazcTOKaF88zJa1PiAknwlLm53YuuWR+2QQ==" saltValue="NKUolvrPj0tId4qOQDZO+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132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133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137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138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o1JtiTob034nI6Za8p/pR2LbUxSF1a5ZKkeUJLeMyxNzamF0auB8dRykntKsjzrsiV5JYAohAsC3/6pqaW+9w==" saltValue="ZdaFGXJPT7da9sjnteNm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2.345699999999995E-2</v>
      </c>
      <c r="D5" s="52">
        <f t="shared" si="0"/>
        <v>9.3364800000000026E-2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ROZmf0uSBKHO0FNZ+0Znsy6w1P7k0sd66I8mSctfKa6Xv9oUX4Ym3/Cw7+pDHFuxLicpLqaAhKAh7yosaeJxSw==" saltValue="WvhNFJPqawiovsEZHMGK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tBCch8wS/8Cjn4M1nsFEdppgKTnwlaUU0ZxPe5LdQJPijbrZTA/q8FxURrFurCgCm8og9EbBcTmfsCSEZGl9g==" saltValue="hda4A4a5oIk/OHIGBmXq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2255.1511549677198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0.46069000000000004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0.435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2.1279788177068569E-2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98275.212390000001</v>
      </c>
      <c r="C22" s="107">
        <v>98094.732669999998</v>
      </c>
      <c r="D22" s="107">
        <v>97905.343120000005</v>
      </c>
      <c r="E22" s="107">
        <v>97549.245630000005</v>
      </c>
      <c r="F22" s="107">
        <v>97145.366559999995</v>
      </c>
      <c r="G22" s="107">
        <v>96705.299660000004</v>
      </c>
      <c r="H22" s="107">
        <v>96136.363230000003</v>
      </c>
      <c r="I22" s="107">
        <v>95272.509839999999</v>
      </c>
      <c r="J22" s="107">
        <v>94077.053740000003</v>
      </c>
      <c r="K22" s="107">
        <v>92214.830979999999</v>
      </c>
      <c r="L22" s="107">
        <v>89415.223240000007</v>
      </c>
      <c r="M22" s="107">
        <v>84716.518179999999</v>
      </c>
      <c r="N22" s="107">
        <v>78642.434909999996</v>
      </c>
      <c r="O22" s="107">
        <v>67126.741980000006</v>
      </c>
    </row>
  </sheetData>
  <sheetProtection algorithmName="SHA-512" hashValue="yUjpdGfuy+bYg4qnHXfGGF+cy4DXnNMdraTdVBlNf7G6T+26clGA0KKz2QJW4ZGcoGuZ3skwP65y24yhHY/1Sw==" saltValue="S3SK842HAjDMyv2MSBNNY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u5QIo9N4z3jH558LZ4+otQ8kDW8AFRtWbGfZFHK84wo6rE05qKnpfYrsAcSQKLC6zbbgxTikcUhNSyoe/AgIQ==" saltValue="mnuayGsjgviaWoZ5Aq9+B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uUL6UHbwQnIC1vDNKePoViS3sPAa7Fq82L6Wx5l4cKaLHXhnIOB54+nf5l9fLOVqmJawUyjIJJBjSjH1vON9g==" saltValue="qh6Wkugs2/OcC0WwV8z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13.699227061288489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13.699227061288489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13.699227061288489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13.699227061288489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13.699227061288489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13.699227061288489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0.76225600000000004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0.2368297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0.2368297</v>
      </c>
      <c r="C19" s="96">
        <v>0.95</v>
      </c>
      <c r="D19" s="56">
        <v>4.9270454148954128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4.5607388970998564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0.70884126301032002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0.67195470000000002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0.56111960000000005</v>
      </c>
      <c r="C29" s="96">
        <v>0.95</v>
      </c>
      <c r="D29" s="56">
        <v>84.046606343271279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0.99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0.8162645999999999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0.7434151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5.2288500000000002E-2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0.72948809999999997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0.1601621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S4KNBG3+VyEfCRtRd3TJXYygVS9iqEICbR6la3DhB6dA8XY3zI9hUdYI7Cey/TCiOtf58cm8D2dVqIa+KGdSCg==" saltValue="nJeMv0rn7d6+NcFRdj6U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Mu9LnttFIj9zimtNvG7CSQCZ2Z7eCaFe4JOR0zyk/JB0aDwF74LZezvM091eA9Ta1E/N4aqcyfbuf6lzDkhxA==" saltValue="J9Z5lg+D5RkOL4MWYP/k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G7o7a/kGhLZlN4uyVaOkyHiKLaLc7Mp1D2kXs6h74ij4jTRoyT9YkiEj+ywcfWagOXojhM0okbjzCqAevZGXQ==" saltValue="EqTgjXqHsBmLrEejdhtU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237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exIvFkP4FP61UyjzzoLQP77a3eD7hAV9HCRmr+CIefprgF8msFrFpFZBybY3+3IglMLvS124Nzkio18A8Q47cA==" saltValue="tjFKbXTQaJKtbqn4ju85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0.621</v>
      </c>
      <c r="F2" s="60">
        <f>food_insecure</f>
        <v>0.621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0.621</v>
      </c>
      <c r="I15" s="60">
        <f t="shared" si="0"/>
        <v>0.621</v>
      </c>
      <c r="J15" s="60">
        <f t="shared" si="0"/>
        <v>0.621</v>
      </c>
      <c r="K15" s="60">
        <f t="shared" si="0"/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0.621</v>
      </c>
      <c r="I16" s="60">
        <f t="shared" si="0"/>
        <v>0.621</v>
      </c>
      <c r="J16" s="60">
        <f t="shared" si="0"/>
        <v>0.621</v>
      </c>
      <c r="K16" s="60">
        <f t="shared" si="0"/>
        <v>0.621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69FEqQvGugx9E6wbMdxtowo+RNl8QQ0Hx4buzQI5ClCp23doChWf5wq19+xANCAyadxlA31MDKXlE3oXTCAVQ==" saltValue="sWQ58tK+9OdwAx889hjsi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wE6vSPFum3G5FSaOOqQTMWhF8vkazfWX2LvHlX8HnlsOsk2tg3+5DpfORrAbMmxouF7o+GkCAaC8i57pnk0YQ==" saltValue="lVIFSoDXwXH4xwwmPBLT5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oa9MDzg3MpcBsx71TRnTeKypWlsqqjYV7st6PTXSBcfIGwmjPgWwXRB5Wi1LdKxR4Hx5LfbG3EUSn3G5WpeVQ==" saltValue="BMKJU10UiW5frS1l9fDz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VlFOhv/yynSIZ0StOvhSDE9cEU8Tl/48QKW7rZpONcsOL7GD+CA8eaReVztKuyAx5iXX5KpO/H4aKkNFQHsgQ==" saltValue="r5MQ6UANgLaRMTtbbZ+kD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vUpXfSyuBCRu3agNiI51n6QOxKPuxkqkSpigaGAGli0OQO7gHzXbhGq9X+1OLZlZ+7dLccz7/d17tpH2erOBaQ==" saltValue="SFVVMz/g+0inUPFCrwJa8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/Ks1oUOdsDXlSoT1h7si+zaujeb811KqObsjYP5XChby97SWUIZXHGBlAb4aJjaga7pEfMjn9IOveFI6BgW/rg==" saltValue="YavnaUthG25Ck5VTXlia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+PAsk45e/5i0FWE4jneMvXhhcsp9wE1JxP8eSZIDNZxK7e4MMwsQSwY+xUsdnfOKURAw1fLIjRftyTFK7T75A==" saltValue="roowfQVspuGcvWJe2Uqvn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O66giAGSAD2PKxzugNTZoQLiDn0zsPOM83L9q3R/1ZFDP4a2BB2cKR324MX+FkvWAGoPidUs8WLLsDl7n4JcQ==" saltValue="g/c/5ymMpe0au/Lz1ZZm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U3gvluBGybyUSEjMOCy85KtTKw8FFfjE6AGnvr0QN305knvZX/SIL7uiDBRbTaCFVUzBRxh0fZS6MhWTRk/kw==" saltValue="b2ICBZ83RsTMb3ZvzVKD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15rlh24zaY2hHe5phgEPSiZiBqiEZe79nvmcBTUelNjW2/XW2W7YD3KeXrVAxf4yKH2nAQ12B732l0GT8lcrw==" saltValue="Mnpy3NfK2koSJC3CAEs2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vLHzGGyXE7y4xOTj03lR4OI6XXQq9CgcwWhEP4X2wYoA0qCTn0KQCDdd467Kkxkb2QTnagSoXgU4647Dx+XYg==" saltValue="Srze3e/GW/qgVW5vhA0o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f+9tRJFT+ZzhXx8yByMCqUegyVIUxLdVbpN/njUNTpicYND86LhRO2aY+ptZ3v1C50QO1DEp5e+QQa+ATrvJA==" saltValue="2B64df2tDcUSfFAx4j3P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npM5y5cHRtJQLfixSBAa8S3+XxnET6zIb2zdle19EoiGjmjiA+it23qrzYsvT8ZCbfOFG42DRLoDjZsAIgB8w==" saltValue="dkq3OSJUYv2GoeHehFb5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3WPvHeVJ/oxCR+giAJ/OfLj/2C0KmmsIMg3Lhpe7cI9rnSJ8Ki5K30Lt8ar+dm+nxJ557MoRso5hVVbAICqffw==" saltValue="AKdXN1FWF6jkEGUJ/3lV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amFA75uVcBbXIU/KCMoBKCytXllB4nN2igh3rtTg3aBaWwVJrKV0i4Grtrmz+l+asJbPHKXLDaST2sbLeREWg==" saltValue="NoUDNZe9GeyStiSobCrn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