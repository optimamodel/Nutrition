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4D1CC154-99AE-4DAE-B2A0-CA363AC3F9D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A25" i="2"/>
  <c r="A26" i="2"/>
  <c r="I9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<sst xmlns="http://schemas.openxmlformats.org/spreadsheetml/2006/main" count="2159" uniqueCount="368">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</sst>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4532514.5</v>
      </c>
    </row>
    <row r="8" spans="1:3" ht="15" customHeight="1" x14ac:dyDescent="0.25">
      <c r="B8" s="5" t="s">
        <v>37</v>
      </c>
      <c r="C8" s="44">
        <v>0.621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0.90041511535644503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9.3399999999999997E-2</v>
      </c>
    </row>
    <row r="24" spans="1:3" ht="15" customHeight="1" x14ac:dyDescent="0.25">
      <c r="B24" s="15" t="s">
        <v>51</v>
      </c>
      <c r="C24" s="45">
        <v>0.65379999999999994</v>
      </c>
    </row>
    <row r="25" spans="1:3" ht="15" customHeight="1" x14ac:dyDescent="0.25">
      <c r="B25" s="15" t="s">
        <v>52</v>
      </c>
      <c r="C25" s="45">
        <v>0.23599999999999999</v>
      </c>
    </row>
    <row r="26" spans="1:3" ht="15" customHeight="1" x14ac:dyDescent="0.25">
      <c r="B26" s="15" t="s">
        <v>53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0.305826683497959</v>
      </c>
    </row>
    <row r="30" spans="1:3" ht="14.25" customHeight="1" x14ac:dyDescent="0.25">
      <c r="B30" s="25" t="s">
        <v>56</v>
      </c>
      <c r="C30" s="99">
        <v>8.0334841914884408E-2</v>
      </c>
    </row>
    <row r="31" spans="1:3" ht="14.25" customHeight="1" x14ac:dyDescent="0.25">
      <c r="B31" s="25" t="s">
        <v>57</v>
      </c>
      <c r="C31" s="99">
        <v>0.12438567345943199</v>
      </c>
    </row>
    <row r="32" spans="1:3" ht="14.25" customHeight="1" x14ac:dyDescent="0.25">
      <c r="B32" s="25" t="s">
        <v>58</v>
      </c>
      <c r="C32" s="99">
        <v>0.48945280112772499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7.6795799999999996</v>
      </c>
    </row>
    <row r="38" spans="1:5" ht="15" customHeight="1" x14ac:dyDescent="0.25">
      <c r="B38" s="11" t="s">
        <v>63</v>
      </c>
      <c r="C38" s="43">
        <v>12.565189999999999</v>
      </c>
      <c r="D38" s="12"/>
      <c r="E38" s="13"/>
    </row>
    <row r="39" spans="1:5" ht="15" customHeight="1" x14ac:dyDescent="0.25">
      <c r="B39" s="11" t="s">
        <v>64</v>
      </c>
      <c r="C39" s="43">
        <v>14.06606</v>
      </c>
      <c r="D39" s="12"/>
      <c r="E39" s="12"/>
    </row>
    <row r="40" spans="1:5" ht="15" customHeight="1" x14ac:dyDescent="0.25">
      <c r="B40" s="11" t="s">
        <v>65</v>
      </c>
      <c r="C40" s="100">
        <v>0.3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5.9385999999999996E-3</v>
      </c>
      <c r="D45" s="12"/>
    </row>
    <row r="46" spans="1:5" ht="15.75" customHeight="1" x14ac:dyDescent="0.25">
      <c r="B46" s="11" t="s">
        <v>70</v>
      </c>
      <c r="C46" s="45">
        <v>6.3809699999999997E-2</v>
      </c>
      <c r="D46" s="12"/>
    </row>
    <row r="47" spans="1:5" ht="15.75" customHeight="1" x14ac:dyDescent="0.25">
      <c r="B47" s="11" t="s">
        <v>71</v>
      </c>
      <c r="C47" s="45">
        <v>7.5353900000000001E-2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0.59351200000000004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BbqwK4CzSrdhvpAQuGIruU0+dZVlgcuYdQeBwB/NNdvgqQNkea9OC/9SUVe2dLkhWXYUfKM/jyvYGdPI4Su1wQ==" saltValue="6EAGT9alIHpJ2XCQWLMQ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929292</v>
      </c>
      <c r="C2" s="49">
        <v>1353663</v>
      </c>
      <c r="D2" s="49">
        <v>2584046.0000000005</v>
      </c>
      <c r="E2" s="49">
        <v>2926165</v>
      </c>
      <c r="F2" s="49">
        <v>2136783</v>
      </c>
      <c r="G2" s="17">
        <f t="shared" ref="G2:G13" si="0">C2+D2+E2+F2</f>
        <v>9000657</v>
      </c>
      <c r="H2" s="17">
        <f t="shared" ref="H2:H13" si="1">(B2 + stillbirth*B2/(1000-stillbirth))/(1-abortion)</f>
        <v>1062248.6001244409</v>
      </c>
      <c r="I2" s="17">
        <f t="shared" ref="I2:I13" si="2">G2-H2</f>
        <v>7938408.3998755589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911213</v>
      </c>
      <c r="C3" s="50">
        <v>1405256.5</v>
      </c>
      <c r="D3" s="50">
        <v>2532712.5</v>
      </c>
      <c r="E3" s="50">
        <v>2947605.5</v>
      </c>
      <c r="F3" s="50">
        <v>2213733</v>
      </c>
      <c r="G3" s="17">
        <f t="shared" si="0"/>
        <v>9099307.5</v>
      </c>
      <c r="H3" s="17">
        <f t="shared" si="1"/>
        <v>1041582.9832444398</v>
      </c>
      <c r="I3" s="17">
        <f t="shared" si="2"/>
        <v>8057724.5167555604</v>
      </c>
    </row>
    <row r="4" spans="1:9" ht="15.75" customHeight="1" x14ac:dyDescent="0.25">
      <c r="A4" s="5">
        <f t="shared" si="3"/>
        <v>2026</v>
      </c>
      <c r="B4" s="49">
        <v>894379</v>
      </c>
      <c r="C4" s="50">
        <v>1448170.5</v>
      </c>
      <c r="D4" s="50">
        <v>2492321.5</v>
      </c>
      <c r="E4" s="50">
        <v>2952274.0000000005</v>
      </c>
      <c r="F4" s="50">
        <v>2298902.5</v>
      </c>
      <c r="G4" s="17">
        <f t="shared" si="0"/>
        <v>9191668.5</v>
      </c>
      <c r="H4" s="17">
        <f t="shared" si="1"/>
        <v>1022340.4922572208</v>
      </c>
      <c r="I4" s="17">
        <f t="shared" si="2"/>
        <v>8169328.0077427793</v>
      </c>
    </row>
    <row r="5" spans="1:9" ht="15.75" customHeight="1" x14ac:dyDescent="0.25">
      <c r="A5" s="5">
        <f t="shared" si="3"/>
        <v>2027</v>
      </c>
      <c r="B5" s="49">
        <v>881880</v>
      </c>
      <c r="C5" s="50">
        <v>1477142.5</v>
      </c>
      <c r="D5" s="50">
        <v>2477961.5000000005</v>
      </c>
      <c r="E5" s="50">
        <v>2939273.5000000005</v>
      </c>
      <c r="F5" s="50">
        <v>2387910.5</v>
      </c>
      <c r="G5" s="17">
        <f t="shared" si="0"/>
        <v>9282288</v>
      </c>
      <c r="H5" s="17">
        <f t="shared" si="1"/>
        <v>1008053.2227520971</v>
      </c>
      <c r="I5" s="17">
        <f t="shared" si="2"/>
        <v>8274234.7772479029</v>
      </c>
    </row>
    <row r="6" spans="1:9" ht="15.75" customHeight="1" x14ac:dyDescent="0.25">
      <c r="A6" s="5">
        <f t="shared" si="3"/>
        <v>2028</v>
      </c>
      <c r="B6" s="49">
        <v>872359</v>
      </c>
      <c r="C6" s="50">
        <v>1499598.5</v>
      </c>
      <c r="D6" s="50">
        <v>2495352.5</v>
      </c>
      <c r="E6" s="50">
        <v>2914077</v>
      </c>
      <c r="F6" s="50">
        <v>2473071.5</v>
      </c>
      <c r="G6" s="17">
        <f t="shared" si="0"/>
        <v>9382099.5</v>
      </c>
      <c r="H6" s="17">
        <f t="shared" si="1"/>
        <v>997170.02465958719</v>
      </c>
      <c r="I6" s="17">
        <f t="shared" si="2"/>
        <v>8384929.4753404129</v>
      </c>
    </row>
    <row r="7" spans="1:9" ht="15.75" customHeight="1" x14ac:dyDescent="0.25">
      <c r="A7" s="5">
        <f t="shared" si="3"/>
        <v>2029</v>
      </c>
      <c r="B7" s="49">
        <v>864944</v>
      </c>
      <c r="C7" s="50">
        <v>1529797.5</v>
      </c>
      <c r="D7" s="50">
        <v>2535561.5</v>
      </c>
      <c r="E7" s="50">
        <v>2879735.5</v>
      </c>
      <c r="F7" s="50">
        <v>2551100</v>
      </c>
      <c r="G7" s="17">
        <f t="shared" si="0"/>
        <v>9496194.5</v>
      </c>
      <c r="H7" s="17">
        <f t="shared" si="1"/>
        <v>988694.13831824041</v>
      </c>
      <c r="I7" s="17">
        <f t="shared" si="2"/>
        <v>8507500.3616817594</v>
      </c>
    </row>
    <row r="8" spans="1:9" ht="15.75" customHeight="1" x14ac:dyDescent="0.25">
      <c r="A8" s="5">
        <f t="shared" si="3"/>
        <v>2030</v>
      </c>
      <c r="B8" s="49">
        <v>859689</v>
      </c>
      <c r="C8" s="50">
        <v>1572467.5</v>
      </c>
      <c r="D8" s="50">
        <v>2585301</v>
      </c>
      <c r="E8" s="50">
        <v>2831749.5</v>
      </c>
      <c r="F8" s="50">
        <v>2626655.5</v>
      </c>
      <c r="G8" s="17">
        <f t="shared" si="0"/>
        <v>9616173.5</v>
      </c>
      <c r="H8" s="17">
        <f t="shared" si="1"/>
        <v>982687.28967039462</v>
      </c>
      <c r="I8" s="17">
        <f t="shared" si="2"/>
        <v>8633486.2103296053</v>
      </c>
    </row>
    <row r="9" spans="1:9" ht="15.75" customHeight="1" x14ac:dyDescent="0.25">
      <c r="A9" s="5">
        <f t="shared" si="3"/>
        <v>2031</v>
      </c>
      <c r="B9" s="49">
        <v>855161</v>
      </c>
      <c r="C9" s="50">
        <v>1621930.5</v>
      </c>
      <c r="D9" s="50">
        <v>2637468.5</v>
      </c>
      <c r="E9" s="50">
        <v>2767270.5</v>
      </c>
      <c r="F9" s="50">
        <v>2705511</v>
      </c>
      <c r="G9" s="17">
        <f t="shared" si="0"/>
        <v>9732180.5</v>
      </c>
      <c r="H9" s="17">
        <f t="shared" si="1"/>
        <v>977511.45509809279</v>
      </c>
      <c r="I9" s="17">
        <f t="shared" si="2"/>
        <v>8754669.0449019074</v>
      </c>
    </row>
    <row r="10" spans="1:9" ht="15.75" customHeight="1" x14ac:dyDescent="0.25">
      <c r="A10" s="5">
        <f t="shared" si="3"/>
        <v>2032</v>
      </c>
      <c r="B10" s="49">
        <v>851864</v>
      </c>
      <c r="C10" s="50">
        <v>1670227</v>
      </c>
      <c r="D10" s="50">
        <v>2692181.4999999995</v>
      </c>
      <c r="E10" s="50">
        <v>2696521.5</v>
      </c>
      <c r="F10" s="50">
        <v>2781294</v>
      </c>
      <c r="G10" s="17">
        <f t="shared" si="0"/>
        <v>9840224</v>
      </c>
      <c r="H10" s="17">
        <f t="shared" si="1"/>
        <v>973742.74339648534</v>
      </c>
      <c r="I10" s="17">
        <f t="shared" si="2"/>
        <v>8866481.2566035148</v>
      </c>
    </row>
    <row r="11" spans="1:9" ht="15.75" customHeight="1" x14ac:dyDescent="0.25">
      <c r="A11" s="5">
        <f t="shared" si="3"/>
        <v>2033</v>
      </c>
      <c r="B11" s="49">
        <v>850842</v>
      </c>
      <c r="C11" s="50">
        <v>1716187.5</v>
      </c>
      <c r="D11" s="50">
        <v>2759478.5</v>
      </c>
      <c r="E11" s="50">
        <v>2629085.5</v>
      </c>
      <c r="F11" s="50">
        <v>2843047</v>
      </c>
      <c r="G11" s="17">
        <f t="shared" si="0"/>
        <v>9947798.5</v>
      </c>
      <c r="H11" s="17">
        <f t="shared" si="1"/>
        <v>972574.52278409735</v>
      </c>
      <c r="I11" s="17">
        <f t="shared" si="2"/>
        <v>8975223.9772159029</v>
      </c>
    </row>
    <row r="12" spans="1:9" ht="15.75" customHeight="1" x14ac:dyDescent="0.25">
      <c r="A12" s="5">
        <f t="shared" si="3"/>
        <v>2034</v>
      </c>
      <c r="B12" s="49">
        <v>851642</v>
      </c>
      <c r="C12" s="50">
        <v>1762079</v>
      </c>
      <c r="D12" s="50">
        <v>2843484.9999999995</v>
      </c>
      <c r="E12" s="50">
        <v>2570953.9999999995</v>
      </c>
      <c r="F12" s="50">
        <v>2883655.5</v>
      </c>
      <c r="G12" s="17">
        <f t="shared" si="0"/>
        <v>10060173.5</v>
      </c>
      <c r="H12" s="17">
        <f t="shared" si="1"/>
        <v>973488.98118909774</v>
      </c>
      <c r="I12" s="17">
        <f t="shared" si="2"/>
        <v>9086684.5188109018</v>
      </c>
    </row>
    <row r="13" spans="1:9" ht="15.75" customHeight="1" x14ac:dyDescent="0.25">
      <c r="A13" s="5">
        <f t="shared" si="3"/>
        <v>2035</v>
      </c>
      <c r="B13" s="49">
        <v>855103</v>
      </c>
      <c r="C13" s="50">
        <v>1815421.5</v>
      </c>
      <c r="D13" s="50">
        <v>2937148</v>
      </c>
      <c r="E13" s="50">
        <v>2521215</v>
      </c>
      <c r="F13" s="50">
        <v>2905680</v>
      </c>
      <c r="G13" s="17">
        <f t="shared" si="0"/>
        <v>10179464.5</v>
      </c>
      <c r="H13" s="17">
        <f t="shared" si="1"/>
        <v>977445.1568637304</v>
      </c>
      <c r="I13" s="17">
        <f t="shared" si="2"/>
        <v>9202019.3431362696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jJV+g7o/uJrMf/I1CO9AphGTBVHiVmwahkRQT06opJ4GJ0N+72M26j6wHH5qsFu3G268upghgnk7WYPpU/BPA==" saltValue="tNulIecHnPkkzy/jg4e82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4.4007592784674611E-4</v>
      </c>
    </row>
    <row r="4" spans="1:8" ht="15.75" customHeight="1" x14ac:dyDescent="0.25">
      <c r="B4" s="19" t="s">
        <v>97</v>
      </c>
      <c r="C4" s="101">
        <v>5.7395460468312433E-2</v>
      </c>
    </row>
    <row r="5" spans="1:8" ht="15.75" customHeight="1" x14ac:dyDescent="0.25">
      <c r="B5" s="19" t="s">
        <v>98</v>
      </c>
      <c r="C5" s="101">
        <v>4.4677456143148997E-2</v>
      </c>
    </row>
    <row r="6" spans="1:8" ht="15.75" customHeight="1" x14ac:dyDescent="0.25">
      <c r="B6" s="19" t="s">
        <v>99</v>
      </c>
      <c r="C6" s="101">
        <v>0.17366390058463799</v>
      </c>
    </row>
    <row r="7" spans="1:8" ht="15.75" customHeight="1" x14ac:dyDescent="0.25">
      <c r="B7" s="19" t="s">
        <v>100</v>
      </c>
      <c r="C7" s="101">
        <v>0.43792874529763209</v>
      </c>
    </row>
    <row r="8" spans="1:8" ht="15.75" customHeight="1" x14ac:dyDescent="0.25">
      <c r="B8" s="19" t="s">
        <v>101</v>
      </c>
      <c r="C8" s="101">
        <v>5.1597177634383427E-5</v>
      </c>
    </row>
    <row r="9" spans="1:8" ht="15.75" customHeight="1" x14ac:dyDescent="0.25">
      <c r="B9" s="19" t="s">
        <v>102</v>
      </c>
      <c r="C9" s="101">
        <v>0.2093974459597063</v>
      </c>
    </row>
    <row r="10" spans="1:8" ht="15.75" customHeight="1" x14ac:dyDescent="0.25">
      <c r="B10" s="19" t="s">
        <v>103</v>
      </c>
      <c r="C10" s="101">
        <v>7.6445318441081156E-2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106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107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108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111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112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113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6.9449472999999998E-2</v>
      </c>
    </row>
    <row r="27" spans="1:8" ht="15.75" customHeight="1" x14ac:dyDescent="0.25">
      <c r="B27" s="19" t="s">
        <v>120</v>
      </c>
      <c r="C27" s="101">
        <v>2.9846799E-2</v>
      </c>
    </row>
    <row r="28" spans="1:8" ht="15.75" customHeight="1" x14ac:dyDescent="0.25">
      <c r="B28" s="19" t="s">
        <v>121</v>
      </c>
      <c r="C28" s="101">
        <v>7.5538350000000004E-2</v>
      </c>
    </row>
    <row r="29" spans="1:8" ht="15.75" customHeight="1" x14ac:dyDescent="0.25">
      <c r="B29" s="19" t="s">
        <v>122</v>
      </c>
      <c r="C29" s="101">
        <v>0.20332114100000001</v>
      </c>
    </row>
    <row r="30" spans="1:8" ht="15.75" customHeight="1" x14ac:dyDescent="0.25">
      <c r="B30" s="19" t="s">
        <v>2</v>
      </c>
      <c r="C30" s="101">
        <v>4.5681777999999999E-2</v>
      </c>
    </row>
    <row r="31" spans="1:8" ht="15.75" customHeight="1" x14ac:dyDescent="0.25">
      <c r="B31" s="19" t="s">
        <v>123</v>
      </c>
      <c r="C31" s="101">
        <v>1.9566962E-2</v>
      </c>
    </row>
    <row r="32" spans="1:8" ht="15.75" customHeight="1" x14ac:dyDescent="0.25">
      <c r="B32" s="19" t="s">
        <v>124</v>
      </c>
      <c r="C32" s="101">
        <v>8.5306862999999997E-2</v>
      </c>
    </row>
    <row r="33" spans="2:3" ht="15.75" customHeight="1" x14ac:dyDescent="0.25">
      <c r="B33" s="19" t="s">
        <v>125</v>
      </c>
      <c r="C33" s="101">
        <v>0.392452888</v>
      </c>
    </row>
    <row r="34" spans="2:3" ht="15.75" customHeight="1" x14ac:dyDescent="0.25">
      <c r="B34" s="19" t="s">
        <v>126</v>
      </c>
      <c r="C34" s="101">
        <v>7.8835746999999998E-2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MrNr5RtHDFFo07y68bAsd47J1KRf6f/thrstcJaVoxrDgxR9FntkuA4LIdRNaPMtK6W/9MMsxOglxDCmAcws8g==" saltValue="PH82KXhusa/7Hh6PJouN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132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133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137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138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1+pQu5BOClBqjcgD5/4/GNLmh0AKdDcB7b8eY70orvcHooXrzCGDpCz1QX0w2Pwx3lt5kxyL2zvHz306zOmTQ==" saltValue="LEGEQrmmQTenOSiCChbn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2.345699999999995E-2</v>
      </c>
      <c r="D5" s="52">
        <f t="shared" si="0"/>
        <v>9.3364800000000026E-2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NdIqkiF1XOUpO/3fFkmLlOkBEqnY6QUMwppe55PgKD0Om5sm2bHapHzenoykkjtFoIRG28r10CfCeRc6lwRpcA==" saltValue="Qy/dt29qrsj+Fpar/M2S6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o0dZe3UqQ5oW+b5ZhlC+ws2UTOBYTz2iSaavzMRJ81hqOunNKDsB0gQQeS6QoqKT6k+joB55cUaq2yfE4oqTg==" saltValue="teJZZxoJjqnRI3PH299T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2255.1511549677198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0.46069000000000004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0.435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2.1279788177068569E-2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98275.212390000001</v>
      </c>
      <c r="C22" s="109">
        <v>98094.732669999998</v>
      </c>
      <c r="D22" s="109">
        <v>97905.343120000005</v>
      </c>
      <c r="E22" s="109">
        <v>97549.245630000005</v>
      </c>
      <c r="F22" s="109">
        <v>97145.366559999995</v>
      </c>
      <c r="G22" s="109">
        <v>96705.299660000004</v>
      </c>
      <c r="H22" s="109">
        <v>96136.363230000003</v>
      </c>
      <c r="I22" s="109">
        <v>95272.509839999999</v>
      </c>
      <c r="J22" s="109">
        <v>94077.053740000003</v>
      </c>
      <c r="K22" s="109">
        <v>92214.830979999999</v>
      </c>
      <c r="L22" s="109">
        <v>89415.223240000007</v>
      </c>
      <c r="M22" s="109">
        <v>84716.518179999999</v>
      </c>
      <c r="N22" s="109">
        <v>78642.434909999996</v>
      </c>
      <c r="O22" s="109">
        <v>67126.741980000006</v>
      </c>
    </row>
  </sheetData>
  <sheetProtection algorithmName="SHA-512" hashValue="Ej3pC7lCmklltKR6R1V7dyiqlagojFrS4R0qIVJOIGiMMIWzcZjfP2RI2A5stUHLV7EoWotsa0vy8BNOt42F7w==" saltValue="nwk7LTv4NplPp2e1X3dCR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b+WmQ72Zu9FT6Bm+d9IarriZUVNKR0O/CnNIy8mvZVdl1S7lcoDgNv9qzvHYz9jvxFlfT2QW4jA9njjBHbKEGQ==" saltValue="jd7Utu0eAMlv8AzT+/2q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edrl4DEUWbwH0p1sfU/1u1FuGybQ8REZ1G+i08Uq7z/SgvUfqCffxFv2F6MuqHrbg4hxhndg9wjlCIlJARANsg==" saltValue="dFC+dXmOw3mF//7YAml7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12.008526100307062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12.008526100307062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8.8894216990788131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0.40262538382804508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13.699227061288489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13.699227061288489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13.699227061288489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13.699227061288489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13.699227061288489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13.699227061288489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0.76225600000000004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0.2368297</v>
      </c>
      <c r="C18" s="98">
        <v>0.95</v>
      </c>
      <c r="D18" s="56">
        <v>8.8894216990788131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0.2368297</v>
      </c>
      <c r="C19" s="98">
        <v>0.95</v>
      </c>
      <c r="D19" s="56">
        <v>4.9270454148954128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8.8894216990788131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4.5607388970998564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0.70884126301032002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5.1498336745138182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11.470990276356194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0.67195470000000002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0.56111960000000005</v>
      </c>
      <c r="C29" s="98">
        <v>0.95</v>
      </c>
      <c r="D29" s="56">
        <v>84.046606343271279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170.92419651995908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0.99</v>
      </c>
      <c r="C32" s="98">
        <v>0.95</v>
      </c>
      <c r="D32" s="56">
        <v>1.1057036847492325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0.8162645999999999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0.7434151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5.2288500000000002E-2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0.72948809999999997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0.1601621</v>
      </c>
      <c r="C38" s="98">
        <v>0.95</v>
      </c>
      <c r="D38" s="56">
        <v>2.6374181166837261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ycUZdnAZdkx8FQrdSC5EDOJGzdzafqNEguu49hDBez46kM0HZ1WBxia3+M5x4Bvo/Bb646/ZqqnVIfmHhxwxYA==" saltValue="9+1ia7HirJBu/YBfFIQo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uL6AK4gycIbWIkXoqOjiweSpuh7is8JjLmBgzEeg4i0JNaaLiOTD0WNQUkxM0/cORjGV/2Su9njVle2mzlWzw==" saltValue="wwAq2WCDpMFOD12SYLJB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JFnVH4irumlkW/AcDCjtpAMviRWC3MIox0XJsB7YGMMey2NAkMX04Iazf3pqZhi0HgfOkrWxQFYRc8hUl49gQ==" saltValue="anAbbC18k46Eh1zKdW1J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237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sheetProtection algorithmName="SHA-512" hashValue="ouDCG6Fwg3Kismx2cbOvcjRxHreiisEbkl+0yB05JbSdVX326I8qnzwrH7R7tbdhTdvJzQmIKI60YbXnjIYb2A==" saltValue="EJ9hJ8mRHHve1fCB42ND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0.621</v>
      </c>
      <c r="F2" s="60">
        <f>food_insecure</f>
        <v>0.621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0.621</v>
      </c>
      <c r="I15" s="60">
        <f t="shared" si="0"/>
        <v>0.621</v>
      </c>
      <c r="J15" s="60">
        <f t="shared" si="0"/>
        <v>0.621</v>
      </c>
      <c r="K15" s="60">
        <f t="shared" si="0"/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0.621</v>
      </c>
      <c r="I16" s="60">
        <f t="shared" si="0"/>
        <v>0.621</v>
      </c>
      <c r="J16" s="60">
        <f t="shared" si="0"/>
        <v>0.621</v>
      </c>
      <c r="K16" s="60">
        <f t="shared" si="0"/>
        <v>0.621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0LbDf+4h2wlzFbKJHIVM1kYFcmeRq3YugLIOehMPWPW5xFXe36vjyoslE8Cr4nuTK/INrMu8FjPEFxslsNxKA==" saltValue="KzhBits40QTB7f32Slxn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n0GxGo4Lbl71SHOyc4XxQr8s9VpTyzt1fZLiSA9ONXogrPF37uPJKGtOZeLCC6FgHwZpH8jI5UrNUs3wjdFRUA==" saltValue="xElQe190qifFk5T/bk5n2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E0KstPfGT+KfVhMB3nJqiR79UeFu2SZJn7G1rLWd8RK1lnaLXG54L9jED+8CZIdvpkNZD4oQb7y3JPlErJMjQ==" saltValue="D9gptkL+b1BubYt5NnU10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FT/mvp+EGOwHLVINtgjmTCoHDdsIiJLaBhnwWgDwjtDeoUPsVLonwg1RJvWD2AdaGZrKavN8gR78bfoGforkA==" saltValue="i3ebWOhuOQyQytjHsfTg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Dx6FUvoFAjZAClvXaJwpP7O5i1MzRCUEAWQxs6j3XwX/FqOp4fINqPyMITrnCzXRx+7vO7rUTwtHbwgxYQgetQ==" saltValue="mwQgC+aXvwVF8xvY4rlH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oEhXR1tG3JoU0knDEt93lrA9SfV/j5m4VyQH6ePTaqezhLUf22L/857fHz7E9PBkTkXzXqoeMNQDodLyWOI77Q==" saltValue="jA+UUnyfpttUWRubn/Yy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ipkKcgadph138N2yp7i+z2jqU+/Lvwa5ltwf1x/tvABACkJRgd//pjN0sjsgMRfgVDA08D3tlA0VEBSDEBcqQ==" saltValue="KLCz64+MfHKUkufLvtrJv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qX+QqPqWT8Qs4Jh8H7qSAXVZrDrEuLpPpb6epdPQDqqtsD34b4C6RowiqWISu2XR1NZtVWvR6rU9ZUTG+P2KA==" saltValue="q8bpkQcQN7UHaGAncBfV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9xeFoCMoUY7lHwBgvh2e2mA1heNknzrzVE4rDxZ7ASL4ld8IA04p92nbwEvo/NHMD4AXmqa1bVXXV3wpJreGA==" saltValue="jjPTQ9qGYdmdCLH1Wvx7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//EZSRobUENHs3HHFQ3XX72imroMS+b9rI3dGnnJxuieQhlj4sZW1TQtDmu3bhu68hF16f7oyxDd0Dmt0VWoA==" saltValue="rMJ2wCFgBu4uqfK/aRQR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++TRqhjV3hOsd1Ww64nqIo4pNreisjLWianjzrOCS/8ca9BuAf5BKz0dkIf15Q2n+9kv6tZxYmgzi4SvGLYIw==" saltValue="QRyYbY/RHJIRNbFU9vli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lJ767uMe+mE6PFkdEzVGpDi+KGyNRSfJ8qu3yFkmKyO8i2YRYMXLC+jXULx8GOElK8rWBcUxIjK2rnqC1wVbQ==" saltValue="tWffZtwvzP7u7dGHoKkj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AJ871SWN/BPKz3NHkDlsClrgUHj2CS2wYfcI6KhyjMRck/oov5CgSuYwZgnpdbQM9o7Dff1Uq2kdj06rqYHVg==" saltValue="VpqkACE+rP1MerDc6P6w8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e786XhsWOUdL10twtkTTDeE4tKiHIkTcc9fGQdCFUSdAo+B7HEfud0Uq+AErPXRTYq1tmnrrnL6U+ImgLKXXw==" saltValue="ZmuJKCLjH64WL6QdqAHm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xyAsTPsMZz8Jo/XXP/B1D4u6USAWk4DVxiFpesSbB8yKgnAD1oQmif7UQj8+aTZydmZyAiV2ZPu5gMWEFeQl2A==" saltValue="94juSUNdrno43I9GgWET/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