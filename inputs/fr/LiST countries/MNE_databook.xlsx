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B7668EF8-A9F9-4060-BE6E-52A80138BA7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I39" i="2" s="1"/>
  <c r="G39" i="2"/>
  <c r="H38" i="2"/>
  <c r="G38" i="2"/>
  <c r="I38" i="2" s="1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H3" i="2"/>
  <c r="I3" i="2" s="1"/>
  <c r="G3" i="2"/>
  <c r="H2" i="2"/>
  <c r="G2" i="2"/>
  <c r="I2" i="2" s="1"/>
  <c r="A2" i="2"/>
  <c r="A40" i="2" s="1"/>
  <c r="C33" i="1"/>
  <c r="C20" i="1"/>
  <c r="A37" i="2" l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29" i="2"/>
  <c r="A39" i="2"/>
  <c r="A20" i="2"/>
  <c r="A33" i="2"/>
  <c r="I4" i="2"/>
  <c r="I8" i="2"/>
  <c r="I12" i="2"/>
  <c r="A21" i="2"/>
  <c r="A34" i="2"/>
  <c r="I40" i="2"/>
  <c r="A15" i="2"/>
  <c r="A28" i="2"/>
  <c r="A17" i="2"/>
  <c r="A18" i="2"/>
  <c r="A31" i="2"/>
  <c r="A23" i="2"/>
  <c r="A36" i="2"/>
  <c r="A25" i="2"/>
  <c r="A26" i="2"/>
  <c r="A16" i="2"/>
  <c r="A24" i="2"/>
  <c r="A32" i="2"/>
  <c r="A19" i="2"/>
  <c r="A27" i="2"/>
  <c r="A35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<sst xmlns="http://schemas.openxmlformats.org/spreadsheetml/2006/main" count="2101" uniqueCount="337">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</sst>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33985.198974609397</v>
      </c>
    </row>
    <row r="8" spans="1:3" ht="15" customHeight="1" x14ac:dyDescent="0.25">
      <c r="B8" s="5" t="s">
        <v>19</v>
      </c>
      <c r="C8" s="44">
        <v>1.7000000000000001E-2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0.89240097045898392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0.65900000000000003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3.6700000000000003E-2</v>
      </c>
    </row>
    <row r="24" spans="1:3" ht="15" customHeight="1" x14ac:dyDescent="0.25">
      <c r="B24" s="15" t="s">
        <v>33</v>
      </c>
      <c r="C24" s="45">
        <v>0.53120000000000001</v>
      </c>
    </row>
    <row r="25" spans="1:3" ht="15" customHeight="1" x14ac:dyDescent="0.25">
      <c r="B25" s="15" t="s">
        <v>34</v>
      </c>
      <c r="C25" s="45">
        <v>0.40350000000000003</v>
      </c>
    </row>
    <row r="26" spans="1:3" ht="15" customHeight="1" x14ac:dyDescent="0.25">
      <c r="B26" s="15" t="s">
        <v>35</v>
      </c>
      <c r="C26" s="45">
        <v>2.86E-2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0.443381353500297</v>
      </c>
    </row>
    <row r="30" spans="1:3" ht="14.25" customHeight="1" x14ac:dyDescent="0.25">
      <c r="B30" s="25" t="s">
        <v>38</v>
      </c>
      <c r="C30" s="99">
        <v>5.9529082105141198E-2</v>
      </c>
    </row>
    <row r="31" spans="1:3" ht="14.25" customHeight="1" x14ac:dyDescent="0.25">
      <c r="B31" s="25" t="s">
        <v>39</v>
      </c>
      <c r="C31" s="99">
        <v>6.7946136004371396E-2</v>
      </c>
    </row>
    <row r="32" spans="1:3" ht="14.25" customHeight="1" x14ac:dyDescent="0.25">
      <c r="B32" s="25" t="s">
        <v>40</v>
      </c>
      <c r="C32" s="99">
        <v>0.42914342839018998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0.96101999999999999</v>
      </c>
    </row>
    <row r="38" spans="1:5" ht="15" customHeight="1" x14ac:dyDescent="0.25">
      <c r="B38" s="11" t="s">
        <v>45</v>
      </c>
      <c r="C38" s="43">
        <v>1.9053599999999999</v>
      </c>
      <c r="D38" s="12"/>
      <c r="E38" s="13"/>
    </row>
    <row r="39" spans="1:5" ht="15" customHeight="1" x14ac:dyDescent="0.25">
      <c r="B39" s="11" t="s">
        <v>46</v>
      </c>
      <c r="C39" s="43">
        <v>2.26294</v>
      </c>
      <c r="D39" s="12"/>
      <c r="E39" s="12"/>
    </row>
    <row r="40" spans="1:5" ht="15" customHeight="1" x14ac:dyDescent="0.25">
      <c r="B40" s="11" t="s">
        <v>47</v>
      </c>
      <c r="C40" s="100">
        <v>0.06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3.3729499999999999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5.9347000000000002E-3</v>
      </c>
      <c r="D45" s="12"/>
    </row>
    <row r="46" spans="1:5" ht="15.75" customHeight="1" x14ac:dyDescent="0.25">
      <c r="B46" s="11" t="s">
        <v>52</v>
      </c>
      <c r="C46" s="45">
        <v>6.3767500000000005E-2</v>
      </c>
      <c r="D46" s="12"/>
    </row>
    <row r="47" spans="1:5" ht="15.75" customHeight="1" x14ac:dyDescent="0.25">
      <c r="B47" s="11" t="s">
        <v>53</v>
      </c>
      <c r="C47" s="45">
        <v>7.53577E-2</v>
      </c>
      <c r="D47" s="12"/>
      <c r="E47" s="13"/>
    </row>
    <row r="48" spans="1:5" ht="15" customHeight="1" x14ac:dyDescent="0.25">
      <c r="B48" s="11" t="s">
        <v>54</v>
      </c>
      <c r="C48" s="46">
        <v>0.85494009999999998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0.62463999999999997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5.4530763999999898E-2</v>
      </c>
    </row>
    <row r="63" spans="1:4" ht="15.75" customHeight="1" x14ac:dyDescent="0.3">
      <c r="A63" s="4"/>
    </row>
  </sheetData>
  <sheetProtection algorithmName="SHA-512" hashValue="lOS6Y2h0Cz+fZ8fcJHW/KQ9/Dmri6AQ4Xxub4YS92p12G6V3pnFYf0YmsWbySG+PnEe4FRuDulKYz3H3iXOkAg==" saltValue="CQEZBAj0VlOEVKUij3f5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6707</v>
      </c>
      <c r="C2" s="49">
        <v>22235.5</v>
      </c>
      <c r="D2" s="49">
        <v>39059.5</v>
      </c>
      <c r="E2" s="49">
        <v>41160.5</v>
      </c>
      <c r="F2" s="49">
        <v>39869</v>
      </c>
      <c r="G2" s="17">
        <f t="shared" ref="G2:G13" si="0">C2+D2+E2+F2</f>
        <v>142324.5</v>
      </c>
      <c r="H2" s="17">
        <f t="shared" ref="H2:H13" si="1">(B2 + stillbirth*B2/(1000-stillbirth))/(1-abortion)</f>
        <v>7647.3851568557257</v>
      </c>
      <c r="I2" s="17">
        <f t="shared" ref="I2:I13" si="2">G2-H2</f>
        <v>134677.11484314429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6635</v>
      </c>
      <c r="C3" s="50">
        <v>22376</v>
      </c>
      <c r="D3" s="50">
        <v>38399.5</v>
      </c>
      <c r="E3" s="50">
        <v>40790.5</v>
      </c>
      <c r="F3" s="50">
        <v>40054</v>
      </c>
      <c r="G3" s="17">
        <f t="shared" si="0"/>
        <v>141620</v>
      </c>
      <c r="H3" s="17">
        <f t="shared" si="1"/>
        <v>7565.2900724225046</v>
      </c>
      <c r="I3" s="17">
        <f t="shared" si="2"/>
        <v>134054.7099275775</v>
      </c>
    </row>
    <row r="4" spans="1:9" ht="15.75" customHeight="1" x14ac:dyDescent="0.25">
      <c r="A4" s="5">
        <f t="shared" si="3"/>
        <v>2026</v>
      </c>
      <c r="B4" s="49">
        <v>6568</v>
      </c>
      <c r="C4" s="50">
        <v>22428.5</v>
      </c>
      <c r="D4" s="50">
        <v>37717</v>
      </c>
      <c r="E4" s="50">
        <v>40484.5</v>
      </c>
      <c r="F4" s="50">
        <v>40091.5</v>
      </c>
      <c r="G4" s="17">
        <f t="shared" si="0"/>
        <v>140721.5</v>
      </c>
      <c r="H4" s="17">
        <f t="shared" si="1"/>
        <v>7488.8960355193685</v>
      </c>
      <c r="I4" s="17">
        <f t="shared" si="2"/>
        <v>133232.60396448063</v>
      </c>
    </row>
    <row r="5" spans="1:9" ht="15.75" customHeight="1" x14ac:dyDescent="0.25">
      <c r="A5" s="5">
        <f t="shared" si="3"/>
        <v>2027</v>
      </c>
      <c r="B5" s="49">
        <v>6472</v>
      </c>
      <c r="C5" s="50">
        <v>22437</v>
      </c>
      <c r="D5" s="50">
        <v>37285</v>
      </c>
      <c r="E5" s="50">
        <v>40088.5</v>
      </c>
      <c r="F5" s="50">
        <v>39988.5</v>
      </c>
      <c r="G5" s="17">
        <f t="shared" si="0"/>
        <v>139799</v>
      </c>
      <c r="H5" s="17">
        <f t="shared" si="1"/>
        <v>7379.4359229417405</v>
      </c>
      <c r="I5" s="17">
        <f t="shared" si="2"/>
        <v>132419.56407705825</v>
      </c>
    </row>
    <row r="6" spans="1:9" ht="15.75" customHeight="1" x14ac:dyDescent="0.25">
      <c r="A6" s="5">
        <f t="shared" si="3"/>
        <v>2028</v>
      </c>
      <c r="B6" s="49">
        <v>6423</v>
      </c>
      <c r="C6" s="50">
        <v>22315.5</v>
      </c>
      <c r="D6" s="50">
        <v>37078.5</v>
      </c>
      <c r="E6" s="50">
        <v>39735</v>
      </c>
      <c r="F6" s="50">
        <v>39767</v>
      </c>
      <c r="G6" s="17">
        <f t="shared" si="0"/>
        <v>138896</v>
      </c>
      <c r="H6" s="17">
        <f t="shared" si="1"/>
        <v>7323.5656571469099</v>
      </c>
      <c r="I6" s="17">
        <f t="shared" si="2"/>
        <v>131572.43434285308</v>
      </c>
    </row>
    <row r="7" spans="1:9" ht="15.75" customHeight="1" x14ac:dyDescent="0.25">
      <c r="A7" s="5">
        <f t="shared" si="3"/>
        <v>2029</v>
      </c>
      <c r="B7" s="49">
        <v>6367</v>
      </c>
      <c r="C7" s="50">
        <v>22093.5</v>
      </c>
      <c r="D7" s="50">
        <v>37029.499999999993</v>
      </c>
      <c r="E7" s="50">
        <v>39466.5</v>
      </c>
      <c r="F7" s="50">
        <v>39417.5</v>
      </c>
      <c r="G7" s="17">
        <f t="shared" si="0"/>
        <v>138007</v>
      </c>
      <c r="H7" s="17">
        <f t="shared" si="1"/>
        <v>7259.7139248099602</v>
      </c>
      <c r="I7" s="17">
        <f t="shared" si="2"/>
        <v>130747.28607519004</v>
      </c>
    </row>
    <row r="8" spans="1:9" ht="15.75" customHeight="1" x14ac:dyDescent="0.25">
      <c r="A8" s="5">
        <f t="shared" si="3"/>
        <v>2030</v>
      </c>
      <c r="B8" s="49">
        <v>6309</v>
      </c>
      <c r="C8" s="50">
        <v>21839.5</v>
      </c>
      <c r="D8" s="50">
        <v>37011.5</v>
      </c>
      <c r="E8" s="50">
        <v>39284</v>
      </c>
      <c r="F8" s="50">
        <v>38901.5</v>
      </c>
      <c r="G8" s="17">
        <f t="shared" si="0"/>
        <v>137036.5</v>
      </c>
      <c r="H8" s="17">
        <f t="shared" si="1"/>
        <v>7193.5817734609764</v>
      </c>
      <c r="I8" s="17">
        <f t="shared" si="2"/>
        <v>129842.91822653903</v>
      </c>
    </row>
    <row r="9" spans="1:9" ht="15.75" customHeight="1" x14ac:dyDescent="0.25">
      <c r="A9" s="5">
        <f t="shared" si="3"/>
        <v>2031</v>
      </c>
      <c r="B9" s="49">
        <v>6252</v>
      </c>
      <c r="C9" s="50">
        <v>21779</v>
      </c>
      <c r="D9" s="50">
        <v>36740.5</v>
      </c>
      <c r="E9" s="50">
        <v>39203.5</v>
      </c>
      <c r="F9" s="50">
        <v>38313.5</v>
      </c>
      <c r="G9" s="17">
        <f t="shared" si="0"/>
        <v>136036.5</v>
      </c>
      <c r="H9" s="17">
        <f t="shared" si="1"/>
        <v>7128.5898316180101</v>
      </c>
      <c r="I9" s="17">
        <f t="shared" si="2"/>
        <v>128907.91016838199</v>
      </c>
    </row>
    <row r="10" spans="1:9" ht="15.75" customHeight="1" x14ac:dyDescent="0.25">
      <c r="A10" s="5">
        <f t="shared" si="3"/>
        <v>2032</v>
      </c>
      <c r="B10" s="49">
        <v>6195</v>
      </c>
      <c r="C10" s="50">
        <v>21794.5</v>
      </c>
      <c r="D10" s="50">
        <v>36358.5</v>
      </c>
      <c r="E10" s="50">
        <v>38978.5</v>
      </c>
      <c r="F10" s="50">
        <v>37650.5</v>
      </c>
      <c r="G10" s="17">
        <f t="shared" si="0"/>
        <v>134782</v>
      </c>
      <c r="H10" s="17">
        <f t="shared" si="1"/>
        <v>7063.5978897750438</v>
      </c>
      <c r="I10" s="17">
        <f t="shared" si="2"/>
        <v>127718.40211022495</v>
      </c>
    </row>
    <row r="11" spans="1:9" ht="15.75" customHeight="1" x14ac:dyDescent="0.25">
      <c r="A11" s="5">
        <f t="shared" si="3"/>
        <v>2033</v>
      </c>
      <c r="B11" s="49">
        <v>6131</v>
      </c>
      <c r="C11" s="50">
        <v>21690</v>
      </c>
      <c r="D11" s="50">
        <v>36137.5</v>
      </c>
      <c r="E11" s="50">
        <v>38632</v>
      </c>
      <c r="F11" s="50">
        <v>37030.5</v>
      </c>
      <c r="G11" s="17">
        <f t="shared" si="0"/>
        <v>133490</v>
      </c>
      <c r="H11" s="17">
        <f t="shared" si="1"/>
        <v>6990.6244813899593</v>
      </c>
      <c r="I11" s="17">
        <f t="shared" si="2"/>
        <v>126499.37551861005</v>
      </c>
    </row>
    <row r="12" spans="1:9" ht="15.75" customHeight="1" x14ac:dyDescent="0.25">
      <c r="A12" s="5">
        <f t="shared" si="3"/>
        <v>2034</v>
      </c>
      <c r="B12" s="49">
        <v>6098</v>
      </c>
      <c r="C12" s="50">
        <v>21478.5</v>
      </c>
      <c r="D12" s="50">
        <v>36082.5</v>
      </c>
      <c r="E12" s="50">
        <v>38195.5</v>
      </c>
      <c r="F12" s="50">
        <v>36536</v>
      </c>
      <c r="G12" s="17">
        <f t="shared" si="0"/>
        <v>132292.5</v>
      </c>
      <c r="H12" s="17">
        <f t="shared" si="1"/>
        <v>6952.9975676913991</v>
      </c>
      <c r="I12" s="17">
        <f t="shared" si="2"/>
        <v>125339.5024323086</v>
      </c>
    </row>
    <row r="13" spans="1:9" ht="15.75" customHeight="1" x14ac:dyDescent="0.25">
      <c r="A13" s="5">
        <f t="shared" si="3"/>
        <v>2035</v>
      </c>
      <c r="B13" s="49">
        <v>6050</v>
      </c>
      <c r="C13" s="50">
        <v>21190</v>
      </c>
      <c r="D13" s="50">
        <v>36149.5</v>
      </c>
      <c r="E13" s="50">
        <v>37539</v>
      </c>
      <c r="F13" s="50">
        <v>36097</v>
      </c>
      <c r="G13" s="17">
        <f t="shared" si="0"/>
        <v>130975.5</v>
      </c>
      <c r="H13" s="17">
        <f t="shared" si="1"/>
        <v>6898.2675114025851</v>
      </c>
      <c r="I13" s="17">
        <f t="shared" si="2"/>
        <v>124077.23248859741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1P++S1oypD338XxP3H75aODcexDn8FrS7AegDtbu3y35zRvt3hUN/mvsYcsHdEwIOEZ1ICf3Qrlsl/Ci1DipQ==" saltValue="EAHpYbNxbAxqDDf4Zj45M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3.4142703414270288E-2</v>
      </c>
    </row>
    <row r="5" spans="1:8" ht="15.75" customHeight="1" x14ac:dyDescent="0.25">
      <c r="B5" s="19" t="s">
        <v>80</v>
      </c>
      <c r="C5" s="101">
        <v>3.795040379504043E-2</v>
      </c>
    </row>
    <row r="6" spans="1:8" ht="15.75" customHeight="1" x14ac:dyDescent="0.25">
      <c r="B6" s="19" t="s">
        <v>81</v>
      </c>
      <c r="C6" s="101">
        <v>0.4935597493559748</v>
      </c>
    </row>
    <row r="7" spans="1:8" ht="15.75" customHeight="1" x14ac:dyDescent="0.25">
      <c r="B7" s="19" t="s">
        <v>82</v>
      </c>
      <c r="C7" s="101">
        <v>0.35620743562074381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7.3214107321410649E-2</v>
      </c>
    </row>
    <row r="10" spans="1:8" ht="15.75" customHeight="1" x14ac:dyDescent="0.25">
      <c r="B10" s="19" t="s">
        <v>85</v>
      </c>
      <c r="C10" s="101">
        <v>4.9256004925600444E-3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88</v>
      </c>
      <c r="C15" s="101">
        <v>0.28262021445446389</v>
      </c>
      <c r="D15" s="101">
        <v>0.28262021445446389</v>
      </c>
      <c r="E15" s="101">
        <v>0.28262021445446389</v>
      </c>
      <c r="F15" s="101">
        <v>0.28262021445446389</v>
      </c>
    </row>
    <row r="16" spans="1:8" ht="15.75" customHeight="1" x14ac:dyDescent="0.25">
      <c r="B16" s="19" t="s">
        <v>89</v>
      </c>
      <c r="C16" s="101">
        <v>0.1449917491390243</v>
      </c>
      <c r="D16" s="101">
        <v>0.1449917491390243</v>
      </c>
      <c r="E16" s="101">
        <v>0.1449917491390243</v>
      </c>
      <c r="F16" s="101">
        <v>0.1449917491390243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1.370030254797487E-2</v>
      </c>
      <c r="D20" s="101">
        <v>1.370030254797487E-2</v>
      </c>
      <c r="E20" s="101">
        <v>1.370030254797487E-2</v>
      </c>
      <c r="F20" s="101">
        <v>1.370030254797487E-2</v>
      </c>
    </row>
    <row r="21" spans="1:8" ht="15.75" customHeight="1" x14ac:dyDescent="0.25">
      <c r="B21" s="19" t="s">
        <v>94</v>
      </c>
      <c r="C21" s="101">
        <v>0.25732604138176512</v>
      </c>
      <c r="D21" s="101">
        <v>0.25732604138176512</v>
      </c>
      <c r="E21" s="101">
        <v>0.25732604138176512</v>
      </c>
      <c r="F21" s="101">
        <v>0.25732604138176512</v>
      </c>
    </row>
    <row r="22" spans="1:8" ht="15.75" customHeight="1" x14ac:dyDescent="0.25">
      <c r="B22" s="19" t="s">
        <v>95</v>
      </c>
      <c r="C22" s="101">
        <v>0.3013616924767718</v>
      </c>
      <c r="D22" s="101">
        <v>0.3013616924767718</v>
      </c>
      <c r="E22" s="101">
        <v>0.3013616924767718</v>
      </c>
      <c r="F22" s="101">
        <v>0.3013616924767718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4.1039101000000001E-2</v>
      </c>
    </row>
    <row r="27" spans="1:8" ht="15.75" customHeight="1" x14ac:dyDescent="0.25">
      <c r="B27" s="19" t="s">
        <v>102</v>
      </c>
      <c r="C27" s="101">
        <v>0.311955555</v>
      </c>
    </row>
    <row r="28" spans="1:8" ht="15.75" customHeight="1" x14ac:dyDescent="0.25">
      <c r="B28" s="19" t="s">
        <v>103</v>
      </c>
      <c r="C28" s="101">
        <v>7.1433338999999998E-2</v>
      </c>
    </row>
    <row r="29" spans="1:8" ht="15.75" customHeight="1" x14ac:dyDescent="0.25">
      <c r="B29" s="19" t="s">
        <v>104</v>
      </c>
      <c r="C29" s="101">
        <v>8.7817816000000007E-2</v>
      </c>
    </row>
    <row r="30" spans="1:8" ht="15.75" customHeight="1" x14ac:dyDescent="0.25">
      <c r="B30" s="19" t="s">
        <v>2</v>
      </c>
      <c r="C30" s="101">
        <v>4.5304205E-2</v>
      </c>
    </row>
    <row r="31" spans="1:8" ht="15.75" customHeight="1" x14ac:dyDescent="0.25">
      <c r="B31" s="19" t="s">
        <v>105</v>
      </c>
      <c r="C31" s="101">
        <v>6.0519333000000002E-2</v>
      </c>
    </row>
    <row r="32" spans="1:8" ht="15.75" customHeight="1" x14ac:dyDescent="0.25">
      <c r="B32" s="19" t="s">
        <v>106</v>
      </c>
      <c r="C32" s="101">
        <v>0.111584815</v>
      </c>
    </row>
    <row r="33" spans="2:3" ht="15.75" customHeight="1" x14ac:dyDescent="0.25">
      <c r="B33" s="19" t="s">
        <v>107</v>
      </c>
      <c r="C33" s="101">
        <v>0.13530931600000001</v>
      </c>
    </row>
    <row r="34" spans="2:3" ht="15.75" customHeight="1" x14ac:dyDescent="0.25">
      <c r="B34" s="19" t="s">
        <v>108</v>
      </c>
      <c r="C34" s="101">
        <v>0.13503651999999999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cxVLrES+4jQe6RRGELa6fOhKrH5vld7UpmQ2CX4SU4LSIwxl1cEkxe8VNtn8jnbEUi3KANUmbw6suORAF4tODA==" saltValue="SKhCKMC6SFpX7oyISmj+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0.73379732410774468</v>
      </c>
      <c r="D2" s="52">
        <f>IFERROR(1-_xlfn.NORM.DIST(_xlfn.NORM.INV(SUM(D4:D5), 0, 1) + 1, 0, 1, TRUE), "")</f>
        <v>0.73379732410774468</v>
      </c>
      <c r="E2" s="52">
        <f>IFERROR(1-_xlfn.NORM.DIST(_xlfn.NORM.INV(SUM(E4:E5), 0, 1) + 1, 0, 1, TRUE), "")</f>
        <v>0.84971398857514879</v>
      </c>
      <c r="F2" s="52">
        <f>IFERROR(1-_xlfn.NORM.DIST(_xlfn.NORM.INV(SUM(F4:F5), 0, 1) + 1, 0, 1, TRUE), "")</f>
        <v>0.51602508714629003</v>
      </c>
      <c r="G2" s="52">
        <f>IFERROR(1-_xlfn.NORM.DIST(_xlfn.NORM.INV(SUM(G4:G5), 0, 1) + 1, 0, 1, TRUE), "")</f>
        <v>0.70998917774218107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0.21405087589225538</v>
      </c>
      <c r="D3" s="52">
        <f>IFERROR(_xlfn.NORM.DIST(_xlfn.NORM.INV(SUM(D4:D5), 0, 1) + 1, 0, 1, TRUE) - SUM(D4:D5), "")</f>
        <v>0.21405087589225538</v>
      </c>
      <c r="E3" s="52">
        <f>IFERROR(_xlfn.NORM.DIST(_xlfn.NORM.INV(SUM(E4:E5), 0, 1) + 1, 0, 1, TRUE) - SUM(E4:E5), "")</f>
        <v>0.12937101142485125</v>
      </c>
      <c r="F3" s="52">
        <f>IFERROR(_xlfn.NORM.DIST(_xlfn.NORM.INV(SUM(F4:F5), 0, 1) + 1, 0, 1, TRUE) - SUM(F4:F5), "")</f>
        <v>0.33484671285370993</v>
      </c>
      <c r="G3" s="52">
        <f>IFERROR(_xlfn.NORM.DIST(_xlfn.NORM.INV(SUM(G4:G5), 0, 1) + 1, 0, 1, TRUE) - SUM(G4:G5), "")</f>
        <v>0.22984142225781892</v>
      </c>
    </row>
    <row r="4" spans="1:15" ht="15.75" customHeight="1" x14ac:dyDescent="0.25">
      <c r="B4" s="5" t="s">
        <v>114</v>
      </c>
      <c r="C4" s="45">
        <v>2.89261E-2</v>
      </c>
      <c r="D4" s="53">
        <v>2.89261E-2</v>
      </c>
      <c r="E4" s="53">
        <v>4.0536000000000001E-3</v>
      </c>
      <c r="F4" s="53">
        <v>2.2028599999999999E-2</v>
      </c>
      <c r="G4" s="53">
        <v>5.1829600000000003E-2</v>
      </c>
    </row>
    <row r="5" spans="1:15" ht="15.75" customHeight="1" x14ac:dyDescent="0.25">
      <c r="B5" s="5" t="s">
        <v>115</v>
      </c>
      <c r="C5" s="45">
        <v>2.3225699999999998E-2</v>
      </c>
      <c r="D5" s="53">
        <v>2.3225699999999998E-2</v>
      </c>
      <c r="E5" s="53">
        <v>1.6861399999999999E-2</v>
      </c>
      <c r="F5" s="53">
        <v>0.12709960000000001</v>
      </c>
      <c r="G5" s="53">
        <v>8.3398000000000014E-3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0.62194306958466594</v>
      </c>
      <c r="D8" s="52">
        <f>IFERROR(1-_xlfn.NORM.DIST(_xlfn.NORM.INV(SUM(D10:D11), 0, 1) + 1, 0, 1, TRUE), "")</f>
        <v>0.62194306958466594</v>
      </c>
      <c r="E8" s="52">
        <f>IFERROR(1-_xlfn.NORM.DIST(_xlfn.NORM.INV(SUM(E10:E11), 0, 1) + 1, 0, 1, TRUE), "")</f>
        <v>0.78668978038263804</v>
      </c>
      <c r="F8" s="52">
        <f>IFERROR(1-_xlfn.NORM.DIST(_xlfn.NORM.INV(SUM(F10:F11), 0, 1) + 1, 0, 1, TRUE), "")</f>
        <v>0.91254295194752388</v>
      </c>
      <c r="G8" s="52">
        <f>IFERROR(1-_xlfn.NORM.DIST(_xlfn.NORM.INV(SUM(G10:G11), 0, 1) + 1, 0, 1, TRUE), "")</f>
        <v>0.88141686201740033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0.28305843041533413</v>
      </c>
      <c r="D9" s="52">
        <f>IFERROR(_xlfn.NORM.DIST(_xlfn.NORM.INV(SUM(D10:D11), 0, 1) + 1, 0, 1, TRUE) - SUM(D10:D11), "")</f>
        <v>0.28305843041533413</v>
      </c>
      <c r="E9" s="52">
        <f>IFERROR(_xlfn.NORM.DIST(_xlfn.NORM.INV(SUM(E10:E11), 0, 1) + 1, 0, 1, TRUE) - SUM(E10:E11), "")</f>
        <v>0.17698241961736197</v>
      </c>
      <c r="F9" s="52">
        <f>IFERROR(_xlfn.NORM.DIST(_xlfn.NORM.INV(SUM(F10:F11), 0, 1) + 1, 0, 1, TRUE) - SUM(F10:F11), "")</f>
        <v>7.8235048052476164E-2</v>
      </c>
      <c r="G9" s="52">
        <f>IFERROR(_xlfn.NORM.DIST(_xlfn.NORM.INV(SUM(G10:G11), 0, 1) + 1, 0, 1, TRUE) - SUM(G10:G11), "")</f>
        <v>0.10403203798259969</v>
      </c>
    </row>
    <row r="10" spans="1:15" ht="15.75" customHeight="1" x14ac:dyDescent="0.25">
      <c r="B10" s="5" t="s">
        <v>119</v>
      </c>
      <c r="C10" s="45">
        <v>7.9534300000000002E-2</v>
      </c>
      <c r="D10" s="53">
        <v>7.9534300000000002E-2</v>
      </c>
      <c r="E10" s="53">
        <v>3.63278E-2</v>
      </c>
      <c r="F10" s="53">
        <v>0</v>
      </c>
      <c r="G10" s="53">
        <v>1.0352800000000001E-2</v>
      </c>
    </row>
    <row r="11" spans="1:15" ht="15.75" customHeight="1" x14ac:dyDescent="0.25">
      <c r="B11" s="5" t="s">
        <v>120</v>
      </c>
      <c r="C11" s="45">
        <v>1.5464200000000001E-2</v>
      </c>
      <c r="D11" s="53">
        <v>1.5464200000000001E-2</v>
      </c>
      <c r="E11" s="53">
        <v>0</v>
      </c>
      <c r="F11" s="53">
        <v>9.222000000000001E-3</v>
      </c>
      <c r="G11" s="53">
        <v>4.1982999999999994E-3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0.38283535024999998</v>
      </c>
      <c r="D14" s="54">
        <v>0.38541007546400002</v>
      </c>
      <c r="E14" s="54">
        <v>0.38541007546400002</v>
      </c>
      <c r="F14" s="54">
        <v>0.17029895451300001</v>
      </c>
      <c r="G14" s="54">
        <v>0.17029895451300001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0.251</v>
      </c>
      <c r="M14" s="55">
        <v>0.251</v>
      </c>
      <c r="N14" s="55">
        <v>0.251</v>
      </c>
      <c r="O14" s="55">
        <v>0.251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0.23913427318015998</v>
      </c>
      <c r="D15" s="52">
        <f t="shared" si="0"/>
        <v>0.24074254953783297</v>
      </c>
      <c r="E15" s="52">
        <f t="shared" si="0"/>
        <v>0.24074254953783297</v>
      </c>
      <c r="F15" s="52">
        <f t="shared" si="0"/>
        <v>0.10637553894700032</v>
      </c>
      <c r="G15" s="52">
        <f t="shared" si="0"/>
        <v>0.10637553894700032</v>
      </c>
      <c r="H15" s="52">
        <f t="shared" si="0"/>
        <v>0.16990208000000001</v>
      </c>
      <c r="I15" s="52">
        <f t="shared" si="0"/>
        <v>0.16990208000000001</v>
      </c>
      <c r="J15" s="52">
        <f t="shared" si="0"/>
        <v>0.16990208000000001</v>
      </c>
      <c r="K15" s="52">
        <f t="shared" si="0"/>
        <v>0.16990208000000001</v>
      </c>
      <c r="L15" s="52">
        <f t="shared" si="0"/>
        <v>0.15678464</v>
      </c>
      <c r="M15" s="52">
        <f t="shared" si="0"/>
        <v>0.15678464</v>
      </c>
      <c r="N15" s="52">
        <f t="shared" si="0"/>
        <v>0.15678464</v>
      </c>
      <c r="O15" s="52">
        <f t="shared" si="0"/>
        <v>0.15678464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hNFj0+w59GoykPD3knq97+AURkOl5vAOBoqgZeBKk5ieTY2Uk2EwoelmRMInhLjmJ4SexDX+rEudEP+8Lz2CQ==" saltValue="WA2g+91Fk/hQwwcUboY8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0.31399870000000002</v>
      </c>
      <c r="D2" s="53">
        <v>0.17159460000000001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5.1355600000000001E-2</v>
      </c>
      <c r="D3" s="53">
        <v>0.1553949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0.4142324</v>
      </c>
      <c r="D4" s="53">
        <v>0.40510950000000001</v>
      </c>
      <c r="E4" s="53">
        <v>0.42326510000000001</v>
      </c>
      <c r="F4" s="53">
        <v>0.2488464</v>
      </c>
      <c r="G4" s="53">
        <v>0</v>
      </c>
    </row>
    <row r="5" spans="1:7" x14ac:dyDescent="0.25">
      <c r="B5" s="3" t="s">
        <v>132</v>
      </c>
      <c r="C5" s="52">
        <v>0.22041330000000001</v>
      </c>
      <c r="D5" s="52">
        <v>0.2679011</v>
      </c>
      <c r="E5" s="52">
        <f>1-SUM(E2:E4)</f>
        <v>0.57673489999999994</v>
      </c>
      <c r="F5" s="52">
        <f>1-SUM(F2:F4)</f>
        <v>0.75115359999999998</v>
      </c>
      <c r="G5" s="52">
        <f>1-SUM(G2:G4)</f>
        <v>1</v>
      </c>
    </row>
  </sheetData>
  <sheetProtection algorithmName="SHA-512" hashValue="A30mf4Wp5f5jc6SyECQtFcRwkigYha+lVgo0dWopQbJR4AWyLGWK9vzx3Q+rw8oVwL35bRG4iuD+ez4OzgDBjA==" saltValue="naWHcirokRNmI4Awit23I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zrwVX0lU3qBNtizvujseUP7Q5bvJFty5PkozOWn70R+HX9s0zvnq9VPH13PVOXS4miEpRw1TcLf2mQDQvHM/A==" saltValue="7Xfl+j1GtW6oPknfkmh8Q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/pRcZaJij7JGFvfiEmtTxJfhzgyJYMADyuVhxQHGYBw+FIiCnZK2HC5ds4wd6xicVgaqBcBAcVRb5hIYG+MCFA==" saltValue="u+8oTtlzLbLRsR5+8q/6c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EEq5TwYEi6IzoSH/mGYGToucowhTRsj87Vv7np0s2/BvwqAzK6USAZTDzRISnKDTS4awKl4uF2EBUj6tHTZHrw==" saltValue="psw3X52hDttRSf7TBjbUA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4h2wKFZlqeikVLFge2ie/693t+aCG79PMw/v7/y5ukZCIFxZP0UczYCdymbUooFbr8CiAL/14XOjTaFpoOR7BA==" saltValue="/PYg0X1Ul/LVW1WXwX3Zp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76.430830296277207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40.292575813137638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702.89347992688124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7.032941165257669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13.42487525693355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13.42487525693355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13.42487525693355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13.42487525693355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13.42487525693355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13.42487525693355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1.131641056828899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0.17159460000000001</v>
      </c>
      <c r="C18" s="98">
        <v>0.95</v>
      </c>
      <c r="D18" s="56">
        <v>16.11738326300533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0.17159460000000001</v>
      </c>
      <c r="C19" s="98">
        <v>0.95</v>
      </c>
      <c r="D19" s="56">
        <v>16.11738326300533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70.114008769456447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23.383432158561249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4.5372725454372071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0.70510301442886003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18.854821117415401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0.31886409999999998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0.66023089999999995</v>
      </c>
      <c r="C29" s="98">
        <v>0.95</v>
      </c>
      <c r="D29" s="56">
        <v>155.6465054085146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1.36088480804361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2.472250321876178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0.99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0.21345500000000001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1.4174000000000001E-2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0.89577870000000004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2.134910144430378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B2lgKg4uEY7PoX2MyepwU119y6lPRy2CPeRn2NRDRTmHRIkRo9WaMPzb4qYAtJTjeUaxO1SyXH6zfyz8+4QwGA==" saltValue="Fv9jcxtApjft9gbs8Or9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bTblLC8Vk7Y350AGxomp+3b4nYGu2klTLlZSZi11X++DqhkXW5iVKpLNSqV9CBiHY4rvojfzCqDWQs/o6/xnOg==" saltValue="umSjJdI02KSaKSBZE/hY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flNivwLIGG/QHeY2gmKKKe7fiu2u/cMV4M5cfArTGMPZaUtmpmrot3yJiY3/iG0gT4whmcozT4HGcVMQlLvfkQ==" saltValue="WKCz9P4lWGRpIAMP7CO0e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0.20678918000000002</v>
      </c>
      <c r="C3" s="21">
        <f>frac_mam_1_5months * 2.6</f>
        <v>0.20678918000000002</v>
      </c>
      <c r="D3" s="21">
        <f>frac_mam_6_11months * 2.6</f>
        <v>9.445228E-2</v>
      </c>
      <c r="E3" s="21">
        <f>frac_mam_12_23months * 2.6</f>
        <v>0</v>
      </c>
      <c r="F3" s="21">
        <f>frac_mam_24_59months * 2.6</f>
        <v>2.6917280000000002E-2</v>
      </c>
    </row>
    <row r="4" spans="1:6" ht="15.75" customHeight="1" x14ac:dyDescent="0.25">
      <c r="A4" s="3" t="s">
        <v>208</v>
      </c>
      <c r="B4" s="21">
        <f>frac_sam_1month * 2.6</f>
        <v>4.020692E-2</v>
      </c>
      <c r="C4" s="21">
        <f>frac_sam_1_5months * 2.6</f>
        <v>4.020692E-2</v>
      </c>
      <c r="D4" s="21">
        <f>frac_sam_6_11months * 2.6</f>
        <v>0</v>
      </c>
      <c r="E4" s="21">
        <f>frac_sam_12_23months * 2.6</f>
        <v>2.3977200000000004E-2</v>
      </c>
      <c r="F4" s="21">
        <f>frac_sam_24_59months * 2.6</f>
        <v>1.0915579999999999E-2</v>
      </c>
    </row>
  </sheetData>
  <sheetProtection algorithmName="SHA-512" hashValue="DAUndJLvYdXQcXQ9SCGk0sT9nbOffPVV4KT6xHeKkJs5/6oVAT3qcY4Zv7/XeB3u+MzgMuVJWT+QMntME0EqQg==" saltValue="rpKtzxT0PuZUlEuXTI18j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1.7000000000000001E-2</v>
      </c>
      <c r="E2" s="60">
        <f>food_insecure</f>
        <v>1.7000000000000001E-2</v>
      </c>
      <c r="F2" s="60">
        <f>food_insecure</f>
        <v>1.7000000000000001E-2</v>
      </c>
      <c r="G2" s="60">
        <f>food_insecure</f>
        <v>1.7000000000000001E-2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1.7000000000000001E-2</v>
      </c>
      <c r="I15" s="60">
        <f>food_insecure</f>
        <v>1.7000000000000001E-2</v>
      </c>
      <c r="J15" s="60">
        <f>food_insecure</f>
        <v>1.7000000000000001E-2</v>
      </c>
      <c r="K15" s="60">
        <f>food_insecure</f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0.65900000000000003</v>
      </c>
      <c r="M24" s="60">
        <f>famplan_unmet_need</f>
        <v>0.65900000000000003</v>
      </c>
      <c r="N24" s="60">
        <f>famplan_unmet_need</f>
        <v>0.65900000000000003</v>
      </c>
      <c r="O24" s="60">
        <f>famplan_unmet_need</f>
        <v>0.65900000000000003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5.3107653010559308E-2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2.2760422718811131E-2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3.1730953811645639E-2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0.89240097045898392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bTigdrrqjCUFYmpqBpUMudph3MYV21SRDrjXYZpI7W+1NGHo0wRN3+B2u7f2Dcff2PhHrHCeFgeXwH7RCQe+JA==" saltValue="vRrZTNOddarFLG2TSoL1T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6W4PEGlAjsXYkHtFoSoCyGi+aw2Daig3exa53NSFFUTZhUuxw2+YMmb8+lDd4wzucitD1H4ciOpSIyjz0KG57A==" saltValue="+JdLbhp/Sik6eOvTd5n/F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i34N6ajsBgqe8hr1FBNLw8U+6CrvB/eYq8mQL7Ein5wMVlncRnMx6KeKCUXUGVQt72eIMVU+HCzT6xUkFwbVw==" saltValue="e1TXuvNXNHpvfwjfqieuY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NVGD1Yo/rex38ApS6JbVw5sWaju3zbXtgx+RmaeyoxYgHEMQJG46Usi6Wnhy9+K0SlVD4zgvHfDF0jCdj8rYQ==" saltValue="89sgUF08SoR0gRyLXLHVo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Yu6+v3JxllIRm1OWVl375PM3ryeLFKfbWei5KViFipE/+k0dbESMJPsWqFQRDHatL6uqrrodAh4Cfg36UOA8Tw==" saltValue="qUJ93q4QYusIxzy4VEM7z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F80q3ZDGYJvDKNLgAd4TTy/Z3M/km9UGedA++kdc3Zi1CNkjLUDKBeawGIEqUFo+xItNvZWfIXTXq4zZ4eZSCw==" saltValue="DQM4o2J1bIKP5QgeAE/Zd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X4U9qaRfT4kxr7FQE2C4JAWQQdEAXQNXQpUkxoXKDEkhP/oI6Y/yHTRapgxTDne1i/yFtx/waNqjKPdl2FvCg==" saltValue="yKjjpACu0fRfuWBOuDHMK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ml5kcGlccuQdMZgcINiOX+L4HmllRXlDFErNRA+s4AJjisPVOxsX3F8b2zO7VPcgifWe5kH43+2O5G4ZryYzQ==" saltValue="vC3ol7SJRKXhxAulcrRc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hfhYgvPGXqZT1nFsWzPv8/Ob3Np4a1Tt047gateNEY4uasmNP7hOwZi9DexxnkYFUinQ+Hhi0U+5Git96POLQ==" saltValue="KSKf2Lf095VLW66cREzf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2kkelmF3/6XkF1vTtn8q+4K3sGpfIUF1HLb7PLbu/NgUg7RXi9FIfgeCiohqGOCmJex3lsclUy1whFjDa88yGQ==" saltValue="lsH/uSLZD5ujU2n78lF9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z8m+VYEsIWGXYUjcNZcLflFp7gx46ida5QnpZD14uOWmleeC3JbME86g+yFa2xJT3H6yCKtR4UJO5+GWY7daJA==" saltValue="xOYMSetaw3BIeCoarpZO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8YnoXejg7NeU/ixHefIwcomujQ4BOAxLD0p61ltfChcvOaiPBro9V+jvWzScAazlFW9Y6PQybmhEFengIgyY8A==" saltValue="Tq8zAevWrNtkIY6GD8QY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ArkUhOU4AWMIZU2UOfXH8Cvri+a1eicOkbPu6+2E9pqbuJjOw1eonkCGv9EowlxVHdqJXLB0Z7cDrsu0IQ/BQ==" saltValue="/IsvhSHJOqm7QUmNh324R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0.10999999999999999</v>
      </c>
      <c r="G18" s="90">
        <f>MIN(MAX(1-0.89/(1-frac_sam_12_23months+(frac_sam_12_23months*0.89)),0),1)</f>
        <v>0.10909624941733398</v>
      </c>
      <c r="H18" s="90">
        <f>MIN(MAX(1-0.89/(1-frac_sam_24_59months+(frac_sam_24_59months*0.89)),0),1)</f>
        <v>0.10958879653089226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0.10642923941359261</v>
      </c>
      <c r="G20" s="90">
        <f>MIN(MAX(1-0.89/(1-frac_mam_12_23months+(frac_mam_12_23months*0.89)),0),1)</f>
        <v>0.10999999999999999</v>
      </c>
      <c r="H20" s="90">
        <f>MIN(MAX(1-0.89/(1-frac_mam_24_59months+(frac_mam_24_59months*0.89)),0),1)</f>
        <v>0.10898530533760076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1.0000000000000009E-2</v>
      </c>
      <c r="G73" s="90">
        <f>MIN(MAX(1-0.99/(1-frac_sam_12_23months+(frac_sam_12_23months*0.99)),0),1)</f>
        <v>9.9086937797403518E-3</v>
      </c>
      <c r="H73" s="90">
        <f>MIN(MAX(1-0.99/(1-frac_sam_24_59months+(frac_sam_24_59months*0.99)),0),1)</f>
        <v>9.9584350849801773E-3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9.6402240813238116E-3</v>
      </c>
      <c r="G75" s="90">
        <f>MIN(MAX(1-0.99/(1-frac_mam_12_23months+(frac_mam_12_23months*0.99)),0),1)</f>
        <v>1.0000000000000009E-2</v>
      </c>
      <c r="H75" s="90">
        <f>MIN(MAX(1-0.99/(1-frac_mam_24_59months+(frac_mam_24_59months*0.99)),0),1)</f>
        <v>9.8974966680350773E-3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0.19999999999999996</v>
      </c>
      <c r="G128" s="90">
        <f>MIN(MAX(1-0.8/(1-frac_sam_12_23months+(frac_sam_12_23months*0.8)),0),1)</f>
        <v>0.19852175352219636</v>
      </c>
      <c r="H128" s="90">
        <f>MIN(MAX(1-0.8/(1-frac_sam_24_59months+(frac_sam_24_59months*0.8)),0),1)</f>
        <v>0.19932770750288176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0.19414501223509473</v>
      </c>
      <c r="G130" s="90">
        <f>MIN(MAX(1-0.8/(1-frac_mam_12_23months+(frac_mam_12_23months*0.8)),0),1)</f>
        <v>0.19999999999999996</v>
      </c>
      <c r="H130" s="90">
        <f>MIN(MAX(1-0.8/(1-frac_mam_24_59months+(frac_mam_24_59months*0.8)),0),1)</f>
        <v>0.1983401151087395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fsw1gcJvVxeJkMTj3v1jIT7cfQymMF8hfNSwTJ/FRnvPOB9yaBK+3M2jr1de6cZChQ8aqbMZRM1YyC3TtKGCQ==" saltValue="lx2R2AWV8587E9Z8oz4b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uFw2A71N99g/vj3WxlaK3cOV+aqdeIo9ziSwYXlnm3Rr6/DIqNM5ZD/8sWsOviYsLsz/4BLdrh7hLYz2oC17TA==" saltValue="aFDNJH3U1O+OpDB/NYu3B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2024-08-06T09:28:01Z</dcterms:modified>
</cp:coreProperties>
</file>