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D0D673C5-9806-407A-8A05-7DF437F189AB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<sst xmlns="http://schemas.openxmlformats.org/spreadsheetml/2006/main" count="2102" uniqueCount="337">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</sst>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36442523.5</v>
      </c>
    </row>
    <row r="8" spans="1:3" ht="15" customHeight="1" x14ac:dyDescent="0.25">
      <c r="B8" s="5" t="s">
        <v>19</v>
      </c>
      <c r="C8" s="44">
        <v>0.53500000000000003</v>
      </c>
    </row>
    <row r="9" spans="1:3" ht="15" customHeight="1" x14ac:dyDescent="0.25">
      <c r="B9" s="5" t="s">
        <v>20</v>
      </c>
      <c r="C9" s="45">
        <v>0.99</v>
      </c>
    </row>
    <row r="10" spans="1:3" ht="15" customHeight="1" x14ac:dyDescent="0.25">
      <c r="B10" s="5" t="s">
        <v>21</v>
      </c>
      <c r="C10" s="45">
        <v>0.90525772094726609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4.0000000000000002E-4</v>
      </c>
    </row>
    <row r="24" spans="1:3" ht="15" customHeight="1" x14ac:dyDescent="0.25">
      <c r="B24" s="15" t="s">
        <v>33</v>
      </c>
      <c r="C24" s="45">
        <v>0.62990000000000002</v>
      </c>
    </row>
    <row r="25" spans="1:3" ht="15" customHeight="1" x14ac:dyDescent="0.25">
      <c r="B25" s="15" t="s">
        <v>34</v>
      </c>
      <c r="C25" s="45">
        <v>0.36969999999999997</v>
      </c>
    </row>
    <row r="26" spans="1:3" ht="15" customHeight="1" x14ac:dyDescent="0.25">
      <c r="B26" s="15" t="s">
        <v>35</v>
      </c>
      <c r="C26" s="45">
        <v>0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0.19573648727283799</v>
      </c>
    </row>
    <row r="30" spans="1:3" ht="14.25" customHeight="1" x14ac:dyDescent="0.25">
      <c r="B30" s="25" t="s">
        <v>38</v>
      </c>
      <c r="C30" s="99">
        <v>6.6216535073416599E-2</v>
      </c>
    </row>
    <row r="31" spans="1:3" ht="14.25" customHeight="1" x14ac:dyDescent="0.25">
      <c r="B31" s="25" t="s">
        <v>39</v>
      </c>
      <c r="C31" s="99">
        <v>0.13435462918095001</v>
      </c>
    </row>
    <row r="32" spans="1:3" ht="14.25" customHeight="1" x14ac:dyDescent="0.25">
      <c r="B32" s="25" t="s">
        <v>40</v>
      </c>
      <c r="C32" s="99">
        <v>0.60369234847279496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34.921909999999997</v>
      </c>
    </row>
    <row r="38" spans="1:5" ht="15" customHeight="1" x14ac:dyDescent="0.25">
      <c r="B38" s="11" t="s">
        <v>45</v>
      </c>
      <c r="C38" s="43">
        <v>70.588530000000006</v>
      </c>
      <c r="D38" s="12"/>
      <c r="E38" s="13"/>
    </row>
    <row r="39" spans="1:5" ht="15" customHeight="1" x14ac:dyDescent="0.25">
      <c r="B39" s="11" t="s">
        <v>46</v>
      </c>
      <c r="C39" s="43">
        <v>110.81927</v>
      </c>
      <c r="D39" s="12"/>
      <c r="E39" s="12"/>
    </row>
    <row r="40" spans="1:5" ht="15" customHeight="1" x14ac:dyDescent="0.25">
      <c r="B40" s="11" t="s">
        <v>47</v>
      </c>
      <c r="C40" s="100">
        <v>10.47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22.49146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8.4424999999999986E-3</v>
      </c>
      <c r="D45" s="12"/>
    </row>
    <row r="46" spans="1:5" ht="15.75" customHeight="1" x14ac:dyDescent="0.25">
      <c r="B46" s="11" t="s">
        <v>52</v>
      </c>
      <c r="C46" s="45">
        <v>9.0714000000000003E-2</v>
      </c>
      <c r="D46" s="12"/>
    </row>
    <row r="47" spans="1:5" ht="15.75" customHeight="1" x14ac:dyDescent="0.25">
      <c r="B47" s="11" t="s">
        <v>53</v>
      </c>
      <c r="C47" s="45">
        <v>7.29717E-2</v>
      </c>
      <c r="D47" s="12"/>
      <c r="E47" s="13"/>
    </row>
    <row r="48" spans="1:5" ht="15" customHeight="1" x14ac:dyDescent="0.25">
      <c r="B48" s="11" t="s">
        <v>54</v>
      </c>
      <c r="C48" s="46">
        <v>0.82787180000000005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0.419354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TPTxr5njcpj8I8eKWIy4u4zY87YApRb5CHvSr1Z6o0XvWnJIP4nsvxKV/v7K/bTzRzXnFLBFN9SbmQz/HMhXxQ==" saltValue="ti2hNryX4Vzlo06/pf0r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334005</v>
      </c>
      <c r="C2" s="49">
        <v>960183.5</v>
      </c>
      <c r="D2" s="49">
        <v>1814432.5</v>
      </c>
      <c r="E2" s="49">
        <v>1857251</v>
      </c>
      <c r="F2" s="49">
        <v>1471101.5</v>
      </c>
      <c r="G2" s="17">
        <f t="shared" ref="G2:G13" si="0">C2+D2+E2+F2</f>
        <v>6102968.5</v>
      </c>
      <c r="H2" s="17">
        <f t="shared" ref="H2:H13" si="1">(B2 + stillbirth*B2/(1000-stillbirth))/(1-abortion)</f>
        <v>388284.2152597832</v>
      </c>
      <c r="I2" s="17">
        <f t="shared" ref="I2:I13" si="2">G2-H2</f>
        <v>5714684.284740217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330197</v>
      </c>
      <c r="C3" s="50">
        <v>942021.50000000012</v>
      </c>
      <c r="D3" s="50">
        <v>1784204</v>
      </c>
      <c r="E3" s="50">
        <v>1873709.5</v>
      </c>
      <c r="F3" s="50">
        <v>1464164.5</v>
      </c>
      <c r="G3" s="17">
        <f t="shared" si="0"/>
        <v>6064099.5</v>
      </c>
      <c r="H3" s="17">
        <f t="shared" si="1"/>
        <v>383857.37646482728</v>
      </c>
      <c r="I3" s="17">
        <f t="shared" si="2"/>
        <v>5680242.123535173</v>
      </c>
    </row>
    <row r="4" spans="1:9" ht="15.75" customHeight="1" x14ac:dyDescent="0.25">
      <c r="A4" s="5">
        <f t="shared" si="3"/>
        <v>2026</v>
      </c>
      <c r="B4" s="49">
        <v>326245</v>
      </c>
      <c r="C4" s="50">
        <v>929883</v>
      </c>
      <c r="D4" s="50">
        <v>1752308</v>
      </c>
      <c r="E4" s="50">
        <v>1885281</v>
      </c>
      <c r="F4" s="50">
        <v>1470247.5</v>
      </c>
      <c r="G4" s="17">
        <f t="shared" si="0"/>
        <v>6037719.5</v>
      </c>
      <c r="H4" s="17">
        <f t="shared" si="1"/>
        <v>379263.13620283519</v>
      </c>
      <c r="I4" s="17">
        <f t="shared" si="2"/>
        <v>5658456.3637971645</v>
      </c>
    </row>
    <row r="5" spans="1:9" ht="15.75" customHeight="1" x14ac:dyDescent="0.25">
      <c r="A5" s="5">
        <f t="shared" si="3"/>
        <v>2027</v>
      </c>
      <c r="B5" s="49">
        <v>321344</v>
      </c>
      <c r="C5" s="50">
        <v>923605.5</v>
      </c>
      <c r="D5" s="50">
        <v>1721624</v>
      </c>
      <c r="E5" s="50">
        <v>1892161.5</v>
      </c>
      <c r="F5" s="50">
        <v>1488392</v>
      </c>
      <c r="G5" s="17">
        <f t="shared" si="0"/>
        <v>6025783</v>
      </c>
      <c r="H5" s="17">
        <f t="shared" si="1"/>
        <v>373565.67377266736</v>
      </c>
      <c r="I5" s="17">
        <f t="shared" si="2"/>
        <v>5652217.3262273325</v>
      </c>
    </row>
    <row r="6" spans="1:9" ht="15.75" customHeight="1" x14ac:dyDescent="0.25">
      <c r="A6" s="5">
        <f t="shared" si="3"/>
        <v>2028</v>
      </c>
      <c r="B6" s="49">
        <v>315938</v>
      </c>
      <c r="C6" s="50">
        <v>921588.00000000012</v>
      </c>
      <c r="D6" s="50">
        <v>1694178</v>
      </c>
      <c r="E6" s="50">
        <v>1894482.5</v>
      </c>
      <c r="F6" s="50">
        <v>1509646.5</v>
      </c>
      <c r="G6" s="17">
        <f t="shared" si="0"/>
        <v>6019895</v>
      </c>
      <c r="H6" s="17">
        <f t="shared" si="1"/>
        <v>367281.14369768533</v>
      </c>
      <c r="I6" s="17">
        <f t="shared" si="2"/>
        <v>5652613.8563023144</v>
      </c>
    </row>
    <row r="7" spans="1:9" ht="15.75" customHeight="1" x14ac:dyDescent="0.25">
      <c r="A7" s="5">
        <f t="shared" si="3"/>
        <v>2029</v>
      </c>
      <c r="B7" s="49">
        <v>308992</v>
      </c>
      <c r="C7" s="50">
        <v>923172.99999999988</v>
      </c>
      <c r="D7" s="50">
        <v>1668774</v>
      </c>
      <c r="E7" s="50">
        <v>1892851</v>
      </c>
      <c r="F7" s="50">
        <v>1529221</v>
      </c>
      <c r="G7" s="17">
        <f t="shared" si="0"/>
        <v>6014019</v>
      </c>
      <c r="H7" s="17">
        <f t="shared" si="1"/>
        <v>359206.34793356666</v>
      </c>
      <c r="I7" s="17">
        <f t="shared" si="2"/>
        <v>5654812.6520664338</v>
      </c>
    </row>
    <row r="8" spans="1:9" ht="15.75" customHeight="1" x14ac:dyDescent="0.25">
      <c r="A8" s="5">
        <f t="shared" si="3"/>
        <v>2030</v>
      </c>
      <c r="B8" s="49">
        <v>304323</v>
      </c>
      <c r="C8" s="50">
        <v>932727.5</v>
      </c>
      <c r="D8" s="50">
        <v>1640535</v>
      </c>
      <c r="E8" s="50">
        <v>1884661.5</v>
      </c>
      <c r="F8" s="50">
        <v>1546998.5</v>
      </c>
      <c r="G8" s="17">
        <f t="shared" si="0"/>
        <v>6004922.5</v>
      </c>
      <c r="H8" s="17">
        <f t="shared" si="1"/>
        <v>353778.58786695707</v>
      </c>
      <c r="I8" s="17">
        <f t="shared" si="2"/>
        <v>5651143.9121330427</v>
      </c>
    </row>
    <row r="9" spans="1:9" ht="15.75" customHeight="1" x14ac:dyDescent="0.25">
      <c r="A9" s="5">
        <f t="shared" si="3"/>
        <v>2031</v>
      </c>
      <c r="B9" s="49">
        <v>298942</v>
      </c>
      <c r="C9" s="50">
        <v>947997.5</v>
      </c>
      <c r="D9" s="50">
        <v>1610041.5</v>
      </c>
      <c r="E9" s="50">
        <v>1868861</v>
      </c>
      <c r="F9" s="50">
        <v>1564640.5</v>
      </c>
      <c r="G9" s="17">
        <f t="shared" si="0"/>
        <v>5991540.5</v>
      </c>
      <c r="H9" s="17">
        <f t="shared" si="1"/>
        <v>347523.12054666877</v>
      </c>
      <c r="I9" s="17">
        <f t="shared" si="2"/>
        <v>5644017.3794533312</v>
      </c>
    </row>
    <row r="10" spans="1:9" ht="15.75" customHeight="1" x14ac:dyDescent="0.25">
      <c r="A10" s="5">
        <f t="shared" si="3"/>
        <v>2032</v>
      </c>
      <c r="B10" s="49">
        <v>293078</v>
      </c>
      <c r="C10" s="50">
        <v>961617.50000000012</v>
      </c>
      <c r="D10" s="50">
        <v>1584743</v>
      </c>
      <c r="E10" s="50">
        <v>1846877</v>
      </c>
      <c r="F10" s="50">
        <v>1585067</v>
      </c>
      <c r="G10" s="17">
        <f t="shared" si="0"/>
        <v>5978304.5</v>
      </c>
      <c r="H10" s="17">
        <f t="shared" si="1"/>
        <v>340706.16080569668</v>
      </c>
      <c r="I10" s="17">
        <f t="shared" si="2"/>
        <v>5637598.3391943034</v>
      </c>
    </row>
    <row r="11" spans="1:9" ht="15.75" customHeight="1" x14ac:dyDescent="0.25">
      <c r="A11" s="5">
        <f t="shared" si="3"/>
        <v>2033</v>
      </c>
      <c r="B11" s="49">
        <v>287680</v>
      </c>
      <c r="C11" s="50">
        <v>972357</v>
      </c>
      <c r="D11" s="50">
        <v>1567343.5</v>
      </c>
      <c r="E11" s="50">
        <v>1819375.5</v>
      </c>
      <c r="F11" s="50">
        <v>1607991.5</v>
      </c>
      <c r="G11" s="17">
        <f t="shared" si="0"/>
        <v>5967067.5</v>
      </c>
      <c r="H11" s="17">
        <f t="shared" si="1"/>
        <v>334430.9308122166</v>
      </c>
      <c r="I11" s="17">
        <f t="shared" si="2"/>
        <v>5632636.5691877836</v>
      </c>
    </row>
    <row r="12" spans="1:9" ht="15.75" customHeight="1" x14ac:dyDescent="0.25">
      <c r="A12" s="5">
        <f t="shared" si="3"/>
        <v>2034</v>
      </c>
      <c r="B12" s="49">
        <v>283097</v>
      </c>
      <c r="C12" s="50">
        <v>979115.50000000012</v>
      </c>
      <c r="D12" s="50">
        <v>1556400.5</v>
      </c>
      <c r="E12" s="50">
        <v>1790281.5</v>
      </c>
      <c r="F12" s="50">
        <v>1630386.5</v>
      </c>
      <c r="G12" s="17">
        <f t="shared" si="0"/>
        <v>5956184</v>
      </c>
      <c r="H12" s="17">
        <f t="shared" si="1"/>
        <v>329103.14662175369</v>
      </c>
      <c r="I12" s="17">
        <f t="shared" si="2"/>
        <v>5627080.8533782465</v>
      </c>
    </row>
    <row r="13" spans="1:9" ht="15.75" customHeight="1" x14ac:dyDescent="0.25">
      <c r="A13" s="5">
        <f t="shared" si="3"/>
        <v>2035</v>
      </c>
      <c r="B13" s="49">
        <v>279272</v>
      </c>
      <c r="C13" s="50">
        <v>982045.00000000012</v>
      </c>
      <c r="D13" s="50">
        <v>1551437.5</v>
      </c>
      <c r="E13" s="50">
        <v>1760632.5</v>
      </c>
      <c r="F13" s="50">
        <v>1649161.5</v>
      </c>
      <c r="G13" s="17">
        <f t="shared" si="0"/>
        <v>5943276.5</v>
      </c>
      <c r="H13" s="17">
        <f t="shared" si="1"/>
        <v>324656.54515360598</v>
      </c>
      <c r="I13" s="17">
        <f t="shared" si="2"/>
        <v>5618619.9548463942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VW9/j0Ot+7+wVuw7+cIdIyv5OMF+xJC6cv8htjhEehxwsklJ+oavYrE/Q0dVYnZAUbWMla/7t3Dr0imZbTMXQ==" saltValue="ZR2c9PC1nDuleKOi926ON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2.3730299999999999E-2</v>
      </c>
    </row>
    <row r="4" spans="1:8" ht="15.75" customHeight="1" x14ac:dyDescent="0.25">
      <c r="B4" s="19" t="s">
        <v>79</v>
      </c>
      <c r="C4" s="101">
        <v>0.15361009999999989</v>
      </c>
    </row>
    <row r="5" spans="1:8" ht="15.75" customHeight="1" x14ac:dyDescent="0.25">
      <c r="B5" s="19" t="s">
        <v>80</v>
      </c>
      <c r="C5" s="101">
        <v>0.18025830000000001</v>
      </c>
    </row>
    <row r="6" spans="1:8" ht="15.75" customHeight="1" x14ac:dyDescent="0.25">
      <c r="B6" s="19" t="s">
        <v>81</v>
      </c>
      <c r="C6" s="101">
        <v>0.28443859999999987</v>
      </c>
    </row>
    <row r="7" spans="1:8" ht="15.75" customHeight="1" x14ac:dyDescent="0.25">
      <c r="B7" s="19" t="s">
        <v>82</v>
      </c>
      <c r="C7" s="101">
        <v>0.18089420000000009</v>
      </c>
    </row>
    <row r="8" spans="1:8" ht="15.75" customHeight="1" x14ac:dyDescent="0.25">
      <c r="B8" s="19" t="s">
        <v>83</v>
      </c>
      <c r="C8" s="101">
        <v>7.6880999999999998E-3</v>
      </c>
    </row>
    <row r="9" spans="1:8" ht="15.75" customHeight="1" x14ac:dyDescent="0.25">
      <c r="B9" s="19" t="s">
        <v>84</v>
      </c>
      <c r="C9" s="101">
        <v>4.4153200000000038E-2</v>
      </c>
    </row>
    <row r="10" spans="1:8" ht="15.75" customHeight="1" x14ac:dyDescent="0.25">
      <c r="B10" s="19" t="s">
        <v>85</v>
      </c>
      <c r="C10" s="101">
        <v>0.12522720000000001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0.2604796154195424</v>
      </c>
      <c r="D14" s="55">
        <v>0.2604796154195424</v>
      </c>
      <c r="E14" s="55">
        <v>0.2604796154195424</v>
      </c>
      <c r="F14" s="55">
        <v>0.2604796154195424</v>
      </c>
    </row>
    <row r="15" spans="1:8" ht="15.75" customHeight="1" x14ac:dyDescent="0.25">
      <c r="B15" s="19" t="s">
        <v>88</v>
      </c>
      <c r="C15" s="101">
        <v>0.19525974369423979</v>
      </c>
      <c r="D15" s="101">
        <v>0.19525974369423979</v>
      </c>
      <c r="E15" s="101">
        <v>0.19525974369423979</v>
      </c>
      <c r="F15" s="101">
        <v>0.19525974369423979</v>
      </c>
    </row>
    <row r="16" spans="1:8" ht="15.75" customHeight="1" x14ac:dyDescent="0.25">
      <c r="B16" s="19" t="s">
        <v>89</v>
      </c>
      <c r="C16" s="101">
        <v>2.722073044841733E-2</v>
      </c>
      <c r="D16" s="101">
        <v>2.722073044841733E-2</v>
      </c>
      <c r="E16" s="101">
        <v>2.722073044841733E-2</v>
      </c>
      <c r="F16" s="101">
        <v>2.722073044841733E-2</v>
      </c>
    </row>
    <row r="17" spans="1:8" ht="15.75" customHeight="1" x14ac:dyDescent="0.25">
      <c r="B17" s="19" t="s">
        <v>90</v>
      </c>
      <c r="C17" s="101">
        <v>4.6405501980126163E-2</v>
      </c>
      <c r="D17" s="101">
        <v>4.6405501980126163E-2</v>
      </c>
      <c r="E17" s="101">
        <v>4.6405501980126163E-2</v>
      </c>
      <c r="F17" s="101">
        <v>4.6405501980126163E-2</v>
      </c>
    </row>
    <row r="18" spans="1:8" ht="15.75" customHeight="1" x14ac:dyDescent="0.25">
      <c r="B18" s="19" t="s">
        <v>91</v>
      </c>
      <c r="C18" s="101">
        <v>0.30288838111377808</v>
      </c>
      <c r="D18" s="101">
        <v>0.30288838111377808</v>
      </c>
      <c r="E18" s="101">
        <v>0.30288838111377808</v>
      </c>
      <c r="F18" s="101">
        <v>0.30288838111377808</v>
      </c>
    </row>
    <row r="19" spans="1:8" ht="15.75" customHeight="1" x14ac:dyDescent="0.25">
      <c r="B19" s="19" t="s">
        <v>92</v>
      </c>
      <c r="C19" s="101">
        <v>1.283837375823718E-2</v>
      </c>
      <c r="D19" s="101">
        <v>1.283837375823718E-2</v>
      </c>
      <c r="E19" s="101">
        <v>1.283837375823718E-2</v>
      </c>
      <c r="F19" s="101">
        <v>1.283837375823718E-2</v>
      </c>
    </row>
    <row r="20" spans="1:8" ht="15.75" customHeight="1" x14ac:dyDescent="0.25">
      <c r="B20" s="19" t="s">
        <v>93</v>
      </c>
      <c r="C20" s="101">
        <v>2.0584470768969271E-2</v>
      </c>
      <c r="D20" s="101">
        <v>2.0584470768969271E-2</v>
      </c>
      <c r="E20" s="101">
        <v>2.0584470768969271E-2</v>
      </c>
      <c r="F20" s="101">
        <v>2.0584470768969271E-2</v>
      </c>
    </row>
    <row r="21" spans="1:8" ht="15.75" customHeight="1" x14ac:dyDescent="0.25">
      <c r="B21" s="19" t="s">
        <v>94</v>
      </c>
      <c r="C21" s="101">
        <v>4.3581722040455448E-2</v>
      </c>
      <c r="D21" s="101">
        <v>4.3581722040455448E-2</v>
      </c>
      <c r="E21" s="101">
        <v>4.3581722040455448E-2</v>
      </c>
      <c r="F21" s="101">
        <v>4.3581722040455448E-2</v>
      </c>
    </row>
    <row r="22" spans="1:8" ht="15.75" customHeight="1" x14ac:dyDescent="0.25">
      <c r="B22" s="19" t="s">
        <v>95</v>
      </c>
      <c r="C22" s="101">
        <v>9.0741460776234198E-2</v>
      </c>
      <c r="D22" s="101">
        <v>9.0741460776234198E-2</v>
      </c>
      <c r="E22" s="101">
        <v>9.0741460776234198E-2</v>
      </c>
      <c r="F22" s="101">
        <v>9.0741460776234198E-2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8.6847340999999995E-2</v>
      </c>
    </row>
    <row r="27" spans="1:8" ht="15.75" customHeight="1" x14ac:dyDescent="0.25">
      <c r="B27" s="19" t="s">
        <v>102</v>
      </c>
      <c r="C27" s="101">
        <v>8.4805239999999997E-3</v>
      </c>
    </row>
    <row r="28" spans="1:8" ht="15.75" customHeight="1" x14ac:dyDescent="0.25">
      <c r="B28" s="19" t="s">
        <v>103</v>
      </c>
      <c r="C28" s="101">
        <v>0.15529126400000001</v>
      </c>
    </row>
    <row r="29" spans="1:8" ht="15.75" customHeight="1" x14ac:dyDescent="0.25">
      <c r="B29" s="19" t="s">
        <v>104</v>
      </c>
      <c r="C29" s="101">
        <v>0.168382743</v>
      </c>
    </row>
    <row r="30" spans="1:8" ht="15.75" customHeight="1" x14ac:dyDescent="0.25">
      <c r="B30" s="19" t="s">
        <v>2</v>
      </c>
      <c r="C30" s="101">
        <v>0.105182391</v>
      </c>
    </row>
    <row r="31" spans="1:8" ht="15.75" customHeight="1" x14ac:dyDescent="0.25">
      <c r="B31" s="19" t="s">
        <v>105</v>
      </c>
      <c r="C31" s="101">
        <v>0.10869061100000001</v>
      </c>
    </row>
    <row r="32" spans="1:8" ht="15.75" customHeight="1" x14ac:dyDescent="0.25">
      <c r="B32" s="19" t="s">
        <v>106</v>
      </c>
      <c r="C32" s="101">
        <v>1.8206013E-2</v>
      </c>
    </row>
    <row r="33" spans="2:3" ht="15.75" customHeight="1" x14ac:dyDescent="0.25">
      <c r="B33" s="19" t="s">
        <v>107</v>
      </c>
      <c r="C33" s="101">
        <v>8.4055170999999984E-2</v>
      </c>
    </row>
    <row r="34" spans="2:3" ht="15.75" customHeight="1" x14ac:dyDescent="0.25">
      <c r="B34" s="19" t="s">
        <v>108</v>
      </c>
      <c r="C34" s="101">
        <v>0.26486394200000002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KwGmzQD2tl2zBo8sh4nUoQ9mAsH10XGhaH89AfTovpGlhxY2+UuE2ti0jw6Uo95TbETF4JAcVzRJbV7fi3UoQw==" saltValue="LJvr78Nom5bSU2LjCvJrT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0.45761689286760021</v>
      </c>
      <c r="D2" s="52">
        <f>IFERROR(1-_xlfn.NORM.DIST(_xlfn.NORM.INV(SUM(D4:D5), 0, 1) + 1, 0, 1, TRUE), "")</f>
        <v>0.45761689286760021</v>
      </c>
      <c r="E2" s="52">
        <f>IFERROR(1-_xlfn.NORM.DIST(_xlfn.NORM.INV(SUM(E4:E5), 0, 1) + 1, 0, 1, TRUE), "")</f>
        <v>0.39142740442980484</v>
      </c>
      <c r="F2" s="52">
        <f>IFERROR(1-_xlfn.NORM.DIST(_xlfn.NORM.INV(SUM(F4:F5), 0, 1) + 1, 0, 1, TRUE), "")</f>
        <v>0.2378010811852066</v>
      </c>
      <c r="G2" s="52">
        <f>IFERROR(1-_xlfn.NORM.DIST(_xlfn.NORM.INV(SUM(G4:G5), 0, 1) + 1, 0, 1, TRUE), "")</f>
        <v>0.216654585652856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0.35660460713239978</v>
      </c>
      <c r="D3" s="52">
        <f>IFERROR(_xlfn.NORM.DIST(_xlfn.NORM.INV(SUM(D4:D5), 0, 1) + 1, 0, 1, TRUE) - SUM(D4:D5), "")</f>
        <v>0.35660460713239978</v>
      </c>
      <c r="E3" s="52">
        <f>IFERROR(_xlfn.NORM.DIST(_xlfn.NORM.INV(SUM(E4:E5), 0, 1) + 1, 0, 1, TRUE) - SUM(E4:E5), "")</f>
        <v>0.37416229557019515</v>
      </c>
      <c r="F3" s="52">
        <f>IFERROR(_xlfn.NORM.DIST(_xlfn.NORM.INV(SUM(F4:F5), 0, 1) + 1, 0, 1, TRUE) - SUM(F4:F5), "")</f>
        <v>0.37499201881479338</v>
      </c>
      <c r="G3" s="52">
        <f>IFERROR(_xlfn.NORM.DIST(_xlfn.NORM.INV(SUM(G4:G5), 0, 1) + 1, 0, 1, TRUE) - SUM(G4:G5), "")</f>
        <v>0.369030214347144</v>
      </c>
    </row>
    <row r="4" spans="1:15" ht="15.75" customHeight="1" x14ac:dyDescent="0.25">
      <c r="B4" s="5" t="s">
        <v>114</v>
      </c>
      <c r="C4" s="45">
        <v>0.1224695</v>
      </c>
      <c r="D4" s="53">
        <v>0.1224695</v>
      </c>
      <c r="E4" s="53">
        <v>0.1556854</v>
      </c>
      <c r="F4" s="53">
        <v>0.2263136</v>
      </c>
      <c r="G4" s="53">
        <v>0.2057001</v>
      </c>
    </row>
    <row r="5" spans="1:15" ht="15.75" customHeight="1" x14ac:dyDescent="0.25">
      <c r="B5" s="5" t="s">
        <v>115</v>
      </c>
      <c r="C5" s="45">
        <v>6.3309000000000004E-2</v>
      </c>
      <c r="D5" s="53">
        <v>6.3309000000000004E-2</v>
      </c>
      <c r="E5" s="53">
        <v>7.87249E-2</v>
      </c>
      <c r="F5" s="53">
        <v>0.16089329999999999</v>
      </c>
      <c r="G5" s="53">
        <v>0.2086151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0.68241534048444352</v>
      </c>
      <c r="D8" s="52">
        <f>IFERROR(1-_xlfn.NORM.DIST(_xlfn.NORM.INV(SUM(D10:D11), 0, 1) + 1, 0, 1, TRUE), "")</f>
        <v>0.68241534048444352</v>
      </c>
      <c r="E8" s="52">
        <f>IFERROR(1-_xlfn.NORM.DIST(_xlfn.NORM.INV(SUM(E10:E11), 0, 1) + 1, 0, 1, TRUE), "")</f>
        <v>0.53988553147520657</v>
      </c>
      <c r="F8" s="52">
        <f>IFERROR(1-_xlfn.NORM.DIST(_xlfn.NORM.INV(SUM(F10:F11), 0, 1) + 1, 0, 1, TRUE), "")</f>
        <v>0.58750645353380182</v>
      </c>
      <c r="G8" s="52">
        <f>IFERROR(1-_xlfn.NORM.DIST(_xlfn.NORM.INV(SUM(G10:G11), 0, 1) + 1, 0, 1, TRUE), "")</f>
        <v>0.77117497347137087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0.24740625951555642</v>
      </c>
      <c r="D9" s="52">
        <f>IFERROR(_xlfn.NORM.DIST(_xlfn.NORM.INV(SUM(D10:D11), 0, 1) + 1, 0, 1, TRUE) - SUM(D10:D11), "")</f>
        <v>0.24740625951555642</v>
      </c>
      <c r="E9" s="52">
        <f>IFERROR(_xlfn.NORM.DIST(_xlfn.NORM.INV(SUM(E10:E11), 0, 1) + 1, 0, 1, TRUE) - SUM(E10:E11), "")</f>
        <v>0.32448006852479344</v>
      </c>
      <c r="F9" s="52">
        <f>IFERROR(_xlfn.NORM.DIST(_xlfn.NORM.INV(SUM(F10:F11), 0, 1) + 1, 0, 1, TRUE) - SUM(F10:F11), "")</f>
        <v>0.30147614646619819</v>
      </c>
      <c r="G9" s="52">
        <f>IFERROR(_xlfn.NORM.DIST(_xlfn.NORM.INV(SUM(G10:G11), 0, 1) + 1, 0, 1, TRUE) - SUM(G10:G11), "")</f>
        <v>0.18813392652862915</v>
      </c>
    </row>
    <row r="10" spans="1:15" ht="15.75" customHeight="1" x14ac:dyDescent="0.25">
      <c r="B10" s="5" t="s">
        <v>119</v>
      </c>
      <c r="C10" s="45">
        <v>4.6762400000000003E-2</v>
      </c>
      <c r="D10" s="53">
        <v>4.6762400000000003E-2</v>
      </c>
      <c r="E10" s="53">
        <v>0.1024866</v>
      </c>
      <c r="F10" s="53">
        <v>7.8577899999999992E-2</v>
      </c>
      <c r="G10" s="53">
        <v>3.1818300000000001E-2</v>
      </c>
    </row>
    <row r="11" spans="1:15" ht="15.75" customHeight="1" x14ac:dyDescent="0.25">
      <c r="B11" s="5" t="s">
        <v>120</v>
      </c>
      <c r="C11" s="45">
        <v>2.3415999999999999E-2</v>
      </c>
      <c r="D11" s="53">
        <v>2.3415999999999999E-2</v>
      </c>
      <c r="E11" s="53">
        <v>3.3147799999999998E-2</v>
      </c>
      <c r="F11" s="53">
        <v>3.2439500000000003E-2</v>
      </c>
      <c r="G11" s="53">
        <v>8.8728000000000001E-3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0.55798007500000002</v>
      </c>
      <c r="D14" s="54">
        <v>0.52895796887199997</v>
      </c>
      <c r="E14" s="54">
        <v>0.52895796887199997</v>
      </c>
      <c r="F14" s="54">
        <v>0.31842903291500002</v>
      </c>
      <c r="G14" s="54">
        <v>0.31842903291500002</v>
      </c>
      <c r="H14" s="45">
        <v>0.57799999999999996</v>
      </c>
      <c r="I14" s="55">
        <v>0.57799999999999996</v>
      </c>
      <c r="J14" s="55">
        <v>0.57799999999999996</v>
      </c>
      <c r="K14" s="55">
        <v>0.57799999999999996</v>
      </c>
      <c r="L14" s="45">
        <v>0.48799999999999999</v>
      </c>
      <c r="M14" s="55">
        <v>0.48799999999999999</v>
      </c>
      <c r="N14" s="55">
        <v>0.48799999999999999</v>
      </c>
      <c r="O14" s="55">
        <v>0.48799999999999999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0.23399117637155001</v>
      </c>
      <c r="D15" s="52">
        <f t="shared" si="0"/>
        <v>0.22182064007834867</v>
      </c>
      <c r="E15" s="52">
        <f t="shared" si="0"/>
        <v>0.22182064007834867</v>
      </c>
      <c r="F15" s="52">
        <f t="shared" si="0"/>
        <v>0.13353448866903692</v>
      </c>
      <c r="G15" s="52">
        <f t="shared" si="0"/>
        <v>0.13353448866903692</v>
      </c>
      <c r="H15" s="52">
        <f t="shared" si="0"/>
        <v>0.24238661199999997</v>
      </c>
      <c r="I15" s="52">
        <f t="shared" si="0"/>
        <v>0.24238661199999997</v>
      </c>
      <c r="J15" s="52">
        <f t="shared" si="0"/>
        <v>0.24238661199999997</v>
      </c>
      <c r="K15" s="52">
        <f t="shared" si="0"/>
        <v>0.24238661199999997</v>
      </c>
      <c r="L15" s="52">
        <f t="shared" si="0"/>
        <v>0.20464475199999999</v>
      </c>
      <c r="M15" s="52">
        <f t="shared" si="0"/>
        <v>0.20464475199999999</v>
      </c>
      <c r="N15" s="52">
        <f t="shared" si="0"/>
        <v>0.20464475199999999</v>
      </c>
      <c r="O15" s="52">
        <f t="shared" si="0"/>
        <v>0.20464475199999999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S+IktO8i/ALSKp9CPnQPDbxK0xHLiEudG7+H/hcGbKv8skaAsxCKz+ZmG+DQOyut48cw2jBpBYZ/ZDkvdgywg==" saltValue="+RvpPc8/LUDG8q+YTeDg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0.45345079999999999</v>
      </c>
      <c r="D2" s="53">
        <v>0.34070879999999998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0.35429680000000002</v>
      </c>
      <c r="D3" s="53">
        <v>0.35324159999999999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0.1616264</v>
      </c>
      <c r="D4" s="53">
        <v>0.28525210000000001</v>
      </c>
      <c r="E4" s="53">
        <v>0.96806420000000004</v>
      </c>
      <c r="F4" s="53">
        <v>0.5590465</v>
      </c>
      <c r="G4" s="53">
        <v>0</v>
      </c>
    </row>
    <row r="5" spans="1:7" x14ac:dyDescent="0.25">
      <c r="B5" s="3" t="s">
        <v>132</v>
      </c>
      <c r="C5" s="52">
        <v>3.0626E-2</v>
      </c>
      <c r="D5" s="52">
        <v>2.07975E-2</v>
      </c>
      <c r="E5" s="52">
        <f>1-SUM(E2:E4)</f>
        <v>3.1935799999999959E-2</v>
      </c>
      <c r="F5" s="52">
        <f>1-SUM(F2:F4)</f>
        <v>0.4409535</v>
      </c>
      <c r="G5" s="52">
        <f>1-SUM(G2:G4)</f>
        <v>1</v>
      </c>
    </row>
  </sheetData>
  <sheetProtection algorithmName="SHA-512" hashValue="zmY71woXBvzSFDqnCYT4bu0ZgosANZq0GnEkcCVUYb3A9J0+5m0wE+l2n935au5LNDz0wpYzuu3KsOAcOhXzIw==" saltValue="MNXN09xIdBbZawlQy9drA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sohdjhWtXpP3Mj/kFEAC1AvQ1B7olJPyIytT+P0flBOIL8+Ktp4hM0W6tgUYFCcqCB2OWpro2WC3MVIyFPQig==" saltValue="K95ubvfD0nac3CfCMPygh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6V5pu9gfl0D469BMTsgzaoYgd8hVcvfuyTdVXdcBS2rf01/0Hjr5uK3WdUPAZtHzksvF6p6MznAYdwh7gSFinw==" saltValue="zTo37MAj4p8twFq+3F10l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/XWHq/IXn4yNnpKKDBVuol42k2tDsD50nzQUuFg4Y2iuq8Uy0buYhVTWGp8aPHPbY+cZiGOZTAvujq7kBYNTtA==" saltValue="bF8O3X42vUVZh7ymP7pxz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vIl+66D6jPnqmMYooqcDOTbrCIEyzA9pt5dZjdY/EX0OzBk+RL8QTcTba69oKuaJ3TKW4N5Jxj2+3sQELQXbSA==" saltValue="DRt59H7HzMCGvCn2gnsJf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39.888859002919943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0.17195999738539999</v>
      </c>
      <c r="C3" s="98">
        <v>0.95</v>
      </c>
      <c r="D3" s="56">
        <v>54.752071881275683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130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3.805795445360411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0.30538290000000001</v>
      </c>
      <c r="C10" s="98">
        <v>0.95</v>
      </c>
      <c r="D10" s="56">
        <v>17.43582110877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0.30538290000000001</v>
      </c>
      <c r="C11" s="98">
        <v>0.95</v>
      </c>
      <c r="D11" s="56">
        <v>17.43582110877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0.30538290000000001</v>
      </c>
      <c r="C12" s="98">
        <v>0.95</v>
      </c>
      <c r="D12" s="56">
        <v>17.43582110877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0.30538290000000001</v>
      </c>
      <c r="C13" s="98">
        <v>0.95</v>
      </c>
      <c r="D13" s="56">
        <v>17.43582110877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0.30538290000000001</v>
      </c>
      <c r="C14" s="98">
        <v>0.95</v>
      </c>
      <c r="D14" s="56">
        <v>17.43582110877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0.30538290000000001</v>
      </c>
      <c r="C15" s="98">
        <v>0.95</v>
      </c>
      <c r="D15" s="56">
        <v>17.43582110877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0.67</v>
      </c>
      <c r="C16" s="98">
        <v>0.95</v>
      </c>
      <c r="D16" s="56">
        <v>0.36188471973576708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0.143035555555556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6.1726415088800002E-2</v>
      </c>
      <c r="C18" s="98">
        <v>0.95</v>
      </c>
      <c r="D18" s="56">
        <v>3.082565241453175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0.46570679999999998</v>
      </c>
      <c r="C19" s="98">
        <v>0.95</v>
      </c>
      <c r="D19" s="56">
        <v>3.082565241453175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0.12378939999999999</v>
      </c>
      <c r="C21" s="98">
        <v>0.95</v>
      </c>
      <c r="D21" s="56">
        <v>33.744034081912098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29.75485142592801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5.7056441979252872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0.4677424218656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0.30538290000000001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25.164486250613059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0.36680256677680001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72.244943512455777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0.56999999999999995</v>
      </c>
      <c r="C31" s="98">
        <v>0.95</v>
      </c>
      <c r="D31" s="56">
        <v>0.35349840139862337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0.71154246388970954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0.56999999999999995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0.31096489999999999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0.45741510000000002</v>
      </c>
      <c r="C38" s="98">
        <v>0.95</v>
      </c>
      <c r="D38" s="56">
        <v>8.1649856306609028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WeCqWkUaJTEUDg06CPOfFodRc778pqwdJD+UxzxM2WLrBGTmYFQVIwnWplOJ8/Eohr5FMXCjrPqJ6SrV+8Ildw==" saltValue="cqnWjSiltClVP7USmhCE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w4t5DI/g2w20GIJ3LmP4DbF77ducPHq7gZSaxKbIYakYrivixtFZ9MU8qR0dWcENr6hvDAwqb0ES6EtiuTttg==" saltValue="dtgc/emKPORrGYURT0PY+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MqoybFSIcdj6MxDfqZ5NZSf3hvkLQBXwn0pfNJRTUV5CQP1XKcCbuOVhO31CU3/3YSvlVIM6AHakUn1w0Upepg==" saltValue="rsKBewTamSkwHiyltsl6k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0.12158224000000001</v>
      </c>
      <c r="C3" s="21">
        <f>frac_mam_1_5months * 2.6</f>
        <v>0.12158224000000001</v>
      </c>
      <c r="D3" s="21">
        <f>frac_mam_6_11months * 2.6</f>
        <v>0.26646515999999998</v>
      </c>
      <c r="E3" s="21">
        <f>frac_mam_12_23months * 2.6</f>
        <v>0.20430253999999998</v>
      </c>
      <c r="F3" s="21">
        <f>frac_mam_24_59months * 2.6</f>
        <v>8.2727580000000009E-2</v>
      </c>
    </row>
    <row r="4" spans="1:6" ht="15.75" customHeight="1" x14ac:dyDescent="0.25">
      <c r="A4" s="3" t="s">
        <v>208</v>
      </c>
      <c r="B4" s="21">
        <f>frac_sam_1month * 2.6</f>
        <v>6.0881600000000001E-2</v>
      </c>
      <c r="C4" s="21">
        <f>frac_sam_1_5months * 2.6</f>
        <v>6.0881600000000001E-2</v>
      </c>
      <c r="D4" s="21">
        <f>frac_sam_6_11months * 2.6</f>
        <v>8.6184280000000002E-2</v>
      </c>
      <c r="E4" s="21">
        <f>frac_sam_12_23months * 2.6</f>
        <v>8.4342700000000007E-2</v>
      </c>
      <c r="F4" s="21">
        <f>frac_sam_24_59months * 2.6</f>
        <v>2.3069280000000001E-2</v>
      </c>
    </row>
  </sheetData>
  <sheetProtection algorithmName="SHA-512" hashValue="yiBjW2GPvwV63pQxH9zKEqkPvivDaqc9irsHawLtZ9BVE84LWVfgeWtM6aqSQlruSMTWbiu1NElWJrGfEGQ0bA==" saltValue="7DKN4ylDon6lKAbqs3Fzr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0.53500000000000003</v>
      </c>
      <c r="E2" s="60">
        <f>food_insecure</f>
        <v>0.53500000000000003</v>
      </c>
      <c r="F2" s="60">
        <f>food_insecure</f>
        <v>0.53500000000000003</v>
      </c>
      <c r="G2" s="60">
        <f>food_insecure</f>
        <v>0.53500000000000003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0.53500000000000003</v>
      </c>
      <c r="F5" s="60">
        <f>food_insecure</f>
        <v>0.53500000000000003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0.53500000000000003</v>
      </c>
      <c r="F8" s="60">
        <f>food_insecure</f>
        <v>0.53500000000000003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0.53500000000000003</v>
      </c>
      <c r="F9" s="60">
        <f>food_insecure</f>
        <v>0.53500000000000003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0.53500000000000003</v>
      </c>
      <c r="I15" s="60">
        <f>food_insecure</f>
        <v>0.53500000000000003</v>
      </c>
      <c r="J15" s="60">
        <f>food_insecure</f>
        <v>0.53500000000000003</v>
      </c>
      <c r="K15" s="60">
        <f>food_insecure</f>
        <v>0.53500000000000003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5.7068011787414274E-2</v>
      </c>
      <c r="M25" s="60">
        <f>(1-food_insecure)*(0.49)+food_insecure*(0.7)</f>
        <v>0.60234999999999994</v>
      </c>
      <c r="N25" s="60">
        <f>(1-food_insecure)*(0.49)+food_insecure*(0.7)</f>
        <v>0.60234999999999994</v>
      </c>
      <c r="O25" s="60">
        <f>(1-food_insecure)*(0.49)+food_insecure*(0.7)</f>
        <v>0.60234999999999994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2.4457719337463261E-2</v>
      </c>
      <c r="M26" s="60">
        <f>(1-food_insecure)*(0.21)+food_insecure*(0.3)</f>
        <v>0.25814999999999999</v>
      </c>
      <c r="N26" s="60">
        <f>(1-food_insecure)*(0.21)+food_insecure*(0.3)</f>
        <v>0.25814999999999999</v>
      </c>
      <c r="O26" s="60">
        <f>(1-food_insecure)*(0.21)+food_insecure*(0.3)</f>
        <v>0.25814999999999999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1.3216547927856379E-2</v>
      </c>
      <c r="M27" s="60">
        <f>(1-food_insecure)*(0.3)</f>
        <v>0.13949999999999999</v>
      </c>
      <c r="N27" s="60">
        <f>(1-food_insecure)*(0.3)</f>
        <v>0.13949999999999999</v>
      </c>
      <c r="O27" s="60">
        <f>(1-food_insecure)*(0.3)</f>
        <v>0.13949999999999999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0.90525772094726609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0.99</v>
      </c>
      <c r="D34" s="60">
        <f t="shared" si="3"/>
        <v>0.99</v>
      </c>
      <c r="E34" s="60">
        <f t="shared" si="3"/>
        <v>0.99</v>
      </c>
      <c r="F34" s="60">
        <f t="shared" si="3"/>
        <v>0.99</v>
      </c>
      <c r="G34" s="60">
        <f t="shared" si="3"/>
        <v>0.99</v>
      </c>
      <c r="H34" s="60">
        <f t="shared" si="3"/>
        <v>0.99</v>
      </c>
      <c r="I34" s="60">
        <f t="shared" si="3"/>
        <v>0.99</v>
      </c>
      <c r="J34" s="60">
        <f t="shared" si="3"/>
        <v>0.99</v>
      </c>
      <c r="K34" s="60">
        <f t="shared" si="3"/>
        <v>0.99</v>
      </c>
      <c r="L34" s="60">
        <f t="shared" si="3"/>
        <v>0.99</v>
      </c>
      <c r="M34" s="60">
        <f t="shared" si="3"/>
        <v>0.99</v>
      </c>
      <c r="N34" s="60">
        <f t="shared" si="3"/>
        <v>0.99</v>
      </c>
      <c r="O34" s="60">
        <f t="shared" si="3"/>
        <v>0.99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ftpXyrdN0K3uL+9csQaDjJIQZnxkcUDSd4+gl+huYefErg67v89zY1qA3UIfUUkuT+fpWhesMzjcl7qsfrMBg==" saltValue="W49iz+L5FaIECM4EsLElr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d5MrsjYwvEuaKRDWPNpwslNNGyRRnbqzlIsdMquNQhHahPMrzDYBg/5v9s2ABxNsrdyJjUne6Hjmsl/QIH+4Q==" saltValue="CE8o9pWWOvxPfDbXWCUa8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ze4n2o6F5md2EPpfh8xxkCfOeHzx6zvXpGWq9u+Lkk1mGkaSN5+NF3f6N/9xc4Ib2+g4fB4J/JUqFPzthE52w==" saltValue="KdmFJv2uE5FZhZ3k2i9ni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0omU2zoTyauyH5bpWLY9Kd2d4tG6ICoZSg9E6iWfDkr6EOufm6ShezIq6uz1VZH00oSQuW6VfxqPBR29NgQNA==" saltValue="jFR3zkmeIgzqdARqNo3R/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w4uoikMH3AsouIMSF8eTQvH8ePy9eUC+7V8NblaCiv5BN5kBt3gEwCGqH/WbV4Uqx7NogQw2Iya5v5kWUyWe8g==" saltValue="/GfHXAenSB2SYbC8QZ1g1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tulg/yMSW4MVvxT2QsU+03wwj5JsxHC/5Jkl/Trj7pY5XamYd8QhLVssnyOzqVSgJ77VHbt+3CY2Mc7E1pF1pQ==" saltValue="bE0ji/7pet+siJ83FLOkV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IWHVrjjCydKAQxvayVtgdZWkggM7ZjAyJO4JxlUHBkcIdpqL0KDpAtHclLhVGvGjzu5ll1fFKD5erjOAUMk9YQ==" saltValue="Aan/poth6Nf8+Km/L52GL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gozccuGG6EKbdYQk4eEhvo/aIknD3qjeLYLXd1lVxOshWbsLJ26jLTLHzo7gRliG8AtpjrtcCCwpjUH6NVRJg==" saltValue="UF5J5iEze7v8ccfz0rdm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IRZwdvo01mpVn0cjk5JhTO2hG2+vccbG+jeQOzv6AIO+cHoYlZ5Fxwa8lm3T1quVJ8ZEIN/Nk5ibLdbq3RZDA==" saltValue="7M9VaZOQG5RZaE3+1ERT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t10I8R7TVdZMpbOvrdtgQxGR3dBf+59tBMXXgBBCP/YCriV27PnTBx5wvl+KRmVCsgXJMSAUBceqIuIl7t07fA==" saltValue="e0e7R07/86Aq00ncDuUC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u7z1QcuhzfnrQFPdo1EYCPPD7duLaxDxuK/adOSANJGsq45ey9zvqp/ZBfx6aX5TVfGy/7ZKKCV3l+GmYXddg==" saltValue="NZEaQT5QocaS3qyjZvaC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my5lLiPEnEgiJ0mlaNUWNsN1IGc93wZHxKGWIfzEKdV/JbRQH0IYczUcC953B6bfNWQycSkzh5gmFhGvHEKiw==" saltValue="lX36MQEhNh7S7s+Lddi6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wKLzGlUmUD7cIDgBABHfD6V19b2XphO6JhlqiBzK4ahF7zpKABeZbzFjx6DWmIHpslYmydbcoYkX8MrXhzFxw==" saltValue="zdswWrnXTCbuOlQI4uvGB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zKq4PRXNNOZjiDTGPvwkqwGJrbdW+UMT+js/UtQqn5wwcYnnbsILJCvc959oqm9P8BJY/tR7EDU3GNKwz03Ssg==" saltValue="y03GabEGs0X3IQ2w1EKH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fwHc6aSIJRHjExrv8OZTGnTVcA8sxC58HCiAMUZyjBRl9lNheiQLl5XEcO25mGVdZDNrrIj5uOQR0rd9ZhgOIQ==" saltValue="KjWc6QyXCACMsVuQoj2KN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2024-05-17T00:46:50Z</dcterms:modified>
</cp:coreProperties>
</file>