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8CC5B6F5-291F-42B4-B8D7-D99C518485C9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G152" i="27" s="1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A35" i="2"/>
  <c r="A31" i="2"/>
  <c r="A19" i="2"/>
  <c r="A15" i="2"/>
  <c r="H13" i="2"/>
  <c r="G13" i="2"/>
  <c r="H12" i="2"/>
  <c r="G12" i="2"/>
  <c r="I12" i="2" s="1"/>
  <c r="H11" i="2"/>
  <c r="G11" i="2"/>
  <c r="H10" i="2"/>
  <c r="G10" i="2"/>
  <c r="I10" i="2" s="1"/>
  <c r="H9" i="2"/>
  <c r="G9" i="2"/>
  <c r="H8" i="2"/>
  <c r="G8" i="2"/>
  <c r="I8" i="2" s="1"/>
  <c r="H7" i="2"/>
  <c r="G7" i="2"/>
  <c r="H6" i="2"/>
  <c r="G6" i="2"/>
  <c r="I6" i="2" s="1"/>
  <c r="H5" i="2"/>
  <c r="G5" i="2"/>
  <c r="H4" i="2"/>
  <c r="G4" i="2"/>
  <c r="I4" i="2" s="1"/>
  <c r="H3" i="2"/>
  <c r="G3" i="2"/>
  <c r="H2" i="2"/>
  <c r="G2" i="2"/>
  <c r="I2" i="2" s="1"/>
  <c r="A2" i="2"/>
  <c r="A40" i="2" s="1"/>
  <c r="C33" i="1"/>
  <c r="C20" i="1"/>
  <c r="I5" i="2" l="1"/>
  <c r="I9" i="2"/>
  <c r="I13" i="2"/>
  <c r="I38" i="2"/>
  <c r="I3" i="2"/>
  <c r="I7" i="2"/>
  <c r="I11" i="2"/>
  <c r="A23" i="2"/>
  <c r="I40" i="2"/>
  <c r="A27" i="2"/>
  <c r="A16" i="2"/>
  <c r="A24" i="2"/>
  <c r="A32" i="2"/>
  <c r="A25" i="2"/>
  <c r="A33" i="2"/>
  <c r="A17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26" i="2"/>
  <c r="A34" i="2"/>
  <c r="A39" i="2"/>
  <c r="A20" i="2"/>
  <c r="A28" i="2"/>
  <c r="A36" i="2"/>
  <c r="A21" i="2"/>
  <c r="A29" i="2"/>
  <c r="A37" i="2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<sst xmlns="http://schemas.openxmlformats.org/spreadsheetml/2006/main" count="2101" uniqueCount="337">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</sst>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35537.190429687507</v>
      </c>
    </row>
    <row r="8" spans="1:3" ht="15" customHeight="1" x14ac:dyDescent="0.25">
      <c r="B8" s="5" t="s">
        <v>19</v>
      </c>
      <c r="C8" s="44">
        <v>0.13900000000000001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0.72714500427246098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0.34100000000000003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0.1298</v>
      </c>
    </row>
    <row r="24" spans="1:3" ht="15" customHeight="1" x14ac:dyDescent="0.25">
      <c r="B24" s="15" t="s">
        <v>33</v>
      </c>
      <c r="C24" s="45">
        <v>0.56009999999999993</v>
      </c>
    </row>
    <row r="25" spans="1:3" ht="15" customHeight="1" x14ac:dyDescent="0.25">
      <c r="B25" s="15" t="s">
        <v>34</v>
      </c>
      <c r="C25" s="45">
        <v>0.27879999999999999</v>
      </c>
    </row>
    <row r="26" spans="1:3" ht="15" customHeight="1" x14ac:dyDescent="0.25">
      <c r="B26" s="15" t="s">
        <v>35</v>
      </c>
      <c r="C26" s="45">
        <v>3.1300000000000001E-2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</v>
      </c>
    </row>
    <row r="30" spans="1:3" ht="14.25" customHeight="1" x14ac:dyDescent="0.25">
      <c r="B30" s="25" t="s">
        <v>38</v>
      </c>
      <c r="C30" s="99">
        <v>0</v>
      </c>
    </row>
    <row r="31" spans="1:3" ht="14.25" customHeight="1" x14ac:dyDescent="0.25">
      <c r="B31" s="25" t="s">
        <v>39</v>
      </c>
      <c r="C31" s="99">
        <v>0</v>
      </c>
    </row>
    <row r="32" spans="1:3" ht="14.25" customHeight="1" x14ac:dyDescent="0.25">
      <c r="B32" s="25" t="s">
        <v>40</v>
      </c>
      <c r="C32" s="99">
        <v>0</v>
      </c>
    </row>
    <row r="33" spans="1:5" ht="13" customHeight="1" x14ac:dyDescent="0.25">
      <c r="B33" s="27" t="s">
        <v>41</v>
      </c>
      <c r="C33" s="48">
        <f>SUM(C29:C32)</f>
        <v>0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7.4189699999999998</v>
      </c>
    </row>
    <row r="38" spans="1:5" ht="15" customHeight="1" x14ac:dyDescent="0.25">
      <c r="B38" s="11" t="s">
        <v>45</v>
      </c>
      <c r="C38" s="43">
        <v>9.6127500000000001</v>
      </c>
      <c r="D38" s="12"/>
      <c r="E38" s="13"/>
    </row>
    <row r="39" spans="1:5" ht="15" customHeight="1" x14ac:dyDescent="0.25">
      <c r="B39" s="11" t="s">
        <v>46</v>
      </c>
      <c r="C39" s="43">
        <v>11.18662</v>
      </c>
      <c r="D39" s="12"/>
      <c r="E39" s="12"/>
    </row>
    <row r="40" spans="1:5" ht="15" customHeight="1" x14ac:dyDescent="0.25">
      <c r="B40" s="11" t="s">
        <v>47</v>
      </c>
      <c r="C40" s="100">
        <v>1.3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6.8913500000000001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7.1999000000000004E-3</v>
      </c>
      <c r="D45" s="12"/>
    </row>
    <row r="46" spans="1:5" ht="15.75" customHeight="1" x14ac:dyDescent="0.25">
      <c r="B46" s="11" t="s">
        <v>52</v>
      </c>
      <c r="C46" s="45">
        <v>7.7361899999999997E-2</v>
      </c>
      <c r="D46" s="12"/>
    </row>
    <row r="47" spans="1:5" ht="15.75" customHeight="1" x14ac:dyDescent="0.25">
      <c r="B47" s="11" t="s">
        <v>53</v>
      </c>
      <c r="C47" s="45">
        <v>7.4153999999999998E-2</v>
      </c>
      <c r="D47" s="12"/>
      <c r="E47" s="13"/>
    </row>
    <row r="48" spans="1:5" ht="15" customHeight="1" x14ac:dyDescent="0.25">
      <c r="B48" s="11" t="s">
        <v>54</v>
      </c>
      <c r="C48" s="46">
        <v>0.84128420000000004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3.2</v>
      </c>
      <c r="D51" s="12"/>
    </row>
    <row r="52" spans="1:4" ht="15" customHeight="1" x14ac:dyDescent="0.25">
      <c r="B52" s="11" t="s">
        <v>57</v>
      </c>
      <c r="C52" s="100">
        <v>3.2</v>
      </c>
    </row>
    <row r="53" spans="1:4" ht="15.75" customHeight="1" x14ac:dyDescent="0.25">
      <c r="B53" s="11" t="s">
        <v>58</v>
      </c>
      <c r="C53" s="100">
        <v>3.2</v>
      </c>
    </row>
    <row r="54" spans="1:4" ht="15.75" customHeight="1" x14ac:dyDescent="0.25">
      <c r="B54" s="11" t="s">
        <v>59</v>
      </c>
      <c r="C54" s="100">
        <v>3.2</v>
      </c>
    </row>
    <row r="55" spans="1:4" ht="15.75" customHeight="1" x14ac:dyDescent="0.25">
      <c r="B55" s="11" t="s">
        <v>60</v>
      </c>
      <c r="C55" s="100">
        <v>3.2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1.9375E-2</v>
      </c>
    </row>
    <row r="59" spans="1:4" ht="15.75" customHeight="1" x14ac:dyDescent="0.25">
      <c r="B59" s="11" t="s">
        <v>63</v>
      </c>
      <c r="C59" s="45">
        <v>0.56960999999999995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8.5988007000000005E-2</v>
      </c>
    </row>
    <row r="63" spans="1:4" ht="15.75" customHeight="1" x14ac:dyDescent="0.3">
      <c r="A63" s="4"/>
    </row>
  </sheetData>
  <sheetProtection algorithmName="SHA-512" hashValue="HSuTqCT2WFawDiFpqXJEX0bQ7Poab9Xyy2xNWrEdODpPtZPE2ZCKk3HQsUlhXDQjUYFKYs4CUvB/uN2LJZNOng==" saltValue="MYo5EcmLeQjHUAxyheCb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7242</v>
      </c>
      <c r="C2" s="49">
        <v>22458.5</v>
      </c>
      <c r="D2" s="49">
        <v>38634</v>
      </c>
      <c r="E2" s="49">
        <v>33656</v>
      </c>
      <c r="F2" s="49">
        <v>22390</v>
      </c>
      <c r="G2" s="17">
        <f t="shared" ref="G2:G13" si="0">C2+D2+E2+F2</f>
        <v>117138.5</v>
      </c>
      <c r="H2" s="17">
        <f t="shared" ref="H2:H13" si="1">(B2 + stillbirth*B2/(1000-stillbirth))/(1-abortion)</f>
        <v>8286.6516715421367</v>
      </c>
      <c r="I2" s="17">
        <f t="shared" ref="I2:I13" si="2">G2-H2</f>
        <v>108851.84832845787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7239</v>
      </c>
      <c r="C3" s="50">
        <v>22171</v>
      </c>
      <c r="D3" s="50">
        <v>38823</v>
      </c>
      <c r="E3" s="50">
        <v>34401.5</v>
      </c>
      <c r="F3" s="50">
        <v>23091</v>
      </c>
      <c r="G3" s="17">
        <f t="shared" si="0"/>
        <v>118486.5</v>
      </c>
      <c r="H3" s="17">
        <f t="shared" si="1"/>
        <v>8283.2189243708272</v>
      </c>
      <c r="I3" s="17">
        <f t="shared" si="2"/>
        <v>110203.28107562917</v>
      </c>
    </row>
    <row r="4" spans="1:9" ht="15.75" customHeight="1" x14ac:dyDescent="0.25">
      <c r="A4" s="5">
        <f t="shared" si="3"/>
        <v>2026</v>
      </c>
      <c r="B4" s="49">
        <v>7219</v>
      </c>
      <c r="C4" s="50">
        <v>21984.5</v>
      </c>
      <c r="D4" s="50">
        <v>38955.5</v>
      </c>
      <c r="E4" s="50">
        <v>35099.5</v>
      </c>
      <c r="F4" s="50">
        <v>23795.5</v>
      </c>
      <c r="G4" s="17">
        <f t="shared" si="0"/>
        <v>119835</v>
      </c>
      <c r="H4" s="17">
        <f t="shared" si="1"/>
        <v>8260.3339432287594</v>
      </c>
      <c r="I4" s="17">
        <f t="shared" si="2"/>
        <v>111574.66605677124</v>
      </c>
    </row>
    <row r="5" spans="1:9" ht="15.75" customHeight="1" x14ac:dyDescent="0.25">
      <c r="A5" s="5">
        <f t="shared" si="3"/>
        <v>2027</v>
      </c>
      <c r="B5" s="49">
        <v>7229</v>
      </c>
      <c r="C5" s="50">
        <v>21909</v>
      </c>
      <c r="D5" s="50">
        <v>39001</v>
      </c>
      <c r="E5" s="50">
        <v>35750</v>
      </c>
      <c r="F5" s="50">
        <v>24520</v>
      </c>
      <c r="G5" s="17">
        <f t="shared" si="0"/>
        <v>121180</v>
      </c>
      <c r="H5" s="17">
        <f t="shared" si="1"/>
        <v>8271.7764337997924</v>
      </c>
      <c r="I5" s="17">
        <f t="shared" si="2"/>
        <v>112908.22356620021</v>
      </c>
    </row>
    <row r="6" spans="1:9" ht="15.75" customHeight="1" x14ac:dyDescent="0.25">
      <c r="A6" s="5">
        <f t="shared" si="3"/>
        <v>2028</v>
      </c>
      <c r="B6" s="49">
        <v>7198</v>
      </c>
      <c r="C6" s="50">
        <v>21932</v>
      </c>
      <c r="D6" s="50">
        <v>38936.5</v>
      </c>
      <c r="E6" s="50">
        <v>36372.5</v>
      </c>
      <c r="F6" s="50">
        <v>25273</v>
      </c>
      <c r="G6" s="17">
        <f t="shared" si="0"/>
        <v>122514</v>
      </c>
      <c r="H6" s="17">
        <f t="shared" si="1"/>
        <v>8236.3047130295909</v>
      </c>
      <c r="I6" s="17">
        <f t="shared" si="2"/>
        <v>114277.69528697041</v>
      </c>
    </row>
    <row r="7" spans="1:9" ht="15.75" customHeight="1" x14ac:dyDescent="0.25">
      <c r="A7" s="5">
        <f t="shared" si="3"/>
        <v>2029</v>
      </c>
      <c r="B7" s="49">
        <v>7188</v>
      </c>
      <c r="C7" s="50">
        <v>22018</v>
      </c>
      <c r="D7" s="50">
        <v>38771</v>
      </c>
      <c r="E7" s="50">
        <v>36981</v>
      </c>
      <c r="F7" s="50">
        <v>26057</v>
      </c>
      <c r="G7" s="17">
        <f t="shared" si="0"/>
        <v>123827</v>
      </c>
      <c r="H7" s="17">
        <f t="shared" si="1"/>
        <v>8224.8622224585579</v>
      </c>
      <c r="I7" s="17">
        <f t="shared" si="2"/>
        <v>115602.13777754144</v>
      </c>
    </row>
    <row r="8" spans="1:9" ht="15.75" customHeight="1" x14ac:dyDescent="0.25">
      <c r="A8" s="5">
        <f t="shared" si="3"/>
        <v>2030</v>
      </c>
      <c r="B8" s="49">
        <v>7171</v>
      </c>
      <c r="C8" s="50">
        <v>22215</v>
      </c>
      <c r="D8" s="50">
        <v>38467.5</v>
      </c>
      <c r="E8" s="50">
        <v>37552.5</v>
      </c>
      <c r="F8" s="50">
        <v>26841.5</v>
      </c>
      <c r="G8" s="17">
        <f t="shared" si="0"/>
        <v>125076.5</v>
      </c>
      <c r="H8" s="17">
        <f t="shared" si="1"/>
        <v>8205.4099884878015</v>
      </c>
      <c r="I8" s="17">
        <f t="shared" si="2"/>
        <v>116871.09001151219</v>
      </c>
    </row>
    <row r="9" spans="1:9" ht="15.75" customHeight="1" x14ac:dyDescent="0.25">
      <c r="A9" s="5">
        <f t="shared" si="3"/>
        <v>2031</v>
      </c>
      <c r="B9" s="49">
        <v>7164</v>
      </c>
      <c r="C9" s="50">
        <v>22477.5</v>
      </c>
      <c r="D9" s="50">
        <v>38118</v>
      </c>
      <c r="E9" s="50">
        <v>38043.5</v>
      </c>
      <c r="F9" s="50">
        <v>27600</v>
      </c>
      <c r="G9" s="17">
        <f t="shared" si="0"/>
        <v>126239</v>
      </c>
      <c r="H9" s="17">
        <f t="shared" si="1"/>
        <v>8197.400245088078</v>
      </c>
      <c r="I9" s="17">
        <f t="shared" si="2"/>
        <v>118041.59975491192</v>
      </c>
    </row>
    <row r="10" spans="1:9" ht="15.75" customHeight="1" x14ac:dyDescent="0.25">
      <c r="A10" s="5">
        <f t="shared" si="3"/>
        <v>2032</v>
      </c>
      <c r="B10" s="49">
        <v>7149</v>
      </c>
      <c r="C10" s="50">
        <v>22710.5</v>
      </c>
      <c r="D10" s="50">
        <v>37862.5</v>
      </c>
      <c r="E10" s="50">
        <v>38441</v>
      </c>
      <c r="F10" s="50">
        <v>28346</v>
      </c>
      <c r="G10" s="17">
        <f t="shared" si="0"/>
        <v>127360</v>
      </c>
      <c r="H10" s="17">
        <f t="shared" si="1"/>
        <v>8180.2365092315295</v>
      </c>
      <c r="I10" s="17">
        <f t="shared" si="2"/>
        <v>119179.76349076847</v>
      </c>
    </row>
    <row r="11" spans="1:9" ht="15.75" customHeight="1" x14ac:dyDescent="0.25">
      <c r="A11" s="5">
        <f t="shared" si="3"/>
        <v>2033</v>
      </c>
      <c r="B11" s="49">
        <v>7105</v>
      </c>
      <c r="C11" s="50">
        <v>22739.5</v>
      </c>
      <c r="D11" s="50">
        <v>37693</v>
      </c>
      <c r="E11" s="50">
        <v>38757</v>
      </c>
      <c r="F11" s="50">
        <v>29074</v>
      </c>
      <c r="G11" s="17">
        <f t="shared" si="0"/>
        <v>128263.5</v>
      </c>
      <c r="H11" s="17">
        <f t="shared" si="1"/>
        <v>8129.8895507189836</v>
      </c>
      <c r="I11" s="17">
        <f t="shared" si="2"/>
        <v>120133.61044928101</v>
      </c>
    </row>
    <row r="12" spans="1:9" ht="15.75" customHeight="1" x14ac:dyDescent="0.25">
      <c r="A12" s="5">
        <f t="shared" si="3"/>
        <v>2034</v>
      </c>
      <c r="B12" s="49">
        <v>7105</v>
      </c>
      <c r="C12" s="50">
        <v>22483</v>
      </c>
      <c r="D12" s="50">
        <v>37588</v>
      </c>
      <c r="E12" s="50">
        <v>39002.5</v>
      </c>
      <c r="F12" s="50">
        <v>29782.5</v>
      </c>
      <c r="G12" s="17">
        <f t="shared" si="0"/>
        <v>128856</v>
      </c>
      <c r="H12" s="17">
        <f t="shared" si="1"/>
        <v>8129.8895507189836</v>
      </c>
      <c r="I12" s="17">
        <f t="shared" si="2"/>
        <v>120726.11044928101</v>
      </c>
    </row>
    <row r="13" spans="1:9" ht="15.75" customHeight="1" x14ac:dyDescent="0.25">
      <c r="A13" s="5">
        <f t="shared" si="3"/>
        <v>2035</v>
      </c>
      <c r="B13" s="49">
        <v>7067</v>
      </c>
      <c r="C13" s="50">
        <v>22165</v>
      </c>
      <c r="D13" s="50">
        <v>37522.5</v>
      </c>
      <c r="E13" s="50">
        <v>39193.5</v>
      </c>
      <c r="F13" s="50">
        <v>30477</v>
      </c>
      <c r="G13" s="17">
        <f t="shared" si="0"/>
        <v>129358</v>
      </c>
      <c r="H13" s="17">
        <f t="shared" si="1"/>
        <v>8086.4080865490587</v>
      </c>
      <c r="I13" s="17">
        <f t="shared" si="2"/>
        <v>121271.59191345095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D5uE5wNbajAKnlwsqyvs5XgwtdNzQ4qpIuQUfUvJ6S99CekfR8yZIjyofOG2vr/qbZtVfhVgIltwEOuVKBk7dg==" saltValue="7Kkh0PUSJof37SWh7XGjJ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0</v>
      </c>
    </row>
    <row r="4" spans="1:8" ht="15.75" customHeight="1" x14ac:dyDescent="0.25">
      <c r="B4" s="19" t="s">
        <v>79</v>
      </c>
      <c r="C4" s="101">
        <v>7.087850000000008E-2</v>
      </c>
    </row>
    <row r="5" spans="1:8" ht="15.75" customHeight="1" x14ac:dyDescent="0.25">
      <c r="B5" s="19" t="s">
        <v>80</v>
      </c>
      <c r="C5" s="101">
        <v>2.284790000000006E-2</v>
      </c>
    </row>
    <row r="6" spans="1:8" ht="15.75" customHeight="1" x14ac:dyDescent="0.25">
      <c r="B6" s="19" t="s">
        <v>81</v>
      </c>
      <c r="C6" s="101">
        <v>0.16041219999999951</v>
      </c>
    </row>
    <row r="7" spans="1:8" ht="15.75" customHeight="1" x14ac:dyDescent="0.25">
      <c r="B7" s="19" t="s">
        <v>82</v>
      </c>
      <c r="C7" s="101">
        <v>0.44154420000000061</v>
      </c>
    </row>
    <row r="8" spans="1:8" ht="15.75" customHeight="1" x14ac:dyDescent="0.25">
      <c r="B8" s="19" t="s">
        <v>83</v>
      </c>
      <c r="C8" s="101">
        <v>0</v>
      </c>
    </row>
    <row r="9" spans="1:8" ht="15.75" customHeight="1" x14ac:dyDescent="0.25">
      <c r="B9" s="19" t="s">
        <v>84</v>
      </c>
      <c r="C9" s="101">
        <v>0.1909217999999997</v>
      </c>
    </row>
    <row r="10" spans="1:8" ht="15.75" customHeight="1" x14ac:dyDescent="0.25">
      <c r="B10" s="19" t="s">
        <v>85</v>
      </c>
      <c r="C10" s="101">
        <v>0.1133954000000001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0.12992921378605871</v>
      </c>
      <c r="D14" s="55">
        <v>0.12992921378605871</v>
      </c>
      <c r="E14" s="55">
        <v>0.12992921378605871</v>
      </c>
      <c r="F14" s="55">
        <v>0.12992921378605871</v>
      </c>
    </row>
    <row r="15" spans="1:8" ht="15.75" customHeight="1" x14ac:dyDescent="0.25">
      <c r="B15" s="19" t="s">
        <v>88</v>
      </c>
      <c r="C15" s="101">
        <v>0.15611618983341141</v>
      </c>
      <c r="D15" s="101">
        <v>0.15611618983341141</v>
      </c>
      <c r="E15" s="101">
        <v>0.15611618983341141</v>
      </c>
      <c r="F15" s="101">
        <v>0.15611618983341141</v>
      </c>
    </row>
    <row r="16" spans="1:8" ht="15.75" customHeight="1" x14ac:dyDescent="0.25">
      <c r="B16" s="19" t="s">
        <v>89</v>
      </c>
      <c r="C16" s="101">
        <v>2.2399666302878589E-2</v>
      </c>
      <c r="D16" s="101">
        <v>2.2399666302878589E-2</v>
      </c>
      <c r="E16" s="101">
        <v>2.2399666302878589E-2</v>
      </c>
      <c r="F16" s="101">
        <v>2.2399666302878589E-2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91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92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93</v>
      </c>
      <c r="C20" s="101">
        <v>0.3292969420141898</v>
      </c>
      <c r="D20" s="101">
        <v>0.3292969420141898</v>
      </c>
      <c r="E20" s="101">
        <v>0.3292969420141898</v>
      </c>
      <c r="F20" s="101">
        <v>0.3292969420141898</v>
      </c>
    </row>
    <row r="21" spans="1:8" ht="15.75" customHeight="1" x14ac:dyDescent="0.25">
      <c r="B21" s="19" t="s">
        <v>94</v>
      </c>
      <c r="C21" s="101">
        <v>0.2531630768533944</v>
      </c>
      <c r="D21" s="101">
        <v>0.2531630768533944</v>
      </c>
      <c r="E21" s="101">
        <v>0.2531630768533944</v>
      </c>
      <c r="F21" s="101">
        <v>0.2531630768533944</v>
      </c>
    </row>
    <row r="22" spans="1:8" ht="15.75" customHeight="1" x14ac:dyDescent="0.25">
      <c r="B22" s="19" t="s">
        <v>95</v>
      </c>
      <c r="C22" s="101">
        <v>0.10909491121006711</v>
      </c>
      <c r="D22" s="101">
        <v>0.10909491121006711</v>
      </c>
      <c r="E22" s="101">
        <v>0.10909491121006711</v>
      </c>
      <c r="F22" s="101">
        <v>0.10909491121006711</v>
      </c>
    </row>
    <row r="23" spans="1:8" ht="15.75" customHeight="1" x14ac:dyDescent="0.25">
      <c r="B23" s="27" t="s">
        <v>41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6.0859322999999993E-2</v>
      </c>
    </row>
    <row r="27" spans="1:8" ht="15.75" customHeight="1" x14ac:dyDescent="0.25">
      <c r="B27" s="19" t="s">
        <v>102</v>
      </c>
      <c r="C27" s="101">
        <v>1.8473204999999999E-2</v>
      </c>
    </row>
    <row r="28" spans="1:8" ht="15.75" customHeight="1" x14ac:dyDescent="0.25">
      <c r="B28" s="19" t="s">
        <v>103</v>
      </c>
      <c r="C28" s="101">
        <v>0.14414038900000001</v>
      </c>
    </row>
    <row r="29" spans="1:8" ht="15.75" customHeight="1" x14ac:dyDescent="0.25">
      <c r="B29" s="19" t="s">
        <v>104</v>
      </c>
      <c r="C29" s="101">
        <v>0.27289618700000001</v>
      </c>
    </row>
    <row r="30" spans="1:8" ht="15.75" customHeight="1" x14ac:dyDescent="0.25">
      <c r="B30" s="19" t="s">
        <v>2</v>
      </c>
      <c r="C30" s="101">
        <v>8.5625018999999997E-2</v>
      </c>
    </row>
    <row r="31" spans="1:8" ht="15.75" customHeight="1" x14ac:dyDescent="0.25">
      <c r="B31" s="19" t="s">
        <v>105</v>
      </c>
      <c r="C31" s="101">
        <v>0.10194423</v>
      </c>
    </row>
    <row r="32" spans="1:8" ht="15.75" customHeight="1" x14ac:dyDescent="0.25">
      <c r="B32" s="19" t="s">
        <v>106</v>
      </c>
      <c r="C32" s="101">
        <v>2.9002987000000001E-2</v>
      </c>
    </row>
    <row r="33" spans="2:3" ht="15.75" customHeight="1" x14ac:dyDescent="0.25">
      <c r="B33" s="19" t="s">
        <v>107</v>
      </c>
      <c r="C33" s="101">
        <v>0.12602046</v>
      </c>
    </row>
    <row r="34" spans="2:3" ht="15.75" customHeight="1" x14ac:dyDescent="0.25">
      <c r="B34" s="19" t="s">
        <v>108</v>
      </c>
      <c r="C34" s="101">
        <v>0.16103819999999999</v>
      </c>
    </row>
    <row r="35" spans="2:3" ht="15.75" customHeight="1" x14ac:dyDescent="0.25">
      <c r="B35" s="27" t="s">
        <v>41</v>
      </c>
      <c r="C35" s="48">
        <f>SUM(C26:C34)</f>
        <v>1</v>
      </c>
    </row>
  </sheetData>
  <sheetProtection algorithmName="SHA-512" hashValue="WUL8CqA2xh1lCETnh8Fsg9ILhd3uMyByWofpi9UShvDxuACNIC6TkP3OLGRJbaPT3NzIxh2+K0tRV6GM+NM/dQ==" saltValue="13MFQy1caHspGp+cArSnm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0.63022659041520701</v>
      </c>
      <c r="D2" s="52">
        <f>IFERROR(1-_xlfn.NORM.DIST(_xlfn.NORM.INV(SUM(D4:D5), 0, 1) + 1, 0, 1, TRUE), "")</f>
        <v>0.63022659041520701</v>
      </c>
      <c r="E2" s="52">
        <f>IFERROR(1-_xlfn.NORM.DIST(_xlfn.NORM.INV(SUM(E4:E5), 0, 1) + 1, 0, 1, TRUE), "")</f>
        <v>0.71255753542372247</v>
      </c>
      <c r="F2" s="52">
        <f>IFERROR(1-_xlfn.NORM.DIST(_xlfn.NORM.INV(SUM(F4:F5), 0, 1) + 1, 0, 1, TRUE), "")</f>
        <v>0.51175722460135675</v>
      </c>
      <c r="G2" s="52">
        <f>IFERROR(1-_xlfn.NORM.DIST(_xlfn.NORM.INV(SUM(G4:G5), 0, 1) + 1, 0, 1, TRUE), "")</f>
        <v>0.48100930942231379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0.27841780958479301</v>
      </c>
      <c r="D3" s="52">
        <f>IFERROR(_xlfn.NORM.DIST(_xlfn.NORM.INV(SUM(D4:D5), 0, 1) + 1, 0, 1, TRUE) - SUM(D4:D5), "")</f>
        <v>0.27841780958479301</v>
      </c>
      <c r="E3" s="52">
        <f>IFERROR(_xlfn.NORM.DIST(_xlfn.NORM.INV(SUM(E4:E5), 0, 1) + 1, 0, 1, TRUE) - SUM(E4:E5), "")</f>
        <v>0.22816546457627754</v>
      </c>
      <c r="F3" s="52">
        <f>IFERROR(_xlfn.NORM.DIST(_xlfn.NORM.INV(SUM(F4:F5), 0, 1) + 1, 0, 1, TRUE) - SUM(F4:F5), "")</f>
        <v>0.33661457539864326</v>
      </c>
      <c r="G3" s="52">
        <f>IFERROR(_xlfn.NORM.DIST(_xlfn.NORM.INV(SUM(G4:G5), 0, 1) + 1, 0, 1, TRUE) - SUM(G4:G5), "")</f>
        <v>0.34853839057768621</v>
      </c>
    </row>
    <row r="4" spans="1:15" ht="15.75" customHeight="1" x14ac:dyDescent="0.25">
      <c r="B4" s="5" t="s">
        <v>114</v>
      </c>
      <c r="C4" s="45">
        <v>8.4036100000000002E-2</v>
      </c>
      <c r="D4" s="53">
        <v>8.4036100000000002E-2</v>
      </c>
      <c r="E4" s="53">
        <v>4.9786299999999999E-2</v>
      </c>
      <c r="F4" s="53">
        <v>0.1290269</v>
      </c>
      <c r="G4" s="53">
        <v>0.13913690000000001</v>
      </c>
    </row>
    <row r="5" spans="1:15" ht="15.75" customHeight="1" x14ac:dyDescent="0.25">
      <c r="B5" s="5" t="s">
        <v>115</v>
      </c>
      <c r="C5" s="45">
        <v>7.3194999999999996E-3</v>
      </c>
      <c r="D5" s="53">
        <v>7.3194999999999996E-3</v>
      </c>
      <c r="E5" s="53">
        <v>9.4906999999999995E-3</v>
      </c>
      <c r="F5" s="53">
        <v>2.2601300000000001E-2</v>
      </c>
      <c r="G5" s="53">
        <v>3.13154E-2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0.6977135777550062</v>
      </c>
      <c r="D8" s="52">
        <f>IFERROR(1-_xlfn.NORM.DIST(_xlfn.NORM.INV(SUM(D10:D11), 0, 1) + 1, 0, 1, TRUE), "")</f>
        <v>0.6977135777550062</v>
      </c>
      <c r="E8" s="52">
        <f>IFERROR(1-_xlfn.NORM.DIST(_xlfn.NORM.INV(SUM(E10:E11), 0, 1) + 1, 0, 1, TRUE), "")</f>
        <v>0.88939061286156762</v>
      </c>
      <c r="F8" s="52">
        <f>IFERROR(1-_xlfn.NORM.DIST(_xlfn.NORM.INV(SUM(F10:F11), 0, 1) + 1, 0, 1, TRUE), "")</f>
        <v>0.90044310598811761</v>
      </c>
      <c r="G8" s="52">
        <f>IFERROR(1-_xlfn.NORM.DIST(_xlfn.NORM.INV(SUM(G10:G11), 0, 1) + 1, 0, 1, TRUE), "")</f>
        <v>0.87773770306376453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0.2377585222449938</v>
      </c>
      <c r="D9" s="52">
        <f>IFERROR(_xlfn.NORM.DIST(_xlfn.NORM.INV(SUM(D10:D11), 0, 1) + 1, 0, 1, TRUE) - SUM(D10:D11), "")</f>
        <v>0.2377585222449938</v>
      </c>
      <c r="E9" s="52">
        <f>IFERROR(_xlfn.NORM.DIST(_xlfn.NORM.INV(SUM(E10:E11), 0, 1) + 1, 0, 1, TRUE) - SUM(E10:E11), "")</f>
        <v>9.7511387138432382E-2</v>
      </c>
      <c r="F9" s="52">
        <f>IFERROR(_xlfn.NORM.DIST(_xlfn.NORM.INV(SUM(F10:F11), 0, 1) + 1, 0, 1, TRUE) - SUM(F10:F11), "")</f>
        <v>8.8373494011882395E-2</v>
      </c>
      <c r="G9" s="52">
        <f>IFERROR(_xlfn.NORM.DIST(_xlfn.NORM.INV(SUM(G10:G11), 0, 1) + 1, 0, 1, TRUE) - SUM(G10:G11), "")</f>
        <v>0.10702059693623547</v>
      </c>
    </row>
    <row r="10" spans="1:15" ht="15.75" customHeight="1" x14ac:dyDescent="0.25">
      <c r="B10" s="5" t="s">
        <v>119</v>
      </c>
      <c r="C10" s="45">
        <v>4.47556E-2</v>
      </c>
      <c r="D10" s="53">
        <v>4.47556E-2</v>
      </c>
      <c r="E10" s="53">
        <v>8.2351000000000004E-3</v>
      </c>
      <c r="F10" s="53">
        <v>2.1002E-3</v>
      </c>
      <c r="G10" s="53">
        <v>1.2859300000000001E-2</v>
      </c>
    </row>
    <row r="11" spans="1:15" ht="15.75" customHeight="1" x14ac:dyDescent="0.25">
      <c r="B11" s="5" t="s">
        <v>120</v>
      </c>
      <c r="C11" s="45">
        <v>1.97723E-2</v>
      </c>
      <c r="D11" s="53">
        <v>1.97723E-2</v>
      </c>
      <c r="E11" s="53">
        <v>4.8628999999999999E-3</v>
      </c>
      <c r="F11" s="53">
        <v>9.0831999999999996E-3</v>
      </c>
      <c r="G11" s="53">
        <v>2.3823999999999998E-3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0.434390426</v>
      </c>
      <c r="D14" s="54">
        <v>0.409926477324</v>
      </c>
      <c r="E14" s="54">
        <v>0.409926477324</v>
      </c>
      <c r="F14" s="54">
        <v>0.344801102149</v>
      </c>
      <c r="G14" s="54">
        <v>0.344801102149</v>
      </c>
      <c r="H14" s="45">
        <v>0.21299999999999999</v>
      </c>
      <c r="I14" s="55">
        <v>0.21299999999999999</v>
      </c>
      <c r="J14" s="55">
        <v>0.21299999999999999</v>
      </c>
      <c r="K14" s="55">
        <v>0.21299999999999999</v>
      </c>
      <c r="L14" s="45">
        <v>0.217</v>
      </c>
      <c r="M14" s="55">
        <v>0.217</v>
      </c>
      <c r="N14" s="55">
        <v>0.217</v>
      </c>
      <c r="O14" s="55">
        <v>0.217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0.24743313055385999</v>
      </c>
      <c r="D15" s="52">
        <f t="shared" si="0"/>
        <v>0.23349822074852361</v>
      </c>
      <c r="E15" s="52">
        <f t="shared" si="0"/>
        <v>0.23349822074852361</v>
      </c>
      <c r="F15" s="52">
        <f t="shared" si="0"/>
        <v>0.19640215579509188</v>
      </c>
      <c r="G15" s="52">
        <f t="shared" si="0"/>
        <v>0.19640215579509188</v>
      </c>
      <c r="H15" s="52">
        <f t="shared" si="0"/>
        <v>0.12132692999999999</v>
      </c>
      <c r="I15" s="52">
        <f t="shared" si="0"/>
        <v>0.12132692999999999</v>
      </c>
      <c r="J15" s="52">
        <f t="shared" si="0"/>
        <v>0.12132692999999999</v>
      </c>
      <c r="K15" s="52">
        <f t="shared" si="0"/>
        <v>0.12132692999999999</v>
      </c>
      <c r="L15" s="52">
        <f t="shared" si="0"/>
        <v>0.12360536999999999</v>
      </c>
      <c r="M15" s="52">
        <f t="shared" si="0"/>
        <v>0.12360536999999999</v>
      </c>
      <c r="N15" s="52">
        <f t="shared" si="0"/>
        <v>0.12360536999999999</v>
      </c>
      <c r="O15" s="52">
        <f t="shared" si="0"/>
        <v>0.12360536999999999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dAfW/RWOrqNgpGLD1lm7wPzt5EG7UawlWP1/ewLoZolntOR+Y5W1fDEPN0BbzJ2md6YjWifGphvxJm+gR6GQwA==" saltValue="fL0SKGQYSm9mCq7auhiH7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0.49676169999999997</v>
      </c>
      <c r="D2" s="53">
        <v>0.2988326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0.15486159999999999</v>
      </c>
      <c r="D3" s="53">
        <v>0.17969640000000001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0.30888520000000003</v>
      </c>
      <c r="D4" s="53">
        <v>0.43784060000000002</v>
      </c>
      <c r="E4" s="53">
        <v>0.76457330000000001</v>
      </c>
      <c r="F4" s="53">
        <v>0.47131149999999999</v>
      </c>
      <c r="G4" s="53">
        <v>0</v>
      </c>
    </row>
    <row r="5" spans="1:7" x14ac:dyDescent="0.25">
      <c r="B5" s="3" t="s">
        <v>132</v>
      </c>
      <c r="C5" s="52">
        <v>3.9491400000000003E-2</v>
      </c>
      <c r="D5" s="52">
        <v>8.3630399999999994E-2</v>
      </c>
      <c r="E5" s="52">
        <f>1-SUM(E2:E4)</f>
        <v>0.23542669999999999</v>
      </c>
      <c r="F5" s="52">
        <f>1-SUM(F2:F4)</f>
        <v>0.52868850000000001</v>
      </c>
      <c r="G5" s="52">
        <f>1-SUM(G2:G4)</f>
        <v>1</v>
      </c>
    </row>
  </sheetData>
  <sheetProtection algorithmName="SHA-512" hashValue="kukuZRUMv3WfPTHrwn6E5fO0LW2iaf8a61U+3IIG8NmEDscoe+ebZ2Igg8Z4js+Il75ox1H3pyPX2suhDdo0Yg==" saltValue="PaySWMHI+MOK1bbBJesnn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1vuj+rIF5Vtf0plrW/QgvsV5FkRZfoFEekBwjnKbJGTKHKWhQOxDSAPHW0sUgOQRo7/Mv6MiS4kSwXTWLT6wzA==" saltValue="ztZCQRM92o2Z3W6M3sE8W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ht="13.25" customHeight="1" x14ac:dyDescent="0.25">
      <c r="A2" s="8" t="s">
        <v>145</v>
      </c>
      <c r="B2" s="41">
        <v>10</v>
      </c>
    </row>
    <row r="3" spans="1:2" ht="13.25" customHeight="1" x14ac:dyDescent="0.25">
      <c r="A3" s="8" t="s">
        <v>150</v>
      </c>
      <c r="B3" s="41">
        <v>10</v>
      </c>
    </row>
    <row r="4" spans="1:2" ht="13.25" customHeight="1" x14ac:dyDescent="0.25">
      <c r="A4" s="8" t="s">
        <v>146</v>
      </c>
      <c r="B4" s="41">
        <v>10</v>
      </c>
    </row>
    <row r="5" spans="1:2" ht="13.25" customHeight="1" x14ac:dyDescent="0.25">
      <c r="A5" s="8" t="s">
        <v>147</v>
      </c>
      <c r="B5" s="41">
        <v>10</v>
      </c>
    </row>
    <row r="6" spans="1:2" ht="13.25" customHeight="1" x14ac:dyDescent="0.25">
      <c r="A6" s="8" t="s">
        <v>148</v>
      </c>
      <c r="B6" s="41">
        <v>10</v>
      </c>
    </row>
    <row r="7" spans="1:2" ht="13.25" customHeight="1" x14ac:dyDescent="0.25">
      <c r="A7" s="8" t="s">
        <v>149</v>
      </c>
      <c r="B7" s="41">
        <v>10</v>
      </c>
    </row>
  </sheetData>
  <sheetProtection algorithmName="SHA-512" hashValue="IYICCklobJhYJ/59l1Pp0MZ39NGtIkmcLkkFERht6l6N5v07ZMqyc40h/Ivc+Wz/qnXwdmk3Xag63pwAWKeREw==" saltValue="2PhN1gUZz4GEMDudURKJU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109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96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PlSZqLa9Wso5NTiqxA1se/SpQmGb82BOUVpFi+8MKbLcslbMQwuidgdGKepIt2AgdiZEkyQGkgwvztHX7FUy2A==" saltValue="OzMIp1rHrbTHG8vLMSk5p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DlELVoCTvcnHevbW7BeXn5O73G6TCcVapWNe8k0VjCNwQiWFyL3wiYjjjSajtgMni6MHMJm23WhTgk7NKtXK6g==" saltValue="cwBh1dVuQkNQrhGixsyYN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61.861086469337543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39.966012526302137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474.4736397477613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1.54600707819998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</v>
      </c>
      <c r="C10" s="98">
        <v>0.95</v>
      </c>
      <c r="D10" s="56">
        <v>13.098311970098051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13.098311970098051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13.098311970098051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13.098311970098051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</v>
      </c>
      <c r="C14" s="98">
        <v>0.95</v>
      </c>
      <c r="D14" s="56">
        <v>13.098311970098051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13.098311970098051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</v>
      </c>
      <c r="C16" s="98">
        <v>0.95</v>
      </c>
      <c r="D16" s="56">
        <v>0.80507776999339498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0.45717222222222198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0.2988326</v>
      </c>
      <c r="C18" s="98">
        <v>0.95</v>
      </c>
      <c r="D18" s="56">
        <v>10.92023727763495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0.2988326</v>
      </c>
      <c r="C19" s="98">
        <v>0.95</v>
      </c>
      <c r="D19" s="56">
        <v>10.92023727763495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</v>
      </c>
      <c r="C21" s="98">
        <v>0.95</v>
      </c>
      <c r="D21" s="56">
        <v>15.02309818297103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22.648664763181358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4.3331704911650171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0.74404084689872707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18.55694520304651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0.55214350000000001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0.57829639999999993</v>
      </c>
      <c r="C29" s="98">
        <v>0.95</v>
      </c>
      <c r="D29" s="56">
        <v>122.3932530911411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0.61300697415096694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0.44</v>
      </c>
      <c r="C32" s="98">
        <v>0.95</v>
      </c>
      <c r="D32" s="56">
        <v>1.737469925830645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0.90288290000000004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0.16361800000000001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1.5806400000000002E-2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0.87191940000000001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9.5506600000000011E-2</v>
      </c>
      <c r="C38" s="98">
        <v>0.95</v>
      </c>
      <c r="D38" s="56">
        <v>1.895773684330621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gNok9I7w1U6DEiHxZ1RdRVeATbpTl8MqsCINfFqjFG1Fj46W4FVygN8GF1YwxS4O/4PMeh0U6DnL4gYhohcZeA==" saltValue="x0M9Xf9LOSx4hZcZkHmfk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ht="13.25" customHeight="1" x14ac:dyDescent="0.25">
      <c r="A2" s="57" t="s">
        <v>180</v>
      </c>
      <c r="B2" s="47" t="s">
        <v>190</v>
      </c>
      <c r="C2" s="47"/>
    </row>
    <row r="3" spans="1:3" ht="13.25" customHeight="1" x14ac:dyDescent="0.25">
      <c r="A3" s="57" t="s">
        <v>181</v>
      </c>
      <c r="B3" s="47" t="s">
        <v>190</v>
      </c>
      <c r="C3" s="47"/>
    </row>
    <row r="4" spans="1:3" ht="13.25" customHeight="1" x14ac:dyDescent="0.25">
      <c r="A4" s="57" t="s">
        <v>192</v>
      </c>
      <c r="B4" s="47" t="s">
        <v>185</v>
      </c>
      <c r="C4" s="47"/>
    </row>
    <row r="5" spans="1:3" ht="13.25" customHeight="1" x14ac:dyDescent="0.25">
      <c r="A5" s="57" t="s">
        <v>189</v>
      </c>
      <c r="B5" s="47" t="s">
        <v>185</v>
      </c>
      <c r="C5" s="47"/>
    </row>
    <row r="6" spans="1:3" ht="13.25" customHeight="1" x14ac:dyDescent="0.25">
      <c r="A6" s="57" t="s">
        <v>192</v>
      </c>
      <c r="B6" s="58" t="s">
        <v>205</v>
      </c>
      <c r="C6" s="58"/>
    </row>
    <row r="7" spans="1:3" ht="13.25" customHeight="1" x14ac:dyDescent="0.25">
      <c r="A7" s="57" t="s">
        <v>189</v>
      </c>
      <c r="B7" s="58" t="s">
        <v>205</v>
      </c>
      <c r="C7" s="58"/>
    </row>
    <row r="8" spans="1:3" ht="13.25" customHeight="1" x14ac:dyDescent="0.25">
      <c r="A8" s="57" t="s">
        <v>200</v>
      </c>
      <c r="B8" s="58" t="s">
        <v>205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tm2o8dyoLsChKAW3MYWkyR/PKe4g31kM0pitvNf4DXS/XkTEknCPdMHIjw45+yufzUZN4B/vRho4DbmeQHMuVw==" saltValue="lB2OZltDC/uMtLB5WvF3a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ht="13.25" customHeight="1" x14ac:dyDescent="0.25">
      <c r="A2" s="33" t="s">
        <v>172</v>
      </c>
    </row>
    <row r="3" spans="1:1" ht="13.25" customHeight="1" x14ac:dyDescent="0.25">
      <c r="A3" s="33" t="s">
        <v>182</v>
      </c>
    </row>
    <row r="4" spans="1:1" ht="13.25" customHeight="1" x14ac:dyDescent="0.25">
      <c r="A4" s="33" t="s">
        <v>186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161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3xMaYhNQY2EoPkG4jsw8LqetE5AfX+yYWKrGAw+XMbyZc0uPQAbMSblWXaQ+hU8szU+8aIrkuVp8gg1pcSq5mg==" saltValue="zgHtLXKUFJdNeMaqTefRW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3.2</v>
      </c>
      <c r="C2" s="21">
        <f>'Données pop de l''année de ref'!C52</f>
        <v>3.2</v>
      </c>
      <c r="D2" s="21">
        <f>'Données pop de l''année de ref'!C53</f>
        <v>3.2</v>
      </c>
      <c r="E2" s="21">
        <f>'Données pop de l''année de ref'!C54</f>
        <v>3.2</v>
      </c>
      <c r="F2" s="21">
        <f>'Données pop de l''année de ref'!C55</f>
        <v>3.2</v>
      </c>
    </row>
    <row r="3" spans="1:6" ht="15.75" customHeight="1" x14ac:dyDescent="0.25">
      <c r="A3" s="3" t="s">
        <v>209</v>
      </c>
      <c r="B3" s="21">
        <f>frac_mam_1month * 2.6</f>
        <v>0.11636456000000001</v>
      </c>
      <c r="C3" s="21">
        <f>frac_mam_1_5months * 2.6</f>
        <v>0.11636456000000001</v>
      </c>
      <c r="D3" s="21">
        <f>frac_mam_6_11months * 2.6</f>
        <v>2.1411260000000001E-2</v>
      </c>
      <c r="E3" s="21">
        <f>frac_mam_12_23months * 2.6</f>
        <v>5.46052E-3</v>
      </c>
      <c r="F3" s="21">
        <f>frac_mam_24_59months * 2.6</f>
        <v>3.3434180000000001E-2</v>
      </c>
    </row>
    <row r="4" spans="1:6" ht="15.75" customHeight="1" x14ac:dyDescent="0.25">
      <c r="A4" s="3" t="s">
        <v>208</v>
      </c>
      <c r="B4" s="21">
        <f>frac_sam_1month * 2.6</f>
        <v>5.1407979999999999E-2</v>
      </c>
      <c r="C4" s="21">
        <f>frac_sam_1_5months * 2.6</f>
        <v>5.1407979999999999E-2</v>
      </c>
      <c r="D4" s="21">
        <f>frac_sam_6_11months * 2.6</f>
        <v>1.264354E-2</v>
      </c>
      <c r="E4" s="21">
        <f>frac_sam_12_23months * 2.6</f>
        <v>2.361632E-2</v>
      </c>
      <c r="F4" s="21">
        <f>frac_sam_24_59months * 2.6</f>
        <v>6.1942399999999993E-3</v>
      </c>
    </row>
  </sheetData>
  <sheetProtection algorithmName="SHA-512" hashValue="ZidfD//dVwiIKm+FO6GseU6ub1fRY8xWYHKgpSJRvnOCcqgGPM57NxGaWOB3KXMOgfqU0VemNpV0HUXmB4ZZXg==" saltValue="EyyS8uAv3vcXqSBCAaN/R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0.13900000000000001</v>
      </c>
      <c r="E2" s="60">
        <f>food_insecure</f>
        <v>0.13900000000000001</v>
      </c>
      <c r="F2" s="60">
        <f>food_insecure</f>
        <v>0.13900000000000001</v>
      </c>
      <c r="G2" s="60">
        <f>food_insecure</f>
        <v>0.13900000000000001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0.13900000000000001</v>
      </c>
      <c r="F5" s="60">
        <f>food_insecure</f>
        <v>0.13900000000000001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0.13900000000000001</v>
      </c>
      <c r="F8" s="60">
        <f>food_insecure</f>
        <v>0.13900000000000001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0.13900000000000001</v>
      </c>
      <c r="F9" s="60">
        <f>food_insecure</f>
        <v>0.13900000000000001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0.13900000000000001</v>
      </c>
      <c r="I15" s="60">
        <f>food_insecure</f>
        <v>0.13900000000000001</v>
      </c>
      <c r="J15" s="60">
        <f>food_insecure</f>
        <v>0.13900000000000001</v>
      </c>
      <c r="K15" s="60">
        <f>food_insecure</f>
        <v>0.13900000000000001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0.34100000000000003</v>
      </c>
      <c r="M24" s="60">
        <f>famplan_unmet_need</f>
        <v>0.34100000000000003</v>
      </c>
      <c r="N24" s="60">
        <f>famplan_unmet_need</f>
        <v>0.34100000000000003</v>
      </c>
      <c r="O24" s="60">
        <f>famplan_unmet_need</f>
        <v>0.34100000000000003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0.14166358523178096</v>
      </c>
      <c r="M25" s="60">
        <f>(1-food_insecure)*(0.49)+food_insecure*(0.7)</f>
        <v>0.51919000000000004</v>
      </c>
      <c r="N25" s="60">
        <f>(1-food_insecure)*(0.49)+food_insecure*(0.7)</f>
        <v>0.51919000000000004</v>
      </c>
      <c r="O25" s="60">
        <f>(1-food_insecure)*(0.49)+food_insecure*(0.7)</f>
        <v>0.51919000000000004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6.0712965099334701E-2</v>
      </c>
      <c r="M26" s="60">
        <f>(1-food_insecure)*(0.21)+food_insecure*(0.3)</f>
        <v>0.22250999999999999</v>
      </c>
      <c r="N26" s="60">
        <f>(1-food_insecure)*(0.21)+food_insecure*(0.3)</f>
        <v>0.22250999999999999</v>
      </c>
      <c r="O26" s="60">
        <f>(1-food_insecure)*(0.21)+food_insecure*(0.3)</f>
        <v>0.22250999999999999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7.0478445396423325E-2</v>
      </c>
      <c r="M27" s="60">
        <f>(1-food_insecure)*(0.3)</f>
        <v>0.25829999999999997</v>
      </c>
      <c r="N27" s="60">
        <f>(1-food_insecure)*(0.3)</f>
        <v>0.25829999999999997</v>
      </c>
      <c r="O27" s="60">
        <f>(1-food_insecure)*(0.3)</f>
        <v>0.25829999999999997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0.72714500427246098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buU5L1gl0OLgWtXd9G2hjlQp1/Aq+Yp2IZHFHZRFhayIpMrZ7HslugOEug3i9KzgnXZB+yi7tTWXx0ki8sJTFw==" saltValue="aRu6zXNgGp9+8aBuysM4l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4NR3qUbjmh8oBDw9kQ+OQ9AszmiEBXaShfnqy4mMF0wRMDmKxT5CZ7H9lgSYEuzbAhrjlPfXUidXS50K32YNpA==" saltValue="uKSLTtk636eqFgXghwyPD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1vZJWNdTTXO+yKWBFzLOwXMkNGeIfMitBtcRLNmQJ7r9C93AZIUiV6dVDSms+cBsIwSbYZAAHcUHdZQtwD9f8Q==" saltValue="K60uhTdcWAthkUSR1adqU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AKjHPX42o3ebRuk9+94+vlVhpwr4CsabJvm3AhCb4lLPkbt+x84vOFUdPOFxwqiBvoL+zUf07LSLJ7xn1hmTOw==" saltValue="ba7vkUBeCM2tbXBnuBzaH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LTzDkHwTf/tzkQvVmosyRo4bTWtmiI8jCjjlvWu9QBHCc79CKtaKU4BUHLUYuVkqJeKsa4AHuxtVst9AXauHFg==" saltValue="CBQjFP/6DymkxZu5Ac9M3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0AfVhVn0w2mPGXSw4u0Y19TBzToL/jpcRDsya8BPjb6NrpM+H7TPshkqjESoG5+kx5/0Cv4egSl9Kj/z300Ggw==" saltValue="l2ZUq0BtaZ9f9mkZ8ZwrQ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109</v>
      </c>
      <c r="C5" s="8" t="s">
        <v>153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154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96</v>
      </c>
      <c r="C8" s="8" t="s">
        <v>153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154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154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109</v>
      </c>
      <c r="C58" s="8" t="s">
        <v>153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154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96</v>
      </c>
      <c r="C61" s="8" t="s">
        <v>153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154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109</v>
      </c>
      <c r="C111" s="8" t="s">
        <v>153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154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96</v>
      </c>
      <c r="C114" s="8" t="s">
        <v>153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154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97</v>
      </c>
      <c r="C117" s="8" t="s">
        <v>153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154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98</v>
      </c>
      <c r="C120" s="8" t="s">
        <v>153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154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154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109</v>
      </c>
      <c r="C128" s="8" t="s">
        <v>153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154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96</v>
      </c>
      <c r="C131" s="8" t="s">
        <v>153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154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97</v>
      </c>
      <c r="C134" s="8" t="s">
        <v>153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154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98</v>
      </c>
      <c r="C137" s="8" t="s">
        <v>153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154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154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109</v>
      </c>
      <c r="C145" s="8" t="s">
        <v>153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154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96</v>
      </c>
      <c r="C148" s="8" t="s">
        <v>153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154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97</v>
      </c>
      <c r="C151" s="8" t="s">
        <v>153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154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98</v>
      </c>
      <c r="C154" s="8" t="s">
        <v>153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154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8lTBnHPR8BAoWQOFR8CDMNgRKNw1+UOI4vwBc5+yvkg9Jow9Ql/3snAcEm7nzHjGJZwq4C9V6tDhpgXjl5Paqw==" saltValue="+pAFe0vKnjPcE5NK37UBBw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tXhrqg6n4+eeCL6kWY+YRz4t4c7EsDZo/a394ippWlBYs7H8vusQJtm4ZLsBAys9FPfhEcWegVCosGyYgvR08g==" saltValue="/mi9m2vu/D7KQI7dBySxf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MAPtJIH7Fih7oe5m5P7/UrvAHKpyXMQV6FEarRfs197q7cQOF/vfuzk1xaOJgf12tttMrd582/e31w9Op9hSg==" saltValue="gqZn38r9u9A6LehUR06+S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287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298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121</v>
      </c>
      <c r="B40" s="11" t="s">
        <v>299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303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311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121</v>
      </c>
      <c r="B63" s="11" t="s">
        <v>312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U/gGuZCuiHrNny39eFVLt/Rm/uXCK0Qc7lB7uJepCM73+eviaVVSTPgE3UB8b8qARWQHfV8zYgiPPwfCT+ySXw==" saltValue="6bD6gCYHUWdlDnlcE3nar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/MYkLplB4Z1Ot+Hv04QkHFHGlj1LoUYd5Oq7jO92BhLfdxGGR13607cQFDhAhBGhjBPNIyuKIbWF2hTBioXJSw==" saltValue="IEmYky55+QHOzmBnsebWB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176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177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178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179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180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174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183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176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177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178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179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180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174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183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mdalznQVxm33dSPZUoaragWVcqvSf7K4BMxvw5VmIJqxeMuaFy4oxY0885zqO1o6S44zdHpC3ApaxYZVdEenWg==" saltValue="YtW6sKQ1nKa5l7BIIZymZ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ht="13.25" customHeight="1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ht="13.25" customHeight="1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ht="13.25" customHeight="1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47nPv9Ml0g9UguzuEY6baG8mR0OrcV6S8Xw1/13Zysxwf+MJqQHIcwzcg5l/3VK0nbj0ueUR48eiirqYRQmDA==" saltValue="oaSjrGi2osT6IxnP0HxVa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ht="13.25" customHeight="1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336</v>
      </c>
      <c r="D18" s="90">
        <v>0</v>
      </c>
      <c r="E18" s="90">
        <v>0</v>
      </c>
      <c r="F18" s="90">
        <f>MIN(MAX(1-0.89/(1-frac_sam_6_11months+(frac_sam_6_11months*0.89)),0),1)</f>
        <v>0.10952366729058338</v>
      </c>
      <c r="G18" s="90">
        <f>MIN(MAX(1-0.89/(1-frac_sam_12_23months+(frac_sam_12_23months*0.89)),0),1)</f>
        <v>0.10910986534017431</v>
      </c>
      <c r="H18" s="90">
        <f>MIN(MAX(1-0.89/(1-frac_sam_24_59months+(frac_sam_24_59months*0.89)),0),1)</f>
        <v>0.10976670190096693</v>
      </c>
    </row>
    <row r="19" spans="1:8" ht="13.25" customHeight="1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336</v>
      </c>
      <c r="D20" s="90">
        <v>0</v>
      </c>
      <c r="E20" s="90">
        <v>0</v>
      </c>
      <c r="F20" s="90">
        <f>MIN(MAX(1-0.89/(1-frac_mam_6_11months+(frac_mam_6_11months*0.89)),0),1)</f>
        <v>0.10919305272793711</v>
      </c>
      <c r="G20" s="90">
        <f>MIN(MAX(1-0.89/(1-frac_mam_12_23months+(frac_mam_12_23months*0.89)),0),1)</f>
        <v>0.10979434290868739</v>
      </c>
      <c r="H20" s="90">
        <f>MIN(MAX(1-0.89/(1-frac_mam_24_59months+(frac_mam_24_59months*0.89)),0),1)</f>
        <v>0.10873929122844628</v>
      </c>
    </row>
    <row r="21" spans="1:8" ht="13.25" customHeight="1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335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9.9518549487542796E-3</v>
      </c>
      <c r="G73" s="90">
        <f>MIN(MAX(1-0.99/(1-frac_sam_12_23months+(frac_sam_12_23months*0.99)),0),1)</f>
        <v>9.9100681513103472E-3</v>
      </c>
      <c r="H73" s="90">
        <f>MIN(MAX(1-0.99/(1-frac_sam_24_59months+(frac_sam_24_59months*0.99)),0),1)</f>
        <v>9.9764136780794432E-3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9.9184657955766475E-3</v>
      </c>
      <c r="G75" s="90">
        <f>MIN(MAX(1-0.99/(1-frac_mam_12_23months+(frac_mam_12_23months*0.99)),0),1)</f>
        <v>9.9792075833177174E-3</v>
      </c>
      <c r="H75" s="90">
        <f>MIN(MAX(1-0.99/(1-frac_mam_24_59months+(frac_mam_24_59months*0.99)),0),1)</f>
        <v>9.8726765570965602E-3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0.19922117853381838</v>
      </c>
      <c r="G128" s="90">
        <f>MIN(MAX(1-0.8/(1-frac_sam_12_23months+(frac_sam_12_23months*0.8)),0),1)</f>
        <v>0.19854404305036699</v>
      </c>
      <c r="H128" s="90">
        <f>MIN(MAX(1-0.8/(1-frac_sam_24_59months+(frac_sam_24_59months*0.8)),0),1)</f>
        <v>0.19961863428686499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0.19868021027993521</v>
      </c>
      <c r="G130" s="90">
        <f>MIN(MAX(1-0.8/(1-frac_mam_12_23months+(frac_mam_12_23months*0.8)),0),1)</f>
        <v>0.19966382679380645</v>
      </c>
      <c r="H130" s="90">
        <f>MIN(MAX(1-0.8/(1-frac_mam_24_59months+(frac_mam_24_59months*0.8)),0),1)</f>
        <v>0.19793720678464111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8BnvCK0gKKakO9hugsTEiBdvA6A1odcDIDdEgQ157A1LP8tJ1nxQeR0BMAVZdSID7ct+SFtiYMxdWMMbdShN7g==" saltValue="b3BjVT04aZRJnchvoxk2z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ht="13.25" customHeight="1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335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ht="13.25" customHeight="1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ht="13.25" customHeight="1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335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p5OCTk4btCdDYnNzj3G7Y6axtgrabH023WN3ArFApkz9UhJRHCP+YTfjuhKYyIgheOpEYzhKkbEUZH1bXqv3/w==" saltValue="hngfNf3W7qV2g4/g7RnSLA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2024-08-06T08:46:54Z</dcterms:modified>
</cp:coreProperties>
</file>