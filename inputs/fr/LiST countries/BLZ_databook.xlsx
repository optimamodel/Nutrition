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942CE814-8ED2-4E38-A058-0706BDB7E9A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7" i="2"/>
  <c r="A35" i="2"/>
  <c r="A34" i="2"/>
  <c r="A31" i="2"/>
  <c r="A26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11" i="2" l="1"/>
  <c r="A22" i="2"/>
  <c r="A23" i="2"/>
  <c r="A24" i="2"/>
  <c r="A40" i="2"/>
  <c r="A25" i="2"/>
  <c r="A36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<sst xmlns="http://schemas.openxmlformats.org/spreadsheetml/2006/main" count="2169" uniqueCount="369">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</sst>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35704.5</v>
      </c>
    </row>
    <row r="8" spans="1:3" ht="15" customHeight="1" x14ac:dyDescent="0.25">
      <c r="B8" s="5" t="s">
        <v>37</v>
      </c>
      <c r="C8" s="44">
        <v>0.13900000000000001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0.72714500427246098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0.1298</v>
      </c>
    </row>
    <row r="24" spans="1:3" ht="15" customHeight="1" x14ac:dyDescent="0.25">
      <c r="B24" s="15" t="s">
        <v>51</v>
      </c>
      <c r="C24" s="45">
        <v>0.56009999999999993</v>
      </c>
    </row>
    <row r="25" spans="1:3" ht="15" customHeight="1" x14ac:dyDescent="0.25">
      <c r="B25" s="15" t="s">
        <v>52</v>
      </c>
      <c r="C25" s="45">
        <v>0.27879999999999999</v>
      </c>
    </row>
    <row r="26" spans="1:3" ht="15" customHeight="1" x14ac:dyDescent="0.25">
      <c r="B26" s="15" t="s">
        <v>53</v>
      </c>
      <c r="C26" s="45">
        <v>3.1300000000000001E-2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0.23843800000000001</v>
      </c>
    </row>
    <row r="30" spans="1:3" ht="14.25" customHeight="1" x14ac:dyDescent="0.25">
      <c r="B30" s="25" t="s">
        <v>56</v>
      </c>
      <c r="C30" s="97">
        <v>0.13178809999999999</v>
      </c>
    </row>
    <row r="31" spans="1:3" ht="14.25" customHeight="1" x14ac:dyDescent="0.25">
      <c r="B31" s="25" t="s">
        <v>57</v>
      </c>
      <c r="C31" s="97">
        <v>0.1250917</v>
      </c>
    </row>
    <row r="32" spans="1:3" ht="14.25" customHeight="1" x14ac:dyDescent="0.25">
      <c r="B32" s="25" t="s">
        <v>58</v>
      </c>
      <c r="C32" s="97">
        <v>0.50468219999999997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7.4189699999999998</v>
      </c>
    </row>
    <row r="38" spans="1:5" ht="15" customHeight="1" x14ac:dyDescent="0.25">
      <c r="B38" s="11" t="s">
        <v>63</v>
      </c>
      <c r="C38" s="43">
        <v>9.6127500000000001</v>
      </c>
      <c r="D38" s="12"/>
      <c r="E38" s="13"/>
    </row>
    <row r="39" spans="1:5" ht="15" customHeight="1" x14ac:dyDescent="0.25">
      <c r="B39" s="11" t="s">
        <v>64</v>
      </c>
      <c r="C39" s="43">
        <v>11.18662</v>
      </c>
      <c r="D39" s="12"/>
      <c r="E39" s="12"/>
    </row>
    <row r="40" spans="1:5" ht="15" customHeight="1" x14ac:dyDescent="0.25">
      <c r="B40" s="11" t="s">
        <v>65</v>
      </c>
      <c r="C40" s="98">
        <v>1.3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6.8913500000000001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7.1999000000000004E-3</v>
      </c>
      <c r="D45" s="12"/>
    </row>
    <row r="46" spans="1:5" ht="15.75" customHeight="1" x14ac:dyDescent="0.25">
      <c r="B46" s="11" t="s">
        <v>70</v>
      </c>
      <c r="C46" s="45">
        <v>7.7361899999999997E-2</v>
      </c>
      <c r="D46" s="12"/>
    </row>
    <row r="47" spans="1:5" ht="15.75" customHeight="1" x14ac:dyDescent="0.25">
      <c r="B47" s="11" t="s">
        <v>71</v>
      </c>
      <c r="C47" s="45">
        <v>7.4153999999999998E-2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3.2</v>
      </c>
      <c r="D51" s="12"/>
    </row>
    <row r="52" spans="1:4" ht="15" customHeight="1" x14ac:dyDescent="0.25">
      <c r="B52" s="11" t="s">
        <v>75</v>
      </c>
      <c r="C52" s="98">
        <v>3.2</v>
      </c>
    </row>
    <row r="53" spans="1:4" ht="15.75" customHeight="1" x14ac:dyDescent="0.25">
      <c r="B53" s="11" t="s">
        <v>76</v>
      </c>
      <c r="C53" s="98">
        <v>3.2</v>
      </c>
    </row>
    <row r="54" spans="1:4" ht="15.75" customHeight="1" x14ac:dyDescent="0.25">
      <c r="B54" s="11" t="s">
        <v>77</v>
      </c>
      <c r="C54" s="98">
        <v>3.2</v>
      </c>
    </row>
    <row r="55" spans="1:4" ht="15.75" customHeight="1" x14ac:dyDescent="0.25">
      <c r="B55" s="11" t="s">
        <v>78</v>
      </c>
      <c r="C55" s="98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0.56960999999999995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8.5988007000000005E-2</v>
      </c>
    </row>
    <row r="63" spans="1:4" ht="15.75" customHeight="1" x14ac:dyDescent="0.3">
      <c r="A63" s="4"/>
    </row>
  </sheetData>
  <sheetProtection algorithmName="SHA-512" hashValue="pUtf5YSbrQ/xz+lDvbjOwNr5wEiCb3qjlYgKP3Ubd796RhdSVCy1R1buwZS7ONNxbkzpOmBnUxzwWKdLkPEAyg==" saltValue="+eKDq3erPywUazx2WJKh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7529</v>
      </c>
      <c r="C2" s="49">
        <v>18949.5</v>
      </c>
      <c r="D2" s="49">
        <v>38905.5</v>
      </c>
      <c r="E2" s="49">
        <v>34037</v>
      </c>
      <c r="F2" s="49">
        <v>25297</v>
      </c>
      <c r="G2" s="17">
        <f t="shared" ref="G2:G13" si="0">C2+D2+E2+F2</f>
        <v>117189</v>
      </c>
      <c r="H2" s="17">
        <f t="shared" ref="H2:H13" si="1">(B2 + stillbirth*B2/(1000-stillbirth))/(1-abortion)</f>
        <v>8615.0511509307853</v>
      </c>
      <c r="I2" s="17">
        <f t="shared" ref="I2:I13" si="2">G2-H2</f>
        <v>108573.94884906922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7518</v>
      </c>
      <c r="C3" s="50">
        <v>18555.5</v>
      </c>
      <c r="D3" s="50">
        <v>38902.5</v>
      </c>
      <c r="E3" s="50">
        <v>34909</v>
      </c>
      <c r="F3" s="50">
        <v>26132.5</v>
      </c>
      <c r="G3" s="17">
        <f t="shared" si="0"/>
        <v>118499.5</v>
      </c>
      <c r="H3" s="17">
        <f t="shared" si="1"/>
        <v>8602.4644113026498</v>
      </c>
      <c r="I3" s="17">
        <f t="shared" si="2"/>
        <v>109897.03558869736</v>
      </c>
    </row>
    <row r="4" spans="1:9" ht="15.75" customHeight="1" x14ac:dyDescent="0.25">
      <c r="A4" s="5">
        <f t="shared" si="3"/>
        <v>2026</v>
      </c>
      <c r="B4" s="49">
        <v>7471</v>
      </c>
      <c r="C4" s="50">
        <v>18127.5</v>
      </c>
      <c r="D4" s="50">
        <v>38779</v>
      </c>
      <c r="E4" s="50">
        <v>35735.5</v>
      </c>
      <c r="F4" s="50">
        <v>26991.500000000004</v>
      </c>
      <c r="G4" s="17">
        <f t="shared" si="0"/>
        <v>119633.5</v>
      </c>
      <c r="H4" s="17">
        <f t="shared" si="1"/>
        <v>8548.6847056187926</v>
      </c>
      <c r="I4" s="17">
        <f t="shared" si="2"/>
        <v>111084.8152943812</v>
      </c>
    </row>
    <row r="5" spans="1:9" ht="15.75" customHeight="1" x14ac:dyDescent="0.25">
      <c r="A5" s="5">
        <f t="shared" si="3"/>
        <v>2027</v>
      </c>
      <c r="B5" s="49">
        <v>7412</v>
      </c>
      <c r="C5" s="50">
        <v>17845</v>
      </c>
      <c r="D5" s="50">
        <v>38529</v>
      </c>
      <c r="E5" s="50">
        <v>36513.5</v>
      </c>
      <c r="F5" s="50">
        <v>27874</v>
      </c>
      <c r="G5" s="17">
        <f t="shared" si="0"/>
        <v>120761.5</v>
      </c>
      <c r="H5" s="17">
        <f t="shared" si="1"/>
        <v>8481.1740112496991</v>
      </c>
      <c r="I5" s="17">
        <f t="shared" si="2"/>
        <v>112280.32598875029</v>
      </c>
    </row>
    <row r="6" spans="1:9" ht="15.75" customHeight="1" x14ac:dyDescent="0.25">
      <c r="A6" s="5">
        <f t="shared" si="3"/>
        <v>2028</v>
      </c>
      <c r="B6" s="49">
        <v>7340</v>
      </c>
      <c r="C6" s="50">
        <v>17704</v>
      </c>
      <c r="D6" s="50">
        <v>38134.5</v>
      </c>
      <c r="E6" s="50">
        <v>37248.500000000007</v>
      </c>
      <c r="F6" s="50">
        <v>28795.5</v>
      </c>
      <c r="G6" s="17">
        <f t="shared" si="0"/>
        <v>121882.5</v>
      </c>
      <c r="H6" s="17">
        <f t="shared" si="1"/>
        <v>8398.7880791382595</v>
      </c>
      <c r="I6" s="17">
        <f t="shared" si="2"/>
        <v>113483.71192086174</v>
      </c>
    </row>
    <row r="7" spans="1:9" ht="15.75" customHeight="1" x14ac:dyDescent="0.25">
      <c r="A7" s="5">
        <f t="shared" si="3"/>
        <v>2029</v>
      </c>
      <c r="B7" s="49">
        <v>7253</v>
      </c>
      <c r="C7" s="50">
        <v>17684</v>
      </c>
      <c r="D7" s="50">
        <v>37620.999999999993</v>
      </c>
      <c r="E7" s="50">
        <v>37951</v>
      </c>
      <c r="F7" s="50">
        <v>29758.000000000004</v>
      </c>
      <c r="G7" s="17">
        <f t="shared" si="0"/>
        <v>123014</v>
      </c>
      <c r="H7" s="17">
        <f t="shared" si="1"/>
        <v>8299.2384111702722</v>
      </c>
      <c r="I7" s="17">
        <f t="shared" si="2"/>
        <v>114714.76158882973</v>
      </c>
    </row>
    <row r="8" spans="1:9" ht="15.75" customHeight="1" x14ac:dyDescent="0.25">
      <c r="A8" s="5">
        <f t="shared" si="3"/>
        <v>2030</v>
      </c>
      <c r="B8" s="49">
        <v>7176</v>
      </c>
      <c r="C8" s="50">
        <v>17864</v>
      </c>
      <c r="D8" s="50">
        <v>36909.5</v>
      </c>
      <c r="E8" s="50">
        <v>38599.999999999993</v>
      </c>
      <c r="F8" s="50">
        <v>30729</v>
      </c>
      <c r="G8" s="17">
        <f t="shared" si="0"/>
        <v>124102.5</v>
      </c>
      <c r="H8" s="17">
        <f t="shared" si="1"/>
        <v>8211.1312337733179</v>
      </c>
      <c r="I8" s="17">
        <f t="shared" si="2"/>
        <v>115891.36876622669</v>
      </c>
    </row>
    <row r="9" spans="1:9" ht="15.75" customHeight="1" x14ac:dyDescent="0.25">
      <c r="A9" s="5">
        <f t="shared" si="3"/>
        <v>2031</v>
      </c>
      <c r="B9" s="49">
        <v>7101</v>
      </c>
      <c r="C9" s="50">
        <v>18171</v>
      </c>
      <c r="D9" s="50">
        <v>36111.000000000007</v>
      </c>
      <c r="E9" s="50">
        <v>39138.5</v>
      </c>
      <c r="F9" s="50">
        <v>31689</v>
      </c>
      <c r="G9" s="17">
        <f t="shared" si="0"/>
        <v>125109.5</v>
      </c>
      <c r="H9" s="17">
        <f t="shared" si="1"/>
        <v>8125.3125544905697</v>
      </c>
      <c r="I9" s="17">
        <f t="shared" si="2"/>
        <v>116984.18744550944</v>
      </c>
    </row>
    <row r="10" spans="1:9" ht="15.75" customHeight="1" x14ac:dyDescent="0.25">
      <c r="A10" s="5">
        <f t="shared" si="3"/>
        <v>2032</v>
      </c>
      <c r="B10" s="49">
        <v>7033</v>
      </c>
      <c r="C10" s="50">
        <v>18448</v>
      </c>
      <c r="D10" s="50">
        <v>35451</v>
      </c>
      <c r="E10" s="50">
        <v>39532.5</v>
      </c>
      <c r="F10" s="50">
        <v>32625.500000000004</v>
      </c>
      <c r="G10" s="17">
        <f t="shared" si="0"/>
        <v>126057</v>
      </c>
      <c r="H10" s="17">
        <f t="shared" si="1"/>
        <v>8047.5036186075458</v>
      </c>
      <c r="I10" s="17">
        <f t="shared" si="2"/>
        <v>118009.49638139246</v>
      </c>
    </row>
    <row r="11" spans="1:9" ht="15.75" customHeight="1" x14ac:dyDescent="0.25">
      <c r="A11" s="5">
        <f t="shared" si="3"/>
        <v>2033</v>
      </c>
      <c r="B11" s="49">
        <v>6960</v>
      </c>
      <c r="C11" s="50">
        <v>18697</v>
      </c>
      <c r="D11" s="50">
        <v>34953</v>
      </c>
      <c r="E11" s="50">
        <v>39779.5</v>
      </c>
      <c r="F11" s="50">
        <v>33531</v>
      </c>
      <c r="G11" s="17">
        <f t="shared" si="0"/>
        <v>126960.5</v>
      </c>
      <c r="H11" s="17">
        <f t="shared" si="1"/>
        <v>7963.9734374390046</v>
      </c>
      <c r="I11" s="17">
        <f t="shared" si="2"/>
        <v>118996.52656256099</v>
      </c>
    </row>
    <row r="12" spans="1:9" ht="15.75" customHeight="1" x14ac:dyDescent="0.25">
      <c r="A12" s="5">
        <f t="shared" si="3"/>
        <v>2034</v>
      </c>
      <c r="B12" s="49">
        <v>6906</v>
      </c>
      <c r="C12" s="50">
        <v>18755.5</v>
      </c>
      <c r="D12" s="50">
        <v>34604.5</v>
      </c>
      <c r="E12" s="50">
        <v>39884.5</v>
      </c>
      <c r="F12" s="50">
        <v>34415.499999999993</v>
      </c>
      <c r="G12" s="17">
        <f t="shared" si="0"/>
        <v>127660</v>
      </c>
      <c r="H12" s="17">
        <f t="shared" si="1"/>
        <v>7902.1839883554258</v>
      </c>
      <c r="I12" s="17">
        <f t="shared" si="2"/>
        <v>119757.81601164458</v>
      </c>
    </row>
    <row r="13" spans="1:9" ht="15.75" customHeight="1" x14ac:dyDescent="0.25">
      <c r="A13" s="5">
        <f t="shared" si="3"/>
        <v>2035</v>
      </c>
      <c r="B13" s="49">
        <v>6836</v>
      </c>
      <c r="C13" s="50">
        <v>18562</v>
      </c>
      <c r="D13" s="50">
        <v>34354.5</v>
      </c>
      <c r="E13" s="50">
        <v>39857</v>
      </c>
      <c r="F13" s="50">
        <v>35271.5</v>
      </c>
      <c r="G13" s="17">
        <f t="shared" si="0"/>
        <v>128045</v>
      </c>
      <c r="H13" s="17">
        <f t="shared" si="1"/>
        <v>7822.0865543581949</v>
      </c>
      <c r="I13" s="17">
        <f t="shared" si="2"/>
        <v>120222.91344564181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IyWsE773EY795EfP8IznsWgf1L2eD+K2JBl9AvyLvL4/ljTOYZOk4xZIII1CQUlYOMpM64vCfcOD5UEUQOyWA==" saltValue="OB/EHElMpwS7JPrmMKpkH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7.087850000000008E-2</v>
      </c>
    </row>
    <row r="5" spans="1:8" ht="15.75" customHeight="1" x14ac:dyDescent="0.25">
      <c r="B5" s="19" t="s">
        <v>98</v>
      </c>
      <c r="C5" s="99">
        <v>2.284790000000006E-2</v>
      </c>
    </row>
    <row r="6" spans="1:8" ht="15.75" customHeight="1" x14ac:dyDescent="0.25">
      <c r="B6" s="19" t="s">
        <v>99</v>
      </c>
      <c r="C6" s="99">
        <v>0.16041219999999951</v>
      </c>
    </row>
    <row r="7" spans="1:8" ht="15.75" customHeight="1" x14ac:dyDescent="0.25">
      <c r="B7" s="19" t="s">
        <v>100</v>
      </c>
      <c r="C7" s="99">
        <v>0.44154420000000061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0.1909217999999997</v>
      </c>
    </row>
    <row r="10" spans="1:8" ht="15.75" customHeight="1" x14ac:dyDescent="0.25">
      <c r="B10" s="19" t="s">
        <v>103</v>
      </c>
      <c r="C10" s="99">
        <v>0.1133954000000001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0.12992921378605871</v>
      </c>
      <c r="D14" s="55">
        <v>0.12992921378605871</v>
      </c>
      <c r="E14" s="55">
        <v>0.12992921378605871</v>
      </c>
      <c r="F14" s="55">
        <v>0.12992921378605871</v>
      </c>
    </row>
    <row r="15" spans="1:8" ht="15.75" customHeight="1" x14ac:dyDescent="0.25">
      <c r="B15" s="19" t="s">
        <v>106</v>
      </c>
      <c r="C15" s="99">
        <v>0.15611618983341141</v>
      </c>
      <c r="D15" s="99">
        <v>0.15611618983341141</v>
      </c>
      <c r="E15" s="99">
        <v>0.15611618983341141</v>
      </c>
      <c r="F15" s="99">
        <v>0.15611618983341141</v>
      </c>
    </row>
    <row r="16" spans="1:8" ht="15.75" customHeight="1" x14ac:dyDescent="0.25">
      <c r="B16" s="19" t="s">
        <v>107</v>
      </c>
      <c r="C16" s="99">
        <v>2.2399666302878589E-2</v>
      </c>
      <c r="D16" s="99">
        <v>2.2399666302878589E-2</v>
      </c>
      <c r="E16" s="99">
        <v>2.2399666302878589E-2</v>
      </c>
      <c r="F16" s="99">
        <v>2.2399666302878589E-2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0.3292969420141898</v>
      </c>
      <c r="D20" s="99">
        <v>0.3292969420141898</v>
      </c>
      <c r="E20" s="99">
        <v>0.3292969420141898</v>
      </c>
      <c r="F20" s="99">
        <v>0.3292969420141898</v>
      </c>
    </row>
    <row r="21" spans="1:8" ht="15.75" customHeight="1" x14ac:dyDescent="0.25">
      <c r="B21" s="19" t="s">
        <v>112</v>
      </c>
      <c r="C21" s="99">
        <v>0.2531630768533944</v>
      </c>
      <c r="D21" s="99">
        <v>0.2531630768533944</v>
      </c>
      <c r="E21" s="99">
        <v>0.2531630768533944</v>
      </c>
      <c r="F21" s="99">
        <v>0.2531630768533944</v>
      </c>
    </row>
    <row r="22" spans="1:8" ht="15.75" customHeight="1" x14ac:dyDescent="0.25">
      <c r="B22" s="19" t="s">
        <v>113</v>
      </c>
      <c r="C22" s="99">
        <v>0.10909491121006711</v>
      </c>
      <c r="D22" s="99">
        <v>0.10909491121006711</v>
      </c>
      <c r="E22" s="99">
        <v>0.10909491121006711</v>
      </c>
      <c r="F22" s="99">
        <v>0.10909491121006711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6.0859322999999993E-2</v>
      </c>
    </row>
    <row r="27" spans="1:8" ht="15.75" customHeight="1" x14ac:dyDescent="0.25">
      <c r="B27" s="19" t="s">
        <v>120</v>
      </c>
      <c r="C27" s="99">
        <v>1.8473204999999999E-2</v>
      </c>
    </row>
    <row r="28" spans="1:8" ht="15.75" customHeight="1" x14ac:dyDescent="0.25">
      <c r="B28" s="19" t="s">
        <v>121</v>
      </c>
      <c r="C28" s="99">
        <v>0.14414038900000001</v>
      </c>
    </row>
    <row r="29" spans="1:8" ht="15.75" customHeight="1" x14ac:dyDescent="0.25">
      <c r="B29" s="19" t="s">
        <v>122</v>
      </c>
      <c r="C29" s="99">
        <v>0.27289618700000001</v>
      </c>
    </row>
    <row r="30" spans="1:8" ht="15.75" customHeight="1" x14ac:dyDescent="0.25">
      <c r="B30" s="19" t="s">
        <v>2</v>
      </c>
      <c r="C30" s="99">
        <v>8.5625018999999997E-2</v>
      </c>
    </row>
    <row r="31" spans="1:8" ht="15.75" customHeight="1" x14ac:dyDescent="0.25">
      <c r="B31" s="19" t="s">
        <v>123</v>
      </c>
      <c r="C31" s="99">
        <v>0.10194423</v>
      </c>
    </row>
    <row r="32" spans="1:8" ht="15.75" customHeight="1" x14ac:dyDescent="0.25">
      <c r="B32" s="19" t="s">
        <v>124</v>
      </c>
      <c r="C32" s="99">
        <v>2.9002987000000001E-2</v>
      </c>
    </row>
    <row r="33" spans="2:3" ht="15.75" customHeight="1" x14ac:dyDescent="0.25">
      <c r="B33" s="19" t="s">
        <v>125</v>
      </c>
      <c r="C33" s="99">
        <v>0.12602046</v>
      </c>
    </row>
    <row r="34" spans="2:3" ht="15.75" customHeight="1" x14ac:dyDescent="0.25">
      <c r="B34" s="19" t="s">
        <v>126</v>
      </c>
      <c r="C34" s="99">
        <v>0.16103819999999999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L7qNXeNeWT0gnY5LwI3nF/Rl+Os8zJKJaVDPWZVmzNprt54cSo0rRZrOPqtc1NAsxR50t1+O0ogCk1kQoDV1vw==" saltValue="zA7AgE4Qr641tLtPzqwqy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0.63022659041520701</v>
      </c>
      <c r="D2" s="52">
        <f>IFERROR(1-_xlfn.NORM.DIST(_xlfn.NORM.INV(SUM(D4:D5), 0, 1) + 1, 0, 1, TRUE), "")</f>
        <v>0.63022659041520701</v>
      </c>
      <c r="E2" s="52">
        <f>IFERROR(1-_xlfn.NORM.DIST(_xlfn.NORM.INV(SUM(E4:E5), 0, 1) + 1, 0, 1, TRUE), "")</f>
        <v>0.71255753542372247</v>
      </c>
      <c r="F2" s="52">
        <f>IFERROR(1-_xlfn.NORM.DIST(_xlfn.NORM.INV(SUM(F4:F5), 0, 1) + 1, 0, 1, TRUE), "")</f>
        <v>0.51175722460135675</v>
      </c>
      <c r="G2" s="52">
        <f>IFERROR(1-_xlfn.NORM.DIST(_xlfn.NORM.INV(SUM(G4:G5), 0, 1) + 1, 0, 1, TRUE), "")</f>
        <v>0.48100930942231379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0.27841780958479301</v>
      </c>
      <c r="D3" s="52">
        <f>IFERROR(_xlfn.NORM.DIST(_xlfn.NORM.INV(SUM(D4:D5), 0, 1) + 1, 0, 1, TRUE) - SUM(D4:D5), "")</f>
        <v>0.27841780958479301</v>
      </c>
      <c r="E3" s="52">
        <f>IFERROR(_xlfn.NORM.DIST(_xlfn.NORM.INV(SUM(E4:E5), 0, 1) + 1, 0, 1, TRUE) - SUM(E4:E5), "")</f>
        <v>0.22816546457627754</v>
      </c>
      <c r="F3" s="52">
        <f>IFERROR(_xlfn.NORM.DIST(_xlfn.NORM.INV(SUM(F4:F5), 0, 1) + 1, 0, 1, TRUE) - SUM(F4:F5), "")</f>
        <v>0.33661457539864326</v>
      </c>
      <c r="G3" s="52">
        <f>IFERROR(_xlfn.NORM.DIST(_xlfn.NORM.INV(SUM(G4:G5), 0, 1) + 1, 0, 1, TRUE) - SUM(G4:G5), "")</f>
        <v>0.34853839057768621</v>
      </c>
    </row>
    <row r="4" spans="1:15" ht="15.75" customHeight="1" x14ac:dyDescent="0.25">
      <c r="B4" s="5" t="s">
        <v>132</v>
      </c>
      <c r="C4" s="45">
        <v>8.4036100000000002E-2</v>
      </c>
      <c r="D4" s="53">
        <v>8.4036100000000002E-2</v>
      </c>
      <c r="E4" s="53">
        <v>4.9786299999999999E-2</v>
      </c>
      <c r="F4" s="53">
        <v>0.1290269</v>
      </c>
      <c r="G4" s="53">
        <v>0.13913690000000001</v>
      </c>
    </row>
    <row r="5" spans="1:15" ht="15.75" customHeight="1" x14ac:dyDescent="0.25">
      <c r="B5" s="5" t="s">
        <v>133</v>
      </c>
      <c r="C5" s="45">
        <v>7.3194999999999996E-3</v>
      </c>
      <c r="D5" s="53">
        <v>7.3194999999999996E-3</v>
      </c>
      <c r="E5" s="53">
        <v>9.4906999999999995E-3</v>
      </c>
      <c r="F5" s="53">
        <v>2.2601300000000001E-2</v>
      </c>
      <c r="G5" s="53">
        <v>3.13154E-2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0.6977135777550062</v>
      </c>
      <c r="D8" s="52">
        <f>IFERROR(1-_xlfn.NORM.DIST(_xlfn.NORM.INV(SUM(D10:D11), 0, 1) + 1, 0, 1, TRUE), "")</f>
        <v>0.6977135777550062</v>
      </c>
      <c r="E8" s="52">
        <f>IFERROR(1-_xlfn.NORM.DIST(_xlfn.NORM.INV(SUM(E10:E11), 0, 1) + 1, 0, 1, TRUE), "")</f>
        <v>0.88939061286156762</v>
      </c>
      <c r="F8" s="52">
        <f>IFERROR(1-_xlfn.NORM.DIST(_xlfn.NORM.INV(SUM(F10:F11), 0, 1) + 1, 0, 1, TRUE), "")</f>
        <v>0.90044310598811761</v>
      </c>
      <c r="G8" s="52">
        <f>IFERROR(1-_xlfn.NORM.DIST(_xlfn.NORM.INV(SUM(G10:G11), 0, 1) + 1, 0, 1, TRUE), "")</f>
        <v>0.87773770306376453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0.2377585222449938</v>
      </c>
      <c r="D9" s="52">
        <f>IFERROR(_xlfn.NORM.DIST(_xlfn.NORM.INV(SUM(D10:D11), 0, 1) + 1, 0, 1, TRUE) - SUM(D10:D11), "")</f>
        <v>0.2377585222449938</v>
      </c>
      <c r="E9" s="52">
        <f>IFERROR(_xlfn.NORM.DIST(_xlfn.NORM.INV(SUM(E10:E11), 0, 1) + 1, 0, 1, TRUE) - SUM(E10:E11), "")</f>
        <v>9.7511387138432382E-2</v>
      </c>
      <c r="F9" s="52">
        <f>IFERROR(_xlfn.NORM.DIST(_xlfn.NORM.INV(SUM(F10:F11), 0, 1) + 1, 0, 1, TRUE) - SUM(F10:F11), "")</f>
        <v>8.8373494011882395E-2</v>
      </c>
      <c r="G9" s="52">
        <f>IFERROR(_xlfn.NORM.DIST(_xlfn.NORM.INV(SUM(G10:G11), 0, 1) + 1, 0, 1, TRUE) - SUM(G10:G11), "")</f>
        <v>0.10702059693623547</v>
      </c>
    </row>
    <row r="10" spans="1:15" ht="15.75" customHeight="1" x14ac:dyDescent="0.25">
      <c r="B10" s="5" t="s">
        <v>137</v>
      </c>
      <c r="C10" s="45">
        <v>4.47556E-2</v>
      </c>
      <c r="D10" s="53">
        <v>4.47556E-2</v>
      </c>
      <c r="E10" s="53">
        <v>8.2351000000000004E-3</v>
      </c>
      <c r="F10" s="53">
        <v>2.1002E-3</v>
      </c>
      <c r="G10" s="53">
        <v>1.2859300000000001E-2</v>
      </c>
    </row>
    <row r="11" spans="1:15" ht="15.75" customHeight="1" x14ac:dyDescent="0.25">
      <c r="B11" s="5" t="s">
        <v>138</v>
      </c>
      <c r="C11" s="45">
        <v>1.97723E-2</v>
      </c>
      <c r="D11" s="53">
        <v>1.97723E-2</v>
      </c>
      <c r="E11" s="53">
        <v>4.8628999999999999E-3</v>
      </c>
      <c r="F11" s="53">
        <v>9.0831999999999996E-3</v>
      </c>
      <c r="G11" s="53">
        <v>2.3823999999999998E-3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0.434390426</v>
      </c>
      <c r="D14" s="54">
        <v>0.409926477324</v>
      </c>
      <c r="E14" s="54">
        <v>0.409926477324</v>
      </c>
      <c r="F14" s="54">
        <v>0.344801102149</v>
      </c>
      <c r="G14" s="54">
        <v>0.344801102149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0.217</v>
      </c>
      <c r="M14" s="55">
        <v>0.217</v>
      </c>
      <c r="N14" s="55">
        <v>0.217</v>
      </c>
      <c r="O14" s="55">
        <v>0.217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0.24743313055385999</v>
      </c>
      <c r="D15" s="52">
        <f t="shared" si="0"/>
        <v>0.23349822074852361</v>
      </c>
      <c r="E15" s="52">
        <f t="shared" si="0"/>
        <v>0.23349822074852361</v>
      </c>
      <c r="F15" s="52">
        <f t="shared" si="0"/>
        <v>0.19640215579509188</v>
      </c>
      <c r="G15" s="52">
        <f t="shared" si="0"/>
        <v>0.19640215579509188</v>
      </c>
      <c r="H15" s="52">
        <f t="shared" si="0"/>
        <v>0.12132692999999999</v>
      </c>
      <c r="I15" s="52">
        <f t="shared" si="0"/>
        <v>0.12132692999999999</v>
      </c>
      <c r="J15" s="52">
        <f t="shared" si="0"/>
        <v>0.12132692999999999</v>
      </c>
      <c r="K15" s="52">
        <f t="shared" si="0"/>
        <v>0.12132692999999999</v>
      </c>
      <c r="L15" s="52">
        <f t="shared" si="0"/>
        <v>0.12360536999999999</v>
      </c>
      <c r="M15" s="52">
        <f t="shared" si="0"/>
        <v>0.12360536999999999</v>
      </c>
      <c r="N15" s="52">
        <f t="shared" si="0"/>
        <v>0.12360536999999999</v>
      </c>
      <c r="O15" s="52">
        <f t="shared" si="0"/>
        <v>0.12360536999999999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DnYEgK/h0Mvk/uElmP8+ncNKkLD3VOHvwxdEGuEMatq38EfVsTDwSX7vxqIpKcTz4iwRgk9MOitirSi/76oVw==" saltValue="oeX6jnb3DDWCCLaq9/Sr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0.49676169999999997</v>
      </c>
      <c r="D2" s="53">
        <v>0.2988326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0.15486159999999999</v>
      </c>
      <c r="D3" s="53">
        <v>0.17969640000000001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0.30888520000000003</v>
      </c>
      <c r="D4" s="53">
        <v>0.43784060000000002</v>
      </c>
      <c r="E4" s="53">
        <v>0.76457330000000001</v>
      </c>
      <c r="F4" s="53">
        <v>0.47131149999999999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3.9491500000000013E-2</v>
      </c>
      <c r="D5" s="52">
        <f t="shared" si="0"/>
        <v>8.3630399999999994E-2</v>
      </c>
      <c r="E5" s="52">
        <f>1-SUM(E2:E4)</f>
        <v>0.23542669999999999</v>
      </c>
      <c r="F5" s="52">
        <f>1-SUM(F2:F4)</f>
        <v>0.52868850000000001</v>
      </c>
      <c r="G5" s="52">
        <f>1-SUM(G2:G4)</f>
        <v>1</v>
      </c>
    </row>
  </sheetData>
  <sheetProtection algorithmName="SHA-512" hashValue="Qe+1t3bxlE0OzFY33l4xnppWoHH7m2uGDiYzXRBppmtPHShfTby34W7FZMCNArVxQQXnDnuD0+6GkX6SXSNDYA==" saltValue="tFB2aUivjaRV4X2b/DVyv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7jBggzpmqthlapwtqY431SfTlhpqYbSkdVZt76Oe/kdvWsfImX6dgfmDf27/o6EP38sqqEgt3I2hUMc1UYA3w==" saltValue="PGyEj4n/mm7XG0Bmu4XR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6984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0.47397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0.52579999999999993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1.4393902566221941E-2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98776.213210000002</v>
      </c>
      <c r="C22" s="107">
        <v>98657.877819999994</v>
      </c>
      <c r="D22" s="107">
        <v>98510.572889999996</v>
      </c>
      <c r="E22" s="107">
        <v>98031.644239999994</v>
      </c>
      <c r="F22" s="107">
        <v>97225.936730000001</v>
      </c>
      <c r="G22" s="107">
        <v>96110.786420000004</v>
      </c>
      <c r="H22" s="107">
        <v>94781.235709999994</v>
      </c>
      <c r="I22" s="107">
        <v>93437.076799999995</v>
      </c>
      <c r="J22" s="107">
        <v>91828.403890000001</v>
      </c>
      <c r="K22" s="107">
        <v>89598.788320000007</v>
      </c>
      <c r="L22" s="107">
        <v>86548.342120000001</v>
      </c>
      <c r="M22" s="107">
        <v>82214.108099999998</v>
      </c>
      <c r="N22" s="107">
        <v>76578.055120000005</v>
      </c>
      <c r="O22" s="107">
        <v>69486.862789999999</v>
      </c>
    </row>
  </sheetData>
  <sheetProtection algorithmName="SHA-512" hashValue="2WGZH/BatwHy8ekDI0SN6UOgpy2DhkLzIhgEkr5/yAIEGEYof+NPkBTrG/QsgcSS6X42ZyMSYBbeyqUVRx1y1w==" saltValue="9kRqjxvOI1+/v0NnoE57L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MGYxVbPv1qiYEUmmSBMF5eA4DS7NiiJTP43y7Kns6R/GTniGQ8X8jIp8/ELu8PVMUBM6n6zvCpsTdTk/jsuqDg==" saltValue="2PmQZKf+gt43FqawPj+a4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m+7ZoilO6+Ttcj+J8RS1EojTl4lJrCEXJQuVHac2s05vp82O7J0hzK4zeQq/EJy6iLOeWDswPTHrZuT05rN3A==" saltValue="FwOALFoKFZKyUfChzUX1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13.098311970098051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13.098311970098051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13.098311970098051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13.098311970098051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13.098311970098051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13.098311970098051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0.45717222222222198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0.2988326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0.2988326</v>
      </c>
      <c r="C19" s="96">
        <v>0.95</v>
      </c>
      <c r="D19" s="56">
        <v>10.92023727763495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4.3331704911650171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0.74404084689872707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9.2958524157825622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0.55214350000000001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0.57829639999999993</v>
      </c>
      <c r="C29" s="96">
        <v>0.95</v>
      </c>
      <c r="D29" s="56">
        <v>122.3932530911411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0.44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0.90288290000000004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0.16361800000000001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1.5806400000000002E-2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0.87191940000000001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9.5506600000000011E-2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MGzSpx8cerxe6RSgK0Pj4LutNvxouoz+IotzZrBXk98DMyZKaiYVvzwgBzyi3Qzb6fMJoUBf88zD/wk1uYHD8Q==" saltValue="eRGML66HOVb77YOTBv7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14rze9CJ+VxNQxbgpcVLiGL3yM3McQ8OVHDakBG3FPH4HPRK1q2IbDK1SqOqT4PKjke2kTTXCd90gR7YhfDtQ==" saltValue="NEsdyKQl9kCQKRuL2qdI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LoSD5NnslUu82NCfLDVEkyxokhIRJjSKJzGu0Pkom7Zq5d9BfxlWbhY7NE1KCMiMtW2PRydtcKduqUmBmauF0w==" saltValue="tLlt1JJaWoRxYi0zpnsoM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0.11636456000000001</v>
      </c>
      <c r="C3" s="21">
        <f>frac_mam_1_5months * 2.6</f>
        <v>0.11636456000000001</v>
      </c>
      <c r="D3" s="21">
        <f>frac_mam_6_11months * 2.6</f>
        <v>2.1411260000000001E-2</v>
      </c>
      <c r="E3" s="21">
        <f>frac_mam_12_23months * 2.6</f>
        <v>5.46052E-3</v>
      </c>
      <c r="F3" s="21">
        <f>frac_mam_24_59months * 2.6</f>
        <v>3.3434180000000001E-2</v>
      </c>
    </row>
    <row r="4" spans="1:6" ht="15.75" customHeight="1" x14ac:dyDescent="0.25">
      <c r="A4" s="3" t="s">
        <v>237</v>
      </c>
      <c r="B4" s="21">
        <f>frac_sam_1month * 2.6</f>
        <v>5.1407979999999999E-2</v>
      </c>
      <c r="C4" s="21">
        <f>frac_sam_1_5months * 2.6</f>
        <v>5.1407979999999999E-2</v>
      </c>
      <c r="D4" s="21">
        <f>frac_sam_6_11months * 2.6</f>
        <v>1.264354E-2</v>
      </c>
      <c r="E4" s="21">
        <f>frac_sam_12_23months * 2.6</f>
        <v>2.361632E-2</v>
      </c>
      <c r="F4" s="21">
        <f>frac_sam_24_59months * 2.6</f>
        <v>6.1942399999999993E-3</v>
      </c>
    </row>
  </sheetData>
  <sheetProtection algorithmName="SHA-512" hashValue="krIPC2j5DU1nrtW1mmfHgoAJ4AOf+ssKHFEL43SwU/3HbPC+fpAcQLMu3WUxRoecWx4TGzoGW63HJJ/r5WNmrg==" saltValue="ld+XJ3Zl0MbMLZpp8nek0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0.13900000000000001</v>
      </c>
      <c r="F2" s="60">
        <f>food_insecure</f>
        <v>0.13900000000000001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0.13900000000000001</v>
      </c>
      <c r="F5" s="60">
        <f>food_insecure</f>
        <v>0.13900000000000001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0.13900000000000001</v>
      </c>
      <c r="F8" s="60">
        <f>food_insecure</f>
        <v>0.13900000000000001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0.13900000000000001</v>
      </c>
      <c r="F9" s="60">
        <f>food_insecure</f>
        <v>0.13900000000000001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0.13900000000000001</v>
      </c>
      <c r="I15" s="60">
        <f t="shared" si="0"/>
        <v>0.13900000000000001</v>
      </c>
      <c r="J15" s="60">
        <f t="shared" si="0"/>
        <v>0.13900000000000001</v>
      </c>
      <c r="K15" s="60">
        <f t="shared" si="0"/>
        <v>0.13900000000000001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0.13900000000000001</v>
      </c>
      <c r="I16" s="60">
        <f t="shared" si="0"/>
        <v>0.13900000000000001</v>
      </c>
      <c r="J16" s="60">
        <f t="shared" si="0"/>
        <v>0.13900000000000001</v>
      </c>
      <c r="K16" s="60">
        <f t="shared" si="0"/>
        <v>0.13900000000000001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0.14166358523178096</v>
      </c>
      <c r="M25" s="60">
        <f>(1-food_insecure)*(0.49)+food_insecure*(0.7)</f>
        <v>0.51919000000000004</v>
      </c>
      <c r="N25" s="60">
        <f>(1-food_insecure)*(0.49)+food_insecure*(0.7)</f>
        <v>0.51919000000000004</v>
      </c>
      <c r="O25" s="60">
        <f>(1-food_insecure)*(0.49)+food_insecure*(0.7)</f>
        <v>0.51919000000000004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6.0712965099334701E-2</v>
      </c>
      <c r="M26" s="60">
        <f>(1-food_insecure)*(0.21)+food_insecure*(0.3)</f>
        <v>0.22250999999999999</v>
      </c>
      <c r="N26" s="60">
        <f>(1-food_insecure)*(0.21)+food_insecure*(0.3)</f>
        <v>0.22250999999999999</v>
      </c>
      <c r="O26" s="60">
        <f>(1-food_insecure)*(0.21)+food_insecure*(0.3)</f>
        <v>0.22250999999999999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7.0478445396423325E-2</v>
      </c>
      <c r="M27" s="60">
        <f>(1-food_insecure)*(0.3)</f>
        <v>0.25829999999999997</v>
      </c>
      <c r="N27" s="60">
        <f>(1-food_insecure)*(0.3)</f>
        <v>0.25829999999999997</v>
      </c>
      <c r="O27" s="60">
        <f>(1-food_insecure)*(0.3)</f>
        <v>0.25829999999999997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0.72714500427246098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BUwZWq7BNfJABJoZrRuGjy3Tqj2LeryzKOrFtceT74hoR+vO273LkNNQG7rJ05FewmBKsZwwDcH87tJ8BLp7Hw==" saltValue="JrEcmA4R4vhya4jFvm0L6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HKhkFtrSC9lxNIZZ859K9pWkhaJAprlt9uw05VA56kC7OwPH0rwSVQARVvLvkRYiGNMUEA0NxNK3gdwH+NVDWQ==" saltValue="Mhghb42B+zCp4FGfzFa8B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yFJL/I8nR7aHMATdsJVJolbOIu4XsCUYUcDMe1w+gQ3O3yW6e+YA9ZIwllUh7orkvMqRFQPPw5MdgJnSB6Ckw==" saltValue="YEMaAx47yBtRyW1vnH7p6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KueM8mapu4ajWDXgDcCE0OUH+nlxoS3w1zc67UULLoj5YwMsI0lPvhNWx/M6FAGAQ+3zk4Ku5ouq3kMEtS79Cg==" saltValue="PYY4xhpFAJsRVY1rvQK+/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yEyQyVTMvzzSPABIEEvSSk/Q7RBEazKA4L3+L5j6b0pX8H/Hs7OVFl5o6iwvEpgkb3Dp2pJ8+bJBNPAeemGJ3g==" saltValue="x0cV0uM9VdS+a/PrxnEfH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FrB0j4ycLmaANA66EtUIWFYGIUBQzgjyu3217BHsq2o8VacMTeplid00StpBSXHcCP6tuAQrRe2d9tjsnk+6GQ==" saltValue="bUqLM87ivGMz46v0vefFc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mRF0Xy8xBKRgveJ3L6/9a9eFF+0EPVQ+OZ0HcegP2xNanknvnYJgG4qPAt0BJbL+Qwmge78MIGisQ3ZGdzFfg==" saltValue="8cqwJ3AtK0CeJzghs6TNq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ZvtquQDnIrlTq6U0yxBUkM6rBzrQ0ODsEqc8N8Ks21/3LUk8wW91fPC/qhs88t8qay4j6tFxHL8iK53Wx/MLg==" saltValue="BKe7j1tw6y4l9nwNaUUo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To2Gg2QfwKQ5taW1ATnSBpPGsX3tEDbyygXDNmI2wLbu2b8K8luJOtU276nd9s8zJ5cDik/iBQhuGa5BOlak/A==" saltValue="s1BLBSDdMIy6LpyVTOrK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j0gcXrpBrmfS6ezYnWjaKh7ABD27F+4ut5JADfCTFPcJzmNBioXS3a1zbdU65mThi1zxeBmOEOuEmy7N6I0hNg==" saltValue="hSaKaY3vWVzOe0r2f9sf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0qn1f3DMrvstDNLkFW4GYYF71BhcjRE/vO/rWyyyG87QEup4OyAkU/95TxNagywhNALIUdneDWxKpH09vhLyXQ==" saltValue="nydbex72CObGmOT40hK0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cC0jJ7r7RDAdeSd8P5xc5Y/UnisV7PsgKHCNkQHNzAfGBMg9707J4lv7TdxO6lnr/zJr7QZSizAEB9FsLXlrQ==" saltValue="Teh6te0j56v3411sanNY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I0y1JbJXbBey5FigS0IWRUVq45X2YFmiroU4Hzol0pdink3IEtiv1AO6/M5KHU9+wbrnfRW9aUYOQ0wR2RG3A==" saltValue="2ZyzSI4GaaGb1iCgA64mL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IZoFkTyiZFsbaj1GOG4t8k6Ge/lzGb+VuRQBbeY6Do+GFtqtJNUKDFe3LBf7ge2tpZP0axaq+KZd5Q3gYDo8eA==" saltValue="N7GIervxN+tED05wLlcO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yfhFF0efXSboOst1xUze/BP/kHIg2XXS1PbHrrjNZAIVzA08CSBkUegVBIMuv4d4kLH2sUM+qzH0S5ghvCybg==" saltValue="+4OQjwQ6gGG+izEK1ZlCA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2026-04-29T04:54:48Z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