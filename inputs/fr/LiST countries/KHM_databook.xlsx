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fr\LiST countries\"/>
    </mc:Choice>
  </mc:AlternateContent>
  <xr:revisionPtr revIDLastSave="0" documentId="8_{7347E9F1-A9E5-4A35-A1F0-C48C94D87B75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Perte économique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isques des rés. des naissances" sheetId="21" state="hidden" r:id="rId21"/>
    <sheet name="Risques relatifs" sheetId="22" state="hidden" r:id="rId22"/>
    <sheet name="Rapports des cotes" sheetId="23" state="hidden" r:id="rId23"/>
    <sheet name="Programmes-rés. des naissances" sheetId="24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F112" i="27"/>
  <c r="E112" i="27"/>
  <c r="D112" i="27"/>
  <c r="H97" i="27"/>
  <c r="H152" i="27" s="1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I40" i="2" s="1"/>
  <c r="H39" i="2"/>
  <c r="G39" i="2"/>
  <c r="I39" i="2" s="1"/>
  <c r="H38" i="2"/>
  <c r="G38" i="2"/>
  <c r="I38" i="2" s="1"/>
  <c r="A29" i="2"/>
  <c r="A20" i="2"/>
  <c r="H13" i="2"/>
  <c r="G13" i="2"/>
  <c r="I13" i="2" s="1"/>
  <c r="H12" i="2"/>
  <c r="G12" i="2"/>
  <c r="H11" i="2"/>
  <c r="G11" i="2"/>
  <c r="I11" i="2" s="1"/>
  <c r="H10" i="2"/>
  <c r="G10" i="2"/>
  <c r="I10" i="2" s="1"/>
  <c r="H9" i="2"/>
  <c r="G9" i="2"/>
  <c r="I9" i="2" s="1"/>
  <c r="H8" i="2"/>
  <c r="G8" i="2"/>
  <c r="H7" i="2"/>
  <c r="G7" i="2"/>
  <c r="I7" i="2" s="1"/>
  <c r="H6" i="2"/>
  <c r="G6" i="2"/>
  <c r="I6" i="2" s="1"/>
  <c r="H5" i="2"/>
  <c r="G5" i="2"/>
  <c r="I5" i="2" s="1"/>
  <c r="H4" i="2"/>
  <c r="G4" i="2"/>
  <c r="H3" i="2"/>
  <c r="G3" i="2"/>
  <c r="I3" i="2" s="1"/>
  <c r="H2" i="2"/>
  <c r="G2" i="2"/>
  <c r="I2" i="2" s="1"/>
  <c r="A2" i="2"/>
  <c r="A40" i="2" s="1"/>
  <c r="C33" i="1"/>
  <c r="C20" i="1"/>
  <c r="A21" i="2" l="1"/>
  <c r="A32" i="2"/>
  <c r="A16" i="2"/>
  <c r="A35" i="2"/>
  <c r="A31" i="2"/>
  <c r="A23" i="2"/>
  <c r="A24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25" i="2"/>
  <c r="A17" i="2"/>
  <c r="A18" i="2"/>
  <c r="A27" i="2"/>
  <c r="A36" i="2"/>
  <c r="A15" i="2"/>
  <c r="A33" i="2"/>
  <c r="A34" i="2"/>
  <c r="A26" i="2"/>
  <c r="I4" i="2"/>
  <c r="I8" i="2"/>
  <c r="I12" i="2"/>
  <c r="A19" i="2"/>
  <c r="A28" i="2"/>
  <c r="A37" i="2"/>
  <c r="A39" i="2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<sst xmlns="http://schemas.openxmlformats.org/spreadsheetml/2006/main" count="2101" uniqueCount="337">
  <si>
    <t>Field</t>
  </si>
  <si>
    <t>Causes</t>
  </si>
  <si>
    <t>Sepsis</t>
  </si>
  <si>
    <t>Population</t>
  </si>
  <si>
    <t>Type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</si>
  <si>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</si>
  <si>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</si>
  <si>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</si>
  <si>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</si>
  <si>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</si>
  <si>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</si>
  <si>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</si>
  <si>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</si>
  <si>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</si>
  <si>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</si>
  <si>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</si>
  <si>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</si>
  <si>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</si>
  <si>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</si>
  <si>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</si>
  <si>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</si>
  <si>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</si>
  <si>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</si>
  <si>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</si>
  <si>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</si>
  <si>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</si>
  <si>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</si>
  <si>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</si>
  <si>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</si>
  <si>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</si>
  <si>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</si>
  <si>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</si>
  <si>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</si>
  <si>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</si>
  <si>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</si>
  <si>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</si>
  <si>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</si>
  <si>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</si>
  <si>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</si>
  <si>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</si>
  <si>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</si>
  <si>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</si>
  <si>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</si>
  <si>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</si>
  <si>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</si>
  <si>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</si>
  <si>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</si>
  <si>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</si>
  <si>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</si>
  <si>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</si>
  <si>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</si>
  <si>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</si>
  <si>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</si>
  <si>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</si>
  <si>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</si>
  <si>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</si>
  <si>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</si>
  <si>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</si>
  <si>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</si>
  <si>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</si>
  <si>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</si>
  <si>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</si>
  <si>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</si>
  <si>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</si>
  <si>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</si>
  <si>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</si>
  <si>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</si>
  <si>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</si>
  <si>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</si>
  <si>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</si>
  <si>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</si>
  <si>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</si>
  <si>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</si>
  <si>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</si>
  <si>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</si>
  <si>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</si>
  <si>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</si>
  <si>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</si>
  <si>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</si>
  <si>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</si>
  <si>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</si>
  <si>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</si>
  <si>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</si>
  <si>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</si>
  <si>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</si>
  <si>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</si>
  <si>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</si>
  <si>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</si>
  <si>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</si>
  <si>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</si>
  <si>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</si>
  <si>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</si>
  <si>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</si>
  <si>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</si>
  <si>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</si>
  <si>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</si>
  <si>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</si>
  <si>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</si>
  <si>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</si>
  <si>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</si>
  <si>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</si>
  <si>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</si>
  <si>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</si>
  <si>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</si>
  <si>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</si>
  <si>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</si>
  <si>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</si>
  <si>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</si>
  <si>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</si>
  <si>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</si>
  <si>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</si>
  <si>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</si>
  <si>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</si>
  <si>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</si>
  <si>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</si>
  <si>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</si>
  <si>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</si>
  <si>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</si>
  <si>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</si>
  <si>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</si>
  <si>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</si>
  <si>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</si>
  <si>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</si>
  <si>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</si>
  <si>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</si>
  <si>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</si>
  <si>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</si>
  <si>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</si>
  <si>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</si>
  <si>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</si>
  <si>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</si>
  <si>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</si>
  <si>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</si>
  <si>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</si>
  <si>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</si>
  <si>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</si>
  <si>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</si>
  <si>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</si>
  <si>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</si>
  <si>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</si>
  <si>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</si>
  <si>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</si>
  <si>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</si>
  <si>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</si>
  <si>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Coût</t>
  </si>
  <si>
    <t>Épisode d'émaciation d'un enfant</t>
  </si>
  <si>
    <t>Décès d'enfant</t>
  </si>
  <si>
    <t>Décès maternel</t>
  </si>
  <si>
    <t>Enfant anémique (par an)</t>
  </si>
  <si>
    <t>Femme enceinte anémique (par grossesse)</t>
  </si>
  <si>
    <t>Enfant souffrant d'un retard de croissance qui aura 5 ans (au cours de sa vie)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</si>
  <si>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</si>
  <si>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</si>
  <si>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</si>
  <si>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</si>
  <si>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</si>
  <si>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</si>
  <si>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</si>
  <si>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</si>
  <si>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</si>
  <si>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</si>
  <si>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</si>
  <si>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</si>
  <si>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</si>
  <si>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</si>
  <si>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</si>
  <si>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</si>
  <si>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</si>
  <si>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</si>
  <si>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</si>
  <si>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</si>
  <si>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</si>
  <si>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</si>
  <si>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</si>
  <si>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</si>
  <si>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</si>
  <si>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</si>
  <si>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</si>
  <si>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</si>
  <si>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</si>
  <si>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</si>
  <si>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</si>
  <si>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</si>
  <si>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</si>
  <si>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</si>
  <si>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</si>
  <si>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</si>
  <si>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</si>
  <si>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</si>
  <si>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</si>
  <si>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</si>
  <si>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</si>
  <si>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</si>
  <si>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</si>
  <si>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</si>
  <si>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</si>
  <si>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</si>
  <si>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</si>
  <si>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</si>
  <si>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</si>
  <si>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</si>
  <si>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</si>
  <si>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</si>
  <si>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</si>
  <si>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</si>
  <si>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</si>
  <si>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</si>
  <si>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</si>
  <si>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</si>
  <si>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</si>
  <si>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</si>
  <si>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</si>
  <si>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</si>
  <si>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</si>
  <si>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</si>
  <si>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</si>
  <si>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</si>
  <si>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</si>
  <si>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</si>
  <si>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</si>
  <si>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</si>
  <si>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</si>
  <si>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</si>
  <si>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</si>
  <si>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</si>
  <si>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</si>
  <si>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</si>
  <si>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</si>
  <si>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</si>
  <si>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</si>
  <si>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</si>
  <si>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</si>
  <si>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</si>
  <si>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</si>
  <si>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</si>
  <si>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</si>
  <si>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</si>
  <si>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</si>
  <si>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</si>
  <si>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</si>
  <si>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</si>
  <si>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</si>
  <si>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</si>
  <si>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</si>
  <si>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</si>
  <si>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</si>
  <si>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</si>
  <si>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</si>
  <si>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</si>
  <si>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</si>
  <si>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</si>
  <si>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</si>
  <si>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</si>
  <si>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</si>
  <si>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</si>
  <si>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</si>
  <si>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</si>
  <si>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</si>
  <si>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</si>
  <si>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</si>
  <si>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</si>
  <si>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</si>
  <si>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</si>
  <si>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</si>
  <si>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</si>
  <si>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</si>
  <si>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</si>
  <si>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</si>
  <si>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</si>
  <si>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</si>
  <si>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</si>
  <si>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</si>
  <si>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</si>
  <si>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</si>
  <si>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</si>
  <si>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</si>
  <si>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</si>
  <si>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</si>
  <si>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</si>
  <si>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Émaciation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</si>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</sst>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13</v>
      </c>
      <c r="B1" s="29" t="s">
        <v>0</v>
      </c>
      <c r="C1" s="29" t="s">
        <v>66</v>
      </c>
    </row>
    <row r="2" spans="1:3" ht="15.9" customHeight="1" x14ac:dyDescent="0.3">
      <c r="A2" s="8" t="s">
        <v>14</v>
      </c>
      <c r="B2" s="29"/>
      <c r="C2" s="29"/>
    </row>
    <row r="3" spans="1:3" ht="15.9" customHeight="1" x14ac:dyDescent="0.3">
      <c r="A3" s="1"/>
      <c r="B3" s="5" t="s">
        <v>15</v>
      </c>
      <c r="C3" s="41">
        <v>2024</v>
      </c>
    </row>
    <row r="4" spans="1:3" ht="15.9" customHeight="1" x14ac:dyDescent="0.3">
      <c r="A4" s="1"/>
      <c r="B4" s="5" t="s">
        <v>16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17</v>
      </c>
    </row>
    <row r="7" spans="1:3" ht="15" customHeight="1" x14ac:dyDescent="0.25">
      <c r="B7" s="11" t="s">
        <v>18</v>
      </c>
      <c r="C7" s="43">
        <v>1552117.4375</v>
      </c>
    </row>
    <row r="8" spans="1:3" ht="15" customHeight="1" x14ac:dyDescent="0.25">
      <c r="B8" s="5" t="s">
        <v>19</v>
      </c>
      <c r="C8" s="44">
        <v>0.14199999999999999</v>
      </c>
    </row>
    <row r="9" spans="1:3" ht="15" customHeight="1" x14ac:dyDescent="0.25">
      <c r="B9" s="5" t="s">
        <v>20</v>
      </c>
      <c r="C9" s="45">
        <v>0.17799999999999999</v>
      </c>
    </row>
    <row r="10" spans="1:3" ht="15" customHeight="1" x14ac:dyDescent="0.25">
      <c r="B10" s="5" t="s">
        <v>21</v>
      </c>
      <c r="C10" s="45">
        <v>0.81408699039999999</v>
      </c>
    </row>
    <row r="11" spans="1:3" ht="15" customHeight="1" x14ac:dyDescent="0.25">
      <c r="B11" s="5" t="s">
        <v>22</v>
      </c>
      <c r="C11" s="45">
        <v>1</v>
      </c>
    </row>
    <row r="12" spans="1:3" ht="15" customHeight="1" x14ac:dyDescent="0.25">
      <c r="B12" s="5" t="s">
        <v>23</v>
      </c>
      <c r="C12" s="45">
        <v>1</v>
      </c>
    </row>
    <row r="13" spans="1:3" ht="15" customHeight="1" x14ac:dyDescent="0.25">
      <c r="B13" s="5" t="s">
        <v>24</v>
      </c>
      <c r="C13" s="45">
        <v>0.436</v>
      </c>
    </row>
    <row r="14" spans="1:3" ht="15" customHeight="1" x14ac:dyDescent="0.25">
      <c r="B14" s="8"/>
    </row>
    <row r="15" spans="1:3" ht="15" customHeight="1" x14ac:dyDescent="0.3">
      <c r="A15" s="8" t="s">
        <v>25</v>
      </c>
      <c r="B15" s="14"/>
      <c r="C15" s="3"/>
    </row>
    <row r="16" spans="1:3" ht="15" customHeight="1" x14ac:dyDescent="0.25">
      <c r="B16" s="5" t="s">
        <v>26</v>
      </c>
      <c r="C16" s="45">
        <v>0.1</v>
      </c>
    </row>
    <row r="17" spans="1:3" ht="15" customHeight="1" x14ac:dyDescent="0.25">
      <c r="B17" s="5" t="s">
        <v>27</v>
      </c>
      <c r="C17" s="45">
        <v>0.01</v>
      </c>
    </row>
    <row r="18" spans="1:3" ht="15" customHeight="1" x14ac:dyDescent="0.25">
      <c r="B18" s="5" t="s">
        <v>28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30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32</v>
      </c>
      <c r="C23" s="45">
        <v>0.1135</v>
      </c>
    </row>
    <row r="24" spans="1:3" ht="15" customHeight="1" x14ac:dyDescent="0.25">
      <c r="B24" s="15" t="s">
        <v>33</v>
      </c>
      <c r="C24" s="45">
        <v>0.59699999999999998</v>
      </c>
    </row>
    <row r="25" spans="1:3" ht="15" customHeight="1" x14ac:dyDescent="0.25">
      <c r="B25" s="15" t="s">
        <v>34</v>
      </c>
      <c r="C25" s="45">
        <v>0.25979999999999998</v>
      </c>
    </row>
    <row r="26" spans="1:3" ht="15" customHeight="1" x14ac:dyDescent="0.25">
      <c r="B26" s="15" t="s">
        <v>35</v>
      </c>
      <c r="C26" s="45">
        <v>2.9700000000000001E-2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36</v>
      </c>
      <c r="B28" s="15"/>
      <c r="C28" s="15"/>
    </row>
    <row r="29" spans="1:3" ht="14.25" customHeight="1" x14ac:dyDescent="0.25">
      <c r="B29" s="25" t="s">
        <v>37</v>
      </c>
      <c r="C29" s="45">
        <v>0.35360940846886901</v>
      </c>
    </row>
    <row r="30" spans="1:3" ht="14.25" customHeight="1" x14ac:dyDescent="0.25">
      <c r="B30" s="25" t="s">
        <v>38</v>
      </c>
      <c r="C30" s="99">
        <v>2.37391160515825E-2</v>
      </c>
    </row>
    <row r="31" spans="1:3" ht="14.25" customHeight="1" x14ac:dyDescent="0.25">
      <c r="B31" s="25" t="s">
        <v>39</v>
      </c>
      <c r="C31" s="99">
        <v>4.6299410961796898E-2</v>
      </c>
    </row>
    <row r="32" spans="1:3" ht="14.25" customHeight="1" x14ac:dyDescent="0.25">
      <c r="B32" s="25" t="s">
        <v>40</v>
      </c>
      <c r="C32" s="99">
        <v>0.57635206451775101</v>
      </c>
    </row>
    <row r="33" spans="1:5" ht="13" customHeight="1" x14ac:dyDescent="0.25">
      <c r="B33" s="27" t="s">
        <v>41</v>
      </c>
      <c r="C33" s="48">
        <f>SUM(C29:C32)</f>
        <v>0.99999999999999944</v>
      </c>
    </row>
    <row r="34" spans="1:5" ht="15" customHeight="1" x14ac:dyDescent="0.25"/>
    <row r="35" spans="1:5" ht="15" customHeight="1" x14ac:dyDescent="0.3">
      <c r="A35" s="4" t="s">
        <v>42</v>
      </c>
    </row>
    <row r="36" spans="1:5" ht="15" customHeight="1" x14ac:dyDescent="0.25">
      <c r="A36" s="8" t="s">
        <v>43</v>
      </c>
      <c r="B36" s="5"/>
    </row>
    <row r="37" spans="1:5" ht="15" customHeight="1" x14ac:dyDescent="0.25">
      <c r="B37" s="11" t="s">
        <v>44</v>
      </c>
      <c r="C37" s="43">
        <v>12.831490000000001</v>
      </c>
    </row>
    <row r="38" spans="1:5" ht="15" customHeight="1" x14ac:dyDescent="0.25">
      <c r="B38" s="11" t="s">
        <v>45</v>
      </c>
      <c r="C38" s="43">
        <v>21.255769999999998</v>
      </c>
      <c r="D38" s="12"/>
      <c r="E38" s="13"/>
    </row>
    <row r="39" spans="1:5" ht="15" customHeight="1" x14ac:dyDescent="0.25">
      <c r="B39" s="11" t="s">
        <v>46</v>
      </c>
      <c r="C39" s="43">
        <v>24.763559999999998</v>
      </c>
      <c r="D39" s="12"/>
      <c r="E39" s="12"/>
    </row>
    <row r="40" spans="1:5" ht="15" customHeight="1" x14ac:dyDescent="0.25">
      <c r="B40" s="11" t="s">
        <v>47</v>
      </c>
      <c r="C40" s="100">
        <v>2.1800000000000002</v>
      </c>
    </row>
    <row r="41" spans="1:5" ht="15" customHeight="1" x14ac:dyDescent="0.25">
      <c r="B41" s="11" t="s">
        <v>48</v>
      </c>
      <c r="C41" s="45">
        <v>0.12</v>
      </c>
    </row>
    <row r="42" spans="1:5" ht="15" customHeight="1" x14ac:dyDescent="0.25">
      <c r="B42" s="11" t="s">
        <v>49</v>
      </c>
      <c r="C42" s="43">
        <v>11.4114</v>
      </c>
    </row>
    <row r="43" spans="1:5" ht="15.75" customHeight="1" x14ac:dyDescent="0.25">
      <c r="D43" s="12"/>
    </row>
    <row r="44" spans="1:5" ht="15.75" customHeight="1" x14ac:dyDescent="0.25">
      <c r="A44" s="8" t="s">
        <v>50</v>
      </c>
      <c r="D44" s="12"/>
    </row>
    <row r="45" spans="1:5" ht="15.75" customHeight="1" x14ac:dyDescent="0.25">
      <c r="B45" s="11" t="s">
        <v>51</v>
      </c>
      <c r="C45" s="45">
        <v>5.2859999999999999E-3</v>
      </c>
      <c r="D45" s="12"/>
    </row>
    <row r="46" spans="1:5" ht="15.75" customHeight="1" x14ac:dyDescent="0.25">
      <c r="B46" s="11" t="s">
        <v>52</v>
      </c>
      <c r="C46" s="45">
        <v>5.6797599999999997E-2</v>
      </c>
      <c r="D46" s="12"/>
    </row>
    <row r="47" spans="1:5" ht="15.75" customHeight="1" x14ac:dyDescent="0.25">
      <c r="B47" s="11" t="s">
        <v>53</v>
      </c>
      <c r="C47" s="45">
        <v>7.5974799999999995E-2</v>
      </c>
      <c r="D47" s="12"/>
      <c r="E47" s="13"/>
    </row>
    <row r="48" spans="1:5" ht="15" customHeight="1" x14ac:dyDescent="0.25">
      <c r="B48" s="11" t="s">
        <v>54</v>
      </c>
      <c r="C48" s="46">
        <v>0.86194159999999997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55</v>
      </c>
      <c r="D50" s="12"/>
    </row>
    <row r="51" spans="1:4" ht="15.75" customHeight="1" x14ac:dyDescent="0.25">
      <c r="B51" s="11" t="s">
        <v>56</v>
      </c>
      <c r="C51" s="100">
        <v>2.2000000000000002</v>
      </c>
      <c r="D51" s="12"/>
    </row>
    <row r="52" spans="1:4" ht="15" customHeight="1" x14ac:dyDescent="0.25">
      <c r="B52" s="11" t="s">
        <v>57</v>
      </c>
      <c r="C52" s="100">
        <v>2.2000000000000002</v>
      </c>
    </row>
    <row r="53" spans="1:4" ht="15.75" customHeight="1" x14ac:dyDescent="0.25">
      <c r="B53" s="11" t="s">
        <v>58</v>
      </c>
      <c r="C53" s="100">
        <v>2.2000000000000002</v>
      </c>
    </row>
    <row r="54" spans="1:4" ht="15.75" customHeight="1" x14ac:dyDescent="0.25">
      <c r="B54" s="11" t="s">
        <v>59</v>
      </c>
      <c r="C54" s="100">
        <v>2.2000000000000002</v>
      </c>
    </row>
    <row r="55" spans="1:4" ht="15.75" customHeight="1" x14ac:dyDescent="0.25">
      <c r="B55" s="11" t="s">
        <v>60</v>
      </c>
      <c r="C55" s="100">
        <v>2.2000000000000002</v>
      </c>
    </row>
    <row r="57" spans="1:4" ht="15.75" customHeight="1" x14ac:dyDescent="0.25">
      <c r="A57" s="8" t="s">
        <v>61</v>
      </c>
    </row>
    <row r="58" spans="1:4" ht="15.75" customHeight="1" x14ac:dyDescent="0.25">
      <c r="B58" s="5" t="s">
        <v>62</v>
      </c>
      <c r="C58" s="45">
        <v>2.1363636363636359E-2</v>
      </c>
    </row>
    <row r="59" spans="1:4" ht="15.75" customHeight="1" x14ac:dyDescent="0.25">
      <c r="B59" s="11" t="s">
        <v>63</v>
      </c>
      <c r="C59" s="45">
        <v>0.47050399999999998</v>
      </c>
    </row>
    <row r="60" spans="1:4" ht="15.75" customHeight="1" x14ac:dyDescent="0.25">
      <c r="B60" s="11" t="s">
        <v>64</v>
      </c>
      <c r="C60" s="45">
        <v>4.5999999999999999E-2</v>
      </c>
    </row>
    <row r="61" spans="1:4" ht="15.75" customHeight="1" x14ac:dyDescent="0.25">
      <c r="B61" s="11" t="s">
        <v>65</v>
      </c>
      <c r="C61" s="45">
        <v>1.4E-2</v>
      </c>
    </row>
    <row r="62" spans="1:4" ht="15.75" customHeight="1" x14ac:dyDescent="0.25">
      <c r="B62" s="11" t="s">
        <v>67</v>
      </c>
      <c r="C62" s="44">
        <v>0.12122239999999999</v>
      </c>
    </row>
    <row r="63" spans="1:4" ht="15.75" customHeight="1" x14ac:dyDescent="0.3">
      <c r="A63" s="4"/>
    </row>
  </sheetData>
  <sheetProtection algorithmName="SHA-512" hashValue="Jb7HX9E4/5Ljo4asyFYaVlRJSy8NZjstfwzHXAyTYuXxILKXOBknvaUmZfjzL0M8GTbNm+88frVbkTqy5oD2NA==" saltValue="HvKpHj/4rCpacvXeYCU0O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76</v>
      </c>
      <c r="B1" s="20" t="s">
        <v>68</v>
      </c>
      <c r="C1" s="18" t="s">
        <v>69</v>
      </c>
      <c r="D1" s="18" t="s">
        <v>70</v>
      </c>
      <c r="E1" s="18" t="s">
        <v>71</v>
      </c>
      <c r="F1" s="18" t="s">
        <v>72</v>
      </c>
      <c r="G1" s="18" t="s">
        <v>73</v>
      </c>
      <c r="H1" s="18" t="s">
        <v>74</v>
      </c>
      <c r="I1" s="18" t="s">
        <v>75</v>
      </c>
    </row>
    <row r="2" spans="1:9" ht="15.75" customHeight="1" x14ac:dyDescent="0.25">
      <c r="A2" s="5">
        <f>start_year</f>
        <v>2024</v>
      </c>
      <c r="B2" s="49">
        <v>310610</v>
      </c>
      <c r="C2" s="49">
        <v>911915</v>
      </c>
      <c r="D2" s="49">
        <v>1342319</v>
      </c>
      <c r="E2" s="49">
        <v>1422995.5</v>
      </c>
      <c r="F2" s="49">
        <v>786848</v>
      </c>
      <c r="G2" s="17">
        <f t="shared" ref="G2:G13" si="0">C2+D2+E2+F2</f>
        <v>4464077.5</v>
      </c>
      <c r="H2" s="17">
        <f t="shared" ref="H2:H13" si="1">(B2 + stillbirth*B2/(1000-stillbirth))/(1-abortion)</f>
        <v>357040.23806354741</v>
      </c>
      <c r="I2" s="17">
        <f t="shared" ref="I2:I13" si="2">G2-H2</f>
        <v>4107037.2619364527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307406</v>
      </c>
      <c r="C3" s="50">
        <v>920790.99999999988</v>
      </c>
      <c r="D3" s="50">
        <v>1343114</v>
      </c>
      <c r="E3" s="50">
        <v>1419868.5</v>
      </c>
      <c r="F3" s="50">
        <v>846354</v>
      </c>
      <c r="G3" s="17">
        <f t="shared" si="0"/>
        <v>4530127.5</v>
      </c>
      <c r="H3" s="17">
        <f t="shared" si="1"/>
        <v>353357.30151045643</v>
      </c>
      <c r="I3" s="17">
        <f t="shared" si="2"/>
        <v>4176770.1984895435</v>
      </c>
    </row>
    <row r="4" spans="1:9" ht="15.75" customHeight="1" x14ac:dyDescent="0.25">
      <c r="A4" s="5">
        <f t="shared" si="3"/>
        <v>2026</v>
      </c>
      <c r="B4" s="49">
        <v>305439</v>
      </c>
      <c r="C4" s="50">
        <v>928851.5</v>
      </c>
      <c r="D4" s="50">
        <v>1353975.5</v>
      </c>
      <c r="E4" s="50">
        <v>1407444</v>
      </c>
      <c r="F4" s="50">
        <v>915445</v>
      </c>
      <c r="G4" s="17">
        <f t="shared" si="0"/>
        <v>4605716</v>
      </c>
      <c r="H4" s="17">
        <f t="shared" si="1"/>
        <v>351096.27273394889</v>
      </c>
      <c r="I4" s="17">
        <f t="shared" si="2"/>
        <v>4254619.7272660509</v>
      </c>
    </row>
    <row r="5" spans="1:9" ht="15.75" customHeight="1" x14ac:dyDescent="0.25">
      <c r="A5" s="5">
        <f t="shared" si="3"/>
        <v>2027</v>
      </c>
      <c r="B5" s="49">
        <v>302873</v>
      </c>
      <c r="C5" s="50">
        <v>935617.99999999977</v>
      </c>
      <c r="D5" s="50">
        <v>1377387.5</v>
      </c>
      <c r="E5" s="50">
        <v>1384139</v>
      </c>
      <c r="F5" s="50">
        <v>993388.50000000012</v>
      </c>
      <c r="G5" s="17">
        <f t="shared" si="0"/>
        <v>4690533</v>
      </c>
      <c r="H5" s="17">
        <f t="shared" si="1"/>
        <v>348146.70494517498</v>
      </c>
      <c r="I5" s="17">
        <f t="shared" si="2"/>
        <v>4342386.295054825</v>
      </c>
    </row>
    <row r="6" spans="1:9" ht="15.75" customHeight="1" x14ac:dyDescent="0.25">
      <c r="A6" s="5">
        <f t="shared" si="3"/>
        <v>2028</v>
      </c>
      <c r="B6" s="49">
        <v>302793</v>
      </c>
      <c r="C6" s="50">
        <v>940971.5</v>
      </c>
      <c r="D6" s="50">
        <v>1401247.5</v>
      </c>
      <c r="E6" s="50">
        <v>1361697.5</v>
      </c>
      <c r="F6" s="50">
        <v>1071877.5</v>
      </c>
      <c r="G6" s="17">
        <f t="shared" si="0"/>
        <v>4775794</v>
      </c>
      <c r="H6" s="17">
        <f t="shared" si="1"/>
        <v>348054.74647942994</v>
      </c>
      <c r="I6" s="17">
        <f t="shared" si="2"/>
        <v>4427739.2535205698</v>
      </c>
    </row>
    <row r="7" spans="1:9" ht="15.75" customHeight="1" x14ac:dyDescent="0.25">
      <c r="A7" s="5">
        <f t="shared" si="3"/>
        <v>2029</v>
      </c>
      <c r="B7" s="49">
        <v>302612</v>
      </c>
      <c r="C7" s="50">
        <v>945708.5</v>
      </c>
      <c r="D7" s="50">
        <v>1418721</v>
      </c>
      <c r="E7" s="50">
        <v>1347437.5</v>
      </c>
      <c r="F7" s="50">
        <v>1135227.5</v>
      </c>
      <c r="G7" s="17">
        <f t="shared" si="0"/>
        <v>4847094.5</v>
      </c>
      <c r="H7" s="17">
        <f t="shared" si="1"/>
        <v>347846.69045068161</v>
      </c>
      <c r="I7" s="17">
        <f t="shared" si="2"/>
        <v>4499247.8095493186</v>
      </c>
    </row>
    <row r="8" spans="1:9" ht="15.75" customHeight="1" x14ac:dyDescent="0.25">
      <c r="A8" s="5">
        <f t="shared" si="3"/>
        <v>2030</v>
      </c>
      <c r="B8" s="49">
        <v>301287</v>
      </c>
      <c r="C8" s="50">
        <v>949339.5</v>
      </c>
      <c r="D8" s="50">
        <v>1436537.5</v>
      </c>
      <c r="E8" s="50">
        <v>1333776</v>
      </c>
      <c r="F8" s="50">
        <v>1174424.5</v>
      </c>
      <c r="G8" s="17">
        <f t="shared" si="0"/>
        <v>4894077.5</v>
      </c>
      <c r="H8" s="17">
        <f t="shared" si="1"/>
        <v>346323.62836177851</v>
      </c>
      <c r="I8" s="17">
        <f t="shared" si="2"/>
        <v>4547753.8716382217</v>
      </c>
    </row>
    <row r="9" spans="1:9" ht="15.75" customHeight="1" x14ac:dyDescent="0.25">
      <c r="A9" s="5">
        <f t="shared" si="3"/>
        <v>2031</v>
      </c>
      <c r="B9" s="49">
        <v>301412</v>
      </c>
      <c r="C9" s="50">
        <v>951471</v>
      </c>
      <c r="D9" s="50">
        <v>1453922</v>
      </c>
      <c r="E9" s="50">
        <v>1319653.5</v>
      </c>
      <c r="F9" s="50">
        <v>1198350</v>
      </c>
      <c r="G9" s="17">
        <f t="shared" si="0"/>
        <v>4923396.5</v>
      </c>
      <c r="H9" s="17">
        <f t="shared" si="1"/>
        <v>346467.31346450525</v>
      </c>
      <c r="I9" s="17">
        <f t="shared" si="2"/>
        <v>4576929.1865354944</v>
      </c>
    </row>
    <row r="10" spans="1:9" ht="15.75" customHeight="1" x14ac:dyDescent="0.25">
      <c r="A10" s="5">
        <f t="shared" si="3"/>
        <v>2032</v>
      </c>
      <c r="B10" s="49">
        <v>300939</v>
      </c>
      <c r="C10" s="50">
        <v>950725.49999999988</v>
      </c>
      <c r="D10" s="50">
        <v>1470589.5</v>
      </c>
      <c r="E10" s="50">
        <v>1307751</v>
      </c>
      <c r="F10" s="50">
        <v>1218081.5</v>
      </c>
      <c r="G10" s="17">
        <f t="shared" si="0"/>
        <v>4947147.5</v>
      </c>
      <c r="H10" s="17">
        <f t="shared" si="1"/>
        <v>345923.60903578735</v>
      </c>
      <c r="I10" s="17">
        <f t="shared" si="2"/>
        <v>4601223.8909642128</v>
      </c>
    </row>
    <row r="11" spans="1:9" ht="15.75" customHeight="1" x14ac:dyDescent="0.25">
      <c r="A11" s="5">
        <f t="shared" si="3"/>
        <v>2033</v>
      </c>
      <c r="B11" s="49">
        <v>300709</v>
      </c>
      <c r="C11" s="50">
        <v>946866</v>
      </c>
      <c r="D11" s="50">
        <v>1486777.5</v>
      </c>
      <c r="E11" s="50">
        <v>1298314.5</v>
      </c>
      <c r="F11" s="50">
        <v>1231389.5</v>
      </c>
      <c r="G11" s="17">
        <f t="shared" si="0"/>
        <v>4963347.5</v>
      </c>
      <c r="H11" s="17">
        <f t="shared" si="1"/>
        <v>345659.22844677023</v>
      </c>
      <c r="I11" s="17">
        <f t="shared" si="2"/>
        <v>4617688.2715532295</v>
      </c>
    </row>
    <row r="12" spans="1:9" ht="15.75" customHeight="1" x14ac:dyDescent="0.25">
      <c r="A12" s="5">
        <f t="shared" si="3"/>
        <v>2034</v>
      </c>
      <c r="B12" s="49">
        <v>301733</v>
      </c>
      <c r="C12" s="50">
        <v>940687</v>
      </c>
      <c r="D12" s="50">
        <v>1501924.5</v>
      </c>
      <c r="E12" s="50">
        <v>1292318.5</v>
      </c>
      <c r="F12" s="50">
        <v>1238678</v>
      </c>
      <c r="G12" s="17">
        <f t="shared" si="0"/>
        <v>4973608</v>
      </c>
      <c r="H12" s="17">
        <f t="shared" si="1"/>
        <v>346836.29680830741</v>
      </c>
      <c r="I12" s="17">
        <f t="shared" si="2"/>
        <v>4626771.7031916929</v>
      </c>
    </row>
    <row r="13" spans="1:9" ht="15.75" customHeight="1" x14ac:dyDescent="0.25">
      <c r="A13" s="5">
        <f t="shared" si="3"/>
        <v>2035</v>
      </c>
      <c r="B13" s="49">
        <v>301170</v>
      </c>
      <c r="C13" s="50">
        <v>932518</v>
      </c>
      <c r="D13" s="50">
        <v>1514953</v>
      </c>
      <c r="E13" s="50">
        <v>1293469</v>
      </c>
      <c r="F13" s="50">
        <v>1240815</v>
      </c>
      <c r="G13" s="17">
        <f t="shared" si="0"/>
        <v>4981755</v>
      </c>
      <c r="H13" s="17">
        <f t="shared" si="1"/>
        <v>346189.13910562632</v>
      </c>
      <c r="I13" s="17">
        <f t="shared" si="2"/>
        <v>4635565.8608943736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yEP9dmBytAgZS3hEXXaTVwhDObBj+5IFKpkZi1KoyjkDhCAEH4evE0de+vMK9DlVxljisnRoHnlR6djWoAtXTA==" saltValue="DhxwZog4IE3qb7c3uQhI+Q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77</v>
      </c>
      <c r="B2" s="29" t="s">
        <v>1</v>
      </c>
      <c r="C2" s="29" t="s">
        <v>109</v>
      </c>
      <c r="D2" s="29"/>
      <c r="E2" s="29"/>
      <c r="F2" s="29"/>
      <c r="G2" s="29"/>
    </row>
    <row r="3" spans="1:8" ht="15.75" customHeight="1" x14ac:dyDescent="0.25">
      <c r="B3" s="19" t="s">
        <v>78</v>
      </c>
      <c r="C3" s="55">
        <v>4.6268999999999928E-3</v>
      </c>
    </row>
    <row r="4" spans="1:8" ht="15.75" customHeight="1" x14ac:dyDescent="0.25">
      <c r="B4" s="19" t="s">
        <v>79</v>
      </c>
      <c r="C4" s="101">
        <v>5.4811399999999962E-2</v>
      </c>
    </row>
    <row r="5" spans="1:8" ht="15.75" customHeight="1" x14ac:dyDescent="0.25">
      <c r="B5" s="19" t="s">
        <v>80</v>
      </c>
      <c r="C5" s="101">
        <v>5.0352800000000079E-2</v>
      </c>
    </row>
    <row r="6" spans="1:8" ht="15.75" customHeight="1" x14ac:dyDescent="0.25">
      <c r="B6" s="19" t="s">
        <v>81</v>
      </c>
      <c r="C6" s="101">
        <v>0.2002200999999994</v>
      </c>
    </row>
    <row r="7" spans="1:8" ht="15.75" customHeight="1" x14ac:dyDescent="0.25">
      <c r="B7" s="19" t="s">
        <v>82</v>
      </c>
      <c r="C7" s="101">
        <v>0.44372300000000048</v>
      </c>
    </row>
    <row r="8" spans="1:8" ht="15.75" customHeight="1" x14ac:dyDescent="0.25">
      <c r="B8" s="19" t="s">
        <v>83</v>
      </c>
      <c r="C8" s="101">
        <v>6.0170000000000048E-4</v>
      </c>
    </row>
    <row r="9" spans="1:8" ht="15.75" customHeight="1" x14ac:dyDescent="0.25">
      <c r="B9" s="19" t="s">
        <v>84</v>
      </c>
      <c r="C9" s="101">
        <v>0.15703459999999991</v>
      </c>
    </row>
    <row r="10" spans="1:8" ht="15.75" customHeight="1" x14ac:dyDescent="0.25">
      <c r="B10" s="19" t="s">
        <v>85</v>
      </c>
      <c r="C10" s="101">
        <v>8.8629500000000097E-2</v>
      </c>
    </row>
    <row r="11" spans="1:8" ht="15.75" customHeight="1" x14ac:dyDescent="0.25">
      <c r="B11" s="27" t="s">
        <v>41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86</v>
      </c>
      <c r="B13" s="29" t="s">
        <v>1</v>
      </c>
      <c r="C13" s="102" t="s">
        <v>96</v>
      </c>
      <c r="D13" s="102" t="s">
        <v>97</v>
      </c>
      <c r="E13" s="102" t="s">
        <v>98</v>
      </c>
      <c r="F13" s="102" t="s">
        <v>99</v>
      </c>
      <c r="G13" s="19"/>
    </row>
    <row r="14" spans="1:8" ht="15.75" customHeight="1" x14ac:dyDescent="0.25">
      <c r="B14" s="19" t="s">
        <v>87</v>
      </c>
      <c r="C14" s="55">
        <v>0.36419804647153858</v>
      </c>
      <c r="D14" s="55">
        <v>0.36419804647153858</v>
      </c>
      <c r="E14" s="55">
        <v>0.36419804647153858</v>
      </c>
      <c r="F14" s="55">
        <v>0.36419804647153858</v>
      </c>
    </row>
    <row r="15" spans="1:8" ht="15.75" customHeight="1" x14ac:dyDescent="0.25">
      <c r="B15" s="19" t="s">
        <v>88</v>
      </c>
      <c r="C15" s="101">
        <v>0.27034716125610042</v>
      </c>
      <c r="D15" s="101">
        <v>0.27034716125610042</v>
      </c>
      <c r="E15" s="101">
        <v>0.27034716125610042</v>
      </c>
      <c r="F15" s="101">
        <v>0.27034716125610042</v>
      </c>
    </row>
    <row r="16" spans="1:8" ht="15.75" customHeight="1" x14ac:dyDescent="0.25">
      <c r="B16" s="19" t="s">
        <v>89</v>
      </c>
      <c r="C16" s="101">
        <v>8.5757967093804868E-3</v>
      </c>
      <c r="D16" s="101">
        <v>8.5757967093804868E-3</v>
      </c>
      <c r="E16" s="101">
        <v>8.5757967093804868E-3</v>
      </c>
      <c r="F16" s="101">
        <v>8.5757967093804868E-3</v>
      </c>
    </row>
    <row r="17" spans="1:8" ht="15.75" customHeight="1" x14ac:dyDescent="0.25">
      <c r="B17" s="19" t="s">
        <v>90</v>
      </c>
      <c r="C17" s="101">
        <v>1.267147177193201E-2</v>
      </c>
      <c r="D17" s="101">
        <v>1.267147177193201E-2</v>
      </c>
      <c r="E17" s="101">
        <v>1.267147177193201E-2</v>
      </c>
      <c r="F17" s="101">
        <v>1.267147177193201E-2</v>
      </c>
    </row>
    <row r="18" spans="1:8" ht="15.75" customHeight="1" x14ac:dyDescent="0.25">
      <c r="B18" s="19" t="s">
        <v>91</v>
      </c>
      <c r="C18" s="101">
        <v>6.3469102387174016E-3</v>
      </c>
      <c r="D18" s="101">
        <v>6.3469102387174016E-3</v>
      </c>
      <c r="E18" s="101">
        <v>6.3469102387174016E-3</v>
      </c>
      <c r="F18" s="101">
        <v>6.3469102387174016E-3</v>
      </c>
    </row>
    <row r="19" spans="1:8" ht="15.75" customHeight="1" x14ac:dyDescent="0.25">
      <c r="B19" s="19" t="s">
        <v>92</v>
      </c>
      <c r="C19" s="101">
        <v>5.9720748190468909E-2</v>
      </c>
      <c r="D19" s="101">
        <v>5.9720748190468909E-2</v>
      </c>
      <c r="E19" s="101">
        <v>5.9720748190468909E-2</v>
      </c>
      <c r="F19" s="101">
        <v>5.9720748190468909E-2</v>
      </c>
    </row>
    <row r="20" spans="1:8" ht="15.75" customHeight="1" x14ac:dyDescent="0.25">
      <c r="B20" s="19" t="s">
        <v>93</v>
      </c>
      <c r="C20" s="101">
        <v>1.390684585984274E-2</v>
      </c>
      <c r="D20" s="101">
        <v>1.390684585984274E-2</v>
      </c>
      <c r="E20" s="101">
        <v>1.390684585984274E-2</v>
      </c>
      <c r="F20" s="101">
        <v>1.390684585984274E-2</v>
      </c>
    </row>
    <row r="21" spans="1:8" ht="15.75" customHeight="1" x14ac:dyDescent="0.25">
      <c r="B21" s="19" t="s">
        <v>94</v>
      </c>
      <c r="C21" s="101">
        <v>0.12955471305520669</v>
      </c>
      <c r="D21" s="101">
        <v>0.12955471305520669</v>
      </c>
      <c r="E21" s="101">
        <v>0.12955471305520669</v>
      </c>
      <c r="F21" s="101">
        <v>0.12955471305520669</v>
      </c>
    </row>
    <row r="22" spans="1:8" ht="15.75" customHeight="1" x14ac:dyDescent="0.25">
      <c r="B22" s="19" t="s">
        <v>95</v>
      </c>
      <c r="C22" s="101">
        <v>0.13467830644681281</v>
      </c>
      <c r="D22" s="101">
        <v>0.13467830644681281</v>
      </c>
      <c r="E22" s="101">
        <v>0.13467830644681281</v>
      </c>
      <c r="F22" s="101">
        <v>0.13467830644681281</v>
      </c>
    </row>
    <row r="23" spans="1:8" ht="15.75" customHeight="1" x14ac:dyDescent="0.25">
      <c r="B23" s="27" t="s">
        <v>41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100</v>
      </c>
      <c r="B25" s="29" t="s">
        <v>1</v>
      </c>
      <c r="C25" s="29" t="s">
        <v>100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101</v>
      </c>
      <c r="C26" s="55">
        <v>4.7776088999999987E-2</v>
      </c>
    </row>
    <row r="27" spans="1:8" ht="15.75" customHeight="1" x14ac:dyDescent="0.25">
      <c r="B27" s="19" t="s">
        <v>102</v>
      </c>
      <c r="C27" s="101">
        <v>1.8197206E-2</v>
      </c>
    </row>
    <row r="28" spans="1:8" ht="15.75" customHeight="1" x14ac:dyDescent="0.25">
      <c r="B28" s="19" t="s">
        <v>103</v>
      </c>
      <c r="C28" s="101">
        <v>0.22881369300000001</v>
      </c>
    </row>
    <row r="29" spans="1:8" ht="15.75" customHeight="1" x14ac:dyDescent="0.25">
      <c r="B29" s="19" t="s">
        <v>104</v>
      </c>
      <c r="C29" s="101">
        <v>0.13822648400000001</v>
      </c>
    </row>
    <row r="30" spans="1:8" ht="15.75" customHeight="1" x14ac:dyDescent="0.25">
      <c r="B30" s="19" t="s">
        <v>2</v>
      </c>
      <c r="C30" s="101">
        <v>5.0121434999999999E-2</v>
      </c>
    </row>
    <row r="31" spans="1:8" ht="15.75" customHeight="1" x14ac:dyDescent="0.25">
      <c r="B31" s="19" t="s">
        <v>105</v>
      </c>
      <c r="C31" s="101">
        <v>6.9180167000000001E-2</v>
      </c>
    </row>
    <row r="32" spans="1:8" ht="15.75" customHeight="1" x14ac:dyDescent="0.25">
      <c r="B32" s="19" t="s">
        <v>106</v>
      </c>
      <c r="C32" s="101">
        <v>0.14697111700000001</v>
      </c>
    </row>
    <row r="33" spans="2:3" ht="15.75" customHeight="1" x14ac:dyDescent="0.25">
      <c r="B33" s="19" t="s">
        <v>107</v>
      </c>
      <c r="C33" s="101">
        <v>0.122692382</v>
      </c>
    </row>
    <row r="34" spans="2:3" ht="15.75" customHeight="1" x14ac:dyDescent="0.25">
      <c r="B34" s="19" t="s">
        <v>108</v>
      </c>
      <c r="C34" s="101">
        <v>0.17802142600000001</v>
      </c>
    </row>
    <row r="35" spans="2:3" ht="15.75" customHeight="1" x14ac:dyDescent="0.25">
      <c r="B35" s="27" t="s">
        <v>41</v>
      </c>
      <c r="C35" s="48">
        <f>SUM(C26:C34)</f>
        <v>0.99999999900000003</v>
      </c>
    </row>
  </sheetData>
  <sheetProtection algorithmName="SHA-512" hashValue="2V3Bp1U0GwsTt9vw4Sboy6uIB89S3MgUmilclVMYE0Em6wZmlWQfcCdBEvihUr8/cdi15KiWDk5c3pclQxaRVg==" saltValue="LqWnCIIf8tCP+IjIXEDcX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110</v>
      </c>
      <c r="C1" s="11" t="s">
        <v>109</v>
      </c>
      <c r="D1" s="11" t="s">
        <v>96</v>
      </c>
      <c r="E1" s="11" t="s">
        <v>97</v>
      </c>
      <c r="F1" s="11" t="s">
        <v>98</v>
      </c>
      <c r="G1" s="11" t="s">
        <v>99</v>
      </c>
    </row>
    <row r="2" spans="1:15" ht="15.75" customHeight="1" x14ac:dyDescent="0.25">
      <c r="A2" s="3" t="s">
        <v>111</v>
      </c>
      <c r="B2" s="5" t="s">
        <v>112</v>
      </c>
      <c r="C2" s="52">
        <f>IFERROR(1-_xlfn.NORM.DIST(_xlfn.NORM.INV(SUM(C4:C5), 0, 1) + 1, 0, 1, TRUE), "")</f>
        <v>0.56802544355195139</v>
      </c>
      <c r="D2" s="52">
        <f>IFERROR(1-_xlfn.NORM.DIST(_xlfn.NORM.INV(SUM(D4:D5), 0, 1) + 1, 0, 1, TRUE), "")</f>
        <v>0.56802544355195139</v>
      </c>
      <c r="E2" s="52">
        <f>IFERROR(1-_xlfn.NORM.DIST(_xlfn.NORM.INV(SUM(E4:E5), 0, 1) + 1, 0, 1, TRUE), "")</f>
        <v>0.52929573482120729</v>
      </c>
      <c r="F2" s="52">
        <f>IFERROR(1-_xlfn.NORM.DIST(_xlfn.NORM.INV(SUM(F4:F5), 0, 1) + 1, 0, 1, TRUE), "")</f>
        <v>0.35137155509413887</v>
      </c>
      <c r="G2" s="52">
        <f>IFERROR(1-_xlfn.NORM.DIST(_xlfn.NORM.INV(SUM(G4:G5), 0, 1) + 1, 0, 1, TRUE), "")</f>
        <v>0.40054549397173722</v>
      </c>
    </row>
    <row r="3" spans="1:15" ht="15.75" customHeight="1" x14ac:dyDescent="0.25">
      <c r="B3" s="5" t="s">
        <v>113</v>
      </c>
      <c r="C3" s="52">
        <f>IFERROR(_xlfn.NORM.DIST(_xlfn.NORM.INV(SUM(C4:C5), 0, 1) + 1, 0, 1, TRUE) - SUM(C4:C5), "")</f>
        <v>0.31124535644804863</v>
      </c>
      <c r="D3" s="52">
        <f>IFERROR(_xlfn.NORM.DIST(_xlfn.NORM.INV(SUM(D4:D5), 0, 1) + 1, 0, 1, TRUE) - SUM(D4:D5), "")</f>
        <v>0.31124535644804863</v>
      </c>
      <c r="E3" s="52">
        <f>IFERROR(_xlfn.NORM.DIST(_xlfn.NORM.INV(SUM(E4:E5), 0, 1) + 1, 0, 1, TRUE) - SUM(E4:E5), "")</f>
        <v>0.32918076517879269</v>
      </c>
      <c r="F3" s="52">
        <f>IFERROR(_xlfn.NORM.DIST(_xlfn.NORM.INV(SUM(F4:F5), 0, 1) + 1, 0, 1, TRUE) - SUM(F4:F5), "")</f>
        <v>0.38046594490586116</v>
      </c>
      <c r="G3" s="52">
        <f>IFERROR(_xlfn.NORM.DIST(_xlfn.NORM.INV(SUM(G4:G5), 0, 1) + 1, 0, 1, TRUE) - SUM(G4:G5), "")</f>
        <v>0.37224390602826274</v>
      </c>
    </row>
    <row r="4" spans="1:15" ht="15.75" customHeight="1" x14ac:dyDescent="0.25">
      <c r="B4" s="5" t="s">
        <v>114</v>
      </c>
      <c r="C4" s="45">
        <v>9.3787099999999998E-2</v>
      </c>
      <c r="D4" s="53">
        <v>9.3787099999999998E-2</v>
      </c>
      <c r="E4" s="53">
        <v>0.10796219999999999</v>
      </c>
      <c r="F4" s="53">
        <v>0.20964169999999999</v>
      </c>
      <c r="G4" s="53">
        <v>0.1695499</v>
      </c>
    </row>
    <row r="5" spans="1:15" ht="15.75" customHeight="1" x14ac:dyDescent="0.25">
      <c r="B5" s="5" t="s">
        <v>115</v>
      </c>
      <c r="C5" s="45">
        <v>2.69421E-2</v>
      </c>
      <c r="D5" s="53">
        <v>2.69421E-2</v>
      </c>
      <c r="E5" s="53">
        <v>3.3561300000000002E-2</v>
      </c>
      <c r="F5" s="53">
        <v>5.8520799999999998E-2</v>
      </c>
      <c r="G5" s="53">
        <v>5.7660700000000002E-2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116</v>
      </c>
      <c r="B8" s="5" t="s">
        <v>117</v>
      </c>
      <c r="C8" s="52">
        <f>IFERROR(1-_xlfn.NORM.DIST(_xlfn.NORM.INV(SUM(C10:C11), 0, 1) + 1, 0, 1, TRUE), "")</f>
        <v>0.49095611288391061</v>
      </c>
      <c r="D8" s="52">
        <f>IFERROR(1-_xlfn.NORM.DIST(_xlfn.NORM.INV(SUM(D10:D11), 0, 1) + 1, 0, 1, TRUE), "")</f>
        <v>0.49095611288391061</v>
      </c>
      <c r="E8" s="52">
        <f>IFERROR(1-_xlfn.NORM.DIST(_xlfn.NORM.INV(SUM(E10:E11), 0, 1) + 1, 0, 1, TRUE), "")</f>
        <v>0.59544043499011456</v>
      </c>
      <c r="F8" s="52">
        <f>IFERROR(1-_xlfn.NORM.DIST(_xlfn.NORM.INV(SUM(F10:F11), 0, 1) + 1, 0, 1, TRUE), "")</f>
        <v>0.68684643317972061</v>
      </c>
      <c r="G8" s="52">
        <f>IFERROR(1-_xlfn.NORM.DIST(_xlfn.NORM.INV(SUM(G10:G11), 0, 1) + 1, 0, 1, TRUE), "")</f>
        <v>0.62193947083351397</v>
      </c>
    </row>
    <row r="9" spans="1:15" ht="15.75" customHeight="1" x14ac:dyDescent="0.25">
      <c r="B9" s="5" t="s">
        <v>118</v>
      </c>
      <c r="C9" s="52">
        <f>IFERROR(_xlfn.NORM.DIST(_xlfn.NORM.INV(SUM(C10:C11), 0, 1) + 1, 0, 1, TRUE) - SUM(C10:C11), "")</f>
        <v>0.34484058711608939</v>
      </c>
      <c r="D9" s="52">
        <f>IFERROR(_xlfn.NORM.DIST(_xlfn.NORM.INV(SUM(D10:D11), 0, 1) + 1, 0, 1, TRUE) - SUM(D10:D11), "")</f>
        <v>0.34484058711608939</v>
      </c>
      <c r="E9" s="52">
        <f>IFERROR(_xlfn.NORM.DIST(_xlfn.NORM.INV(SUM(E10:E11), 0, 1) + 1, 0, 1, TRUE) - SUM(E10:E11), "")</f>
        <v>0.29736056500988539</v>
      </c>
      <c r="F9" s="52">
        <f>IFERROR(_xlfn.NORM.DIST(_xlfn.NORM.INV(SUM(F10:F11), 0, 1) + 1, 0, 1, TRUE) - SUM(F10:F11), "")</f>
        <v>0.24463706682027941</v>
      </c>
      <c r="G9" s="52">
        <f>IFERROR(_xlfn.NORM.DIST(_xlfn.NORM.INV(SUM(G10:G11), 0, 1) + 1, 0, 1, TRUE) - SUM(G10:G11), "")</f>
        <v>0.2830604291664861</v>
      </c>
    </row>
    <row r="10" spans="1:15" ht="15.75" customHeight="1" x14ac:dyDescent="0.25">
      <c r="B10" s="5" t="s">
        <v>119</v>
      </c>
      <c r="C10" s="45">
        <v>9.3542699999999993E-2</v>
      </c>
      <c r="D10" s="53">
        <v>9.3542699999999993E-2</v>
      </c>
      <c r="E10" s="53">
        <v>8.6329700000000009E-2</v>
      </c>
      <c r="F10" s="53">
        <v>5.0465099999999999E-2</v>
      </c>
      <c r="G10" s="53">
        <v>7.5331599999999999E-2</v>
      </c>
    </row>
    <row r="11" spans="1:15" ht="15.75" customHeight="1" x14ac:dyDescent="0.25">
      <c r="B11" s="5" t="s">
        <v>120</v>
      </c>
      <c r="C11" s="45">
        <v>7.0660600000000004E-2</v>
      </c>
      <c r="D11" s="53">
        <v>7.0660600000000004E-2</v>
      </c>
      <c r="E11" s="53">
        <v>2.08693E-2</v>
      </c>
      <c r="F11" s="53">
        <v>1.8051399999999999E-2</v>
      </c>
      <c r="G11" s="53">
        <v>1.9668499999999998E-2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121</v>
      </c>
      <c r="C13" s="11" t="s">
        <v>109</v>
      </c>
      <c r="D13" s="11" t="s">
        <v>96</v>
      </c>
      <c r="E13" s="11" t="s">
        <v>97</v>
      </c>
      <c r="F13" s="11" t="s">
        <v>98</v>
      </c>
      <c r="G13" s="11" t="s">
        <v>99</v>
      </c>
      <c r="H13" s="18" t="s">
        <v>122</v>
      </c>
      <c r="I13" s="18" t="s">
        <v>123</v>
      </c>
      <c r="J13" s="18" t="s">
        <v>124</v>
      </c>
      <c r="K13" s="18" t="s">
        <v>125</v>
      </c>
      <c r="L13" s="18" t="s">
        <v>69</v>
      </c>
      <c r="M13" s="18" t="s">
        <v>70</v>
      </c>
      <c r="N13" s="18" t="s">
        <v>71</v>
      </c>
      <c r="O13" s="18" t="s">
        <v>72</v>
      </c>
    </row>
    <row r="14" spans="1:15" ht="15.75" customHeight="1" x14ac:dyDescent="0.25">
      <c r="B14" s="11" t="s">
        <v>126</v>
      </c>
      <c r="C14" s="51">
        <v>0.80253134725000008</v>
      </c>
      <c r="D14" s="54">
        <v>0.77318331069899993</v>
      </c>
      <c r="E14" s="54">
        <v>0.77318331069899993</v>
      </c>
      <c r="F14" s="54">
        <v>0.58703675869799998</v>
      </c>
      <c r="G14" s="54">
        <v>0.58703675869799998</v>
      </c>
      <c r="H14" s="45">
        <v>0.55799999999999994</v>
      </c>
      <c r="I14" s="55">
        <v>0.55799999999999994</v>
      </c>
      <c r="J14" s="55">
        <v>0.55799999999999994</v>
      </c>
      <c r="K14" s="55">
        <v>0.55799999999999994</v>
      </c>
      <c r="L14" s="45">
        <v>0.46300000000000002</v>
      </c>
      <c r="M14" s="55">
        <v>0.46300000000000002</v>
      </c>
      <c r="N14" s="55">
        <v>0.46300000000000002</v>
      </c>
      <c r="O14" s="55">
        <v>0.46300000000000002</v>
      </c>
    </row>
    <row r="15" spans="1:15" ht="15.75" customHeight="1" x14ac:dyDescent="0.25">
      <c r="B15" s="11" t="s">
        <v>127</v>
      </c>
      <c r="C15" s="52">
        <f t="shared" ref="C15:O15" si="0">iron_deficiency_anaemia*C14</f>
        <v>0.37759420900651403</v>
      </c>
      <c r="D15" s="52">
        <f t="shared" si="0"/>
        <v>0.36378584041712225</v>
      </c>
      <c r="E15" s="52">
        <f t="shared" si="0"/>
        <v>0.36378584041712225</v>
      </c>
      <c r="F15" s="52">
        <f t="shared" si="0"/>
        <v>0.27620314311444377</v>
      </c>
      <c r="G15" s="52">
        <f t="shared" si="0"/>
        <v>0.27620314311444377</v>
      </c>
      <c r="H15" s="52">
        <f t="shared" si="0"/>
        <v>0.26254123199999996</v>
      </c>
      <c r="I15" s="52">
        <f t="shared" si="0"/>
        <v>0.26254123199999996</v>
      </c>
      <c r="J15" s="52">
        <f t="shared" si="0"/>
        <v>0.26254123199999996</v>
      </c>
      <c r="K15" s="52">
        <f t="shared" si="0"/>
        <v>0.26254123199999996</v>
      </c>
      <c r="L15" s="52">
        <f t="shared" si="0"/>
        <v>0.21784335199999999</v>
      </c>
      <c r="M15" s="52">
        <f t="shared" si="0"/>
        <v>0.21784335199999999</v>
      </c>
      <c r="N15" s="52">
        <f t="shared" si="0"/>
        <v>0.21784335199999999</v>
      </c>
      <c r="O15" s="52">
        <f t="shared" si="0"/>
        <v>0.21784335199999999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8om3sryR1goNZDBSJNGQwvF8BMZB7SmMQZZeZBCUGOkXni4B4PrONbq9zPjNFAp3FtWIgDfi4FloCNd8UiFjg==" saltValue="dbtAlhVpgfwo/36fm9l3o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110</v>
      </c>
      <c r="C1" s="8" t="s">
        <v>109</v>
      </c>
      <c r="D1" s="8" t="s">
        <v>96</v>
      </c>
      <c r="E1" s="8" t="s">
        <v>97</v>
      </c>
      <c r="F1" s="8" t="s">
        <v>98</v>
      </c>
      <c r="G1" s="8" t="s">
        <v>99</v>
      </c>
    </row>
    <row r="2" spans="1:7" x14ac:dyDescent="0.25">
      <c r="A2" s="3" t="s">
        <v>128</v>
      </c>
      <c r="B2" s="3" t="s">
        <v>129</v>
      </c>
      <c r="C2" s="45">
        <v>0.59807180000000004</v>
      </c>
      <c r="D2" s="53">
        <v>0.48294340000000002</v>
      </c>
      <c r="E2" s="53">
        <v>0</v>
      </c>
      <c r="F2" s="53">
        <v>0</v>
      </c>
      <c r="G2" s="53">
        <v>0</v>
      </c>
    </row>
    <row r="3" spans="1:7" x14ac:dyDescent="0.25">
      <c r="B3" s="3" t="s">
        <v>130</v>
      </c>
      <c r="C3" s="53">
        <v>3.1429400000000003E-2</v>
      </c>
      <c r="D3" s="53">
        <v>9.0230499999999991E-2</v>
      </c>
      <c r="E3" s="53">
        <v>0</v>
      </c>
      <c r="F3" s="53">
        <v>0</v>
      </c>
      <c r="G3" s="53">
        <v>0</v>
      </c>
    </row>
    <row r="4" spans="1:7" x14ac:dyDescent="0.25">
      <c r="B4" s="3" t="s">
        <v>131</v>
      </c>
      <c r="C4" s="53">
        <v>0.1714561</v>
      </c>
      <c r="D4" s="53">
        <v>0.2021809</v>
      </c>
      <c r="E4" s="53">
        <v>0.71213789999999999</v>
      </c>
      <c r="F4" s="53">
        <v>0.42822979999999999</v>
      </c>
      <c r="G4" s="53">
        <v>0</v>
      </c>
    </row>
    <row r="5" spans="1:7" x14ac:dyDescent="0.25">
      <c r="B5" s="3" t="s">
        <v>132</v>
      </c>
      <c r="C5" s="52">
        <v>0.19904269999999999</v>
      </c>
      <c r="D5" s="52">
        <v>0.22464519999999999</v>
      </c>
      <c r="E5" s="52">
        <f>1-SUM(E2:E4)</f>
        <v>0.28786210000000001</v>
      </c>
      <c r="F5" s="52">
        <f>1-SUM(F2:F4)</f>
        <v>0.57177020000000001</v>
      </c>
      <c r="G5" s="52">
        <f>1-SUM(G2:G4)</f>
        <v>1</v>
      </c>
    </row>
  </sheetData>
  <sheetProtection algorithmName="SHA-512" hashValue="1P9k1DiuO5MoLyp0XQcGGp2ykXBqSvMIZvgg66zLgZASga5NMi1jTgh8ZOUqpEzX8AFDs8fxwHValfYU62klqA==" saltValue="2DoTOqYvMNb3buwZw8WAM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133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134</v>
      </c>
      <c r="B2" s="9" t="s">
        <v>143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135</v>
      </c>
      <c r="B4" s="9" t="s">
        <v>143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136</v>
      </c>
      <c r="B6" s="9" t="s">
        <v>143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100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137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138</v>
      </c>
      <c r="B10" s="11" t="s">
        <v>139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140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43</v>
      </c>
      <c r="B13" s="11" t="s">
        <v>141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142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GgpBFIMtv4J2C3xuo6/7vqR1F+1AwjIlE/30TFgRxBdU78bNItnS+uqZeEi1KUE0o7W8wXGyYAMY/I7mWlyiZQ==" saltValue="y8UbK53Basg5ebprtjQ5W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4</v>
      </c>
      <c r="B1" s="4" t="s">
        <v>144</v>
      </c>
    </row>
    <row r="2" spans="1:2" ht="13.25" customHeight="1" x14ac:dyDescent="0.25">
      <c r="A2" s="8" t="s">
        <v>145</v>
      </c>
      <c r="B2" s="41">
        <v>10</v>
      </c>
    </row>
    <row r="3" spans="1:2" ht="13.25" customHeight="1" x14ac:dyDescent="0.25">
      <c r="A3" s="8" t="s">
        <v>150</v>
      </c>
      <c r="B3" s="41">
        <v>10</v>
      </c>
    </row>
    <row r="4" spans="1:2" ht="13.25" customHeight="1" x14ac:dyDescent="0.25">
      <c r="A4" s="8" t="s">
        <v>146</v>
      </c>
      <c r="B4" s="41">
        <v>10</v>
      </c>
    </row>
    <row r="5" spans="1:2" ht="13.25" customHeight="1" x14ac:dyDescent="0.25">
      <c r="A5" s="8" t="s">
        <v>147</v>
      </c>
      <c r="B5" s="41">
        <v>10</v>
      </c>
    </row>
    <row r="6" spans="1:2" ht="13.25" customHeight="1" x14ac:dyDescent="0.25">
      <c r="A6" s="8" t="s">
        <v>148</v>
      </c>
      <c r="B6" s="41">
        <v>10</v>
      </c>
    </row>
    <row r="7" spans="1:2" ht="13.25" customHeight="1" x14ac:dyDescent="0.25">
      <c r="A7" s="8" t="s">
        <v>149</v>
      </c>
      <c r="B7" s="41">
        <v>10</v>
      </c>
    </row>
  </sheetData>
  <sheetProtection algorithmName="SHA-512" hashValue="JSRJZQRxcxzrFT6yOeuYzwIsTisogPdy5mDdXR0nsv9d1Y1gyV0yoWqwKQpu2+SXXrDKQTix/p+LO4CWvAPTPQ==" saltValue="76HTeQy9R+YwFdVHQZBTD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151</v>
      </c>
      <c r="B1" s="36" t="s">
        <v>152</v>
      </c>
      <c r="C1" s="36" t="s">
        <v>153</v>
      </c>
      <c r="D1" s="36" t="s">
        <v>154</v>
      </c>
      <c r="E1" s="36" t="s">
        <v>155</v>
      </c>
    </row>
    <row r="2" spans="1:5" ht="13" customHeight="1" x14ac:dyDescent="0.3">
      <c r="A2" s="34" t="s">
        <v>157</v>
      </c>
      <c r="B2" s="32" t="s">
        <v>100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109</v>
      </c>
      <c r="C3" s="47"/>
      <c r="D3" s="47" t="s">
        <v>5</v>
      </c>
      <c r="E3" s="38" t="str">
        <f>IF(E$7="","",E$7)</f>
        <v/>
      </c>
    </row>
    <row r="4" spans="1:5" ht="13.25" customHeight="1" x14ac:dyDescent="0.25">
      <c r="B4" s="32" t="s">
        <v>96</v>
      </c>
      <c r="C4" s="47"/>
      <c r="D4" s="47" t="s">
        <v>5</v>
      </c>
      <c r="E4" s="38" t="str">
        <f>IF(E$7="","",E$7)</f>
        <v/>
      </c>
    </row>
    <row r="5" spans="1:5" ht="13.25" customHeight="1" x14ac:dyDescent="0.25">
      <c r="B5" s="32" t="s">
        <v>97</v>
      </c>
      <c r="C5" s="47"/>
      <c r="D5" s="47" t="s">
        <v>5</v>
      </c>
      <c r="E5" s="38" t="str">
        <f>IF(E$7="","",E$7)</f>
        <v/>
      </c>
    </row>
    <row r="6" spans="1:5" ht="13.25" customHeight="1" x14ac:dyDescent="0.25">
      <c r="B6" s="32" t="s">
        <v>98</v>
      </c>
      <c r="C6" s="47"/>
      <c r="D6" s="47" t="s">
        <v>5</v>
      </c>
      <c r="E6" s="38" t="str">
        <f>IF(E$7="","",E$7)</f>
        <v/>
      </c>
    </row>
    <row r="7" spans="1:5" ht="13.25" customHeight="1" x14ac:dyDescent="0.25">
      <c r="B7" s="32" t="s">
        <v>156</v>
      </c>
      <c r="C7" s="31"/>
      <c r="D7" s="30"/>
      <c r="E7" s="47"/>
    </row>
    <row r="9" spans="1:5" ht="13" customHeight="1" x14ac:dyDescent="0.3">
      <c r="A9" s="34" t="s">
        <v>158</v>
      </c>
      <c r="B9" s="32" t="s">
        <v>100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109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96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97</v>
      </c>
      <c r="C12" s="47"/>
      <c r="D12" s="47" t="s">
        <v>5</v>
      </c>
      <c r="E12" s="38" t="str">
        <f>IF(E$7="","",E$7)</f>
        <v/>
      </c>
    </row>
    <row r="13" spans="1:5" ht="13.25" customHeight="1" x14ac:dyDescent="0.25">
      <c r="B13" s="32" t="s">
        <v>98</v>
      </c>
      <c r="C13" s="47"/>
      <c r="D13" s="47" t="s">
        <v>5</v>
      </c>
      <c r="E13" s="38" t="str">
        <f>IF(E$7="","",E$7)</f>
        <v/>
      </c>
    </row>
    <row r="14" spans="1:5" ht="13.25" customHeight="1" x14ac:dyDescent="0.25">
      <c r="B14" s="32" t="s">
        <v>156</v>
      </c>
      <c r="C14" s="31"/>
      <c r="D14" s="30"/>
      <c r="E14" s="47"/>
    </row>
    <row r="16" spans="1:5" ht="13" customHeight="1" x14ac:dyDescent="0.3">
      <c r="A16" s="34" t="s">
        <v>159</v>
      </c>
      <c r="B16" s="32" t="s">
        <v>100</v>
      </c>
      <c r="C16" s="47"/>
      <c r="D16" s="47" t="s">
        <v>5</v>
      </c>
      <c r="E16" s="38" t="str">
        <f>IF(E$7="","",E$7)</f>
        <v/>
      </c>
    </row>
    <row r="17" spans="2:5" ht="13.25" customHeight="1" x14ac:dyDescent="0.25">
      <c r="B17" s="32" t="s">
        <v>109</v>
      </c>
      <c r="C17" s="47"/>
      <c r="D17" s="47" t="s">
        <v>5</v>
      </c>
      <c r="E17" s="38" t="str">
        <f>IF(E$7="","",E$7)</f>
        <v/>
      </c>
    </row>
    <row r="18" spans="2:5" ht="13.25" customHeight="1" x14ac:dyDescent="0.25">
      <c r="B18" s="32" t="s">
        <v>96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98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156</v>
      </c>
      <c r="C21" s="31"/>
      <c r="D21" s="30"/>
      <c r="E21" s="47"/>
    </row>
  </sheetData>
  <sheetProtection algorithmName="SHA-512" hashValue="d6enx9gR6ScSm7shj92yNvEqBFQi6KiDlzkXOm2MgMptjBjB/j5jMuRL4fiBAm5tPD8+uEOMNYyLcIUnlfbwwQ==" saltValue="PXH33F39dbcb9bPtB2U5p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162</v>
      </c>
      <c r="C1" s="40" t="s">
        <v>6</v>
      </c>
      <c r="D1" s="40" t="s">
        <v>163</v>
      </c>
    </row>
    <row r="2" spans="1:4" ht="13" customHeight="1" x14ac:dyDescent="0.3">
      <c r="A2" s="40" t="s">
        <v>160</v>
      </c>
      <c r="B2" s="32" t="s">
        <v>161</v>
      </c>
      <c r="C2" s="32" t="s">
        <v>165</v>
      </c>
      <c r="D2" s="47"/>
    </row>
    <row r="3" spans="1:4" ht="13" customHeight="1" x14ac:dyDescent="0.3">
      <c r="A3" s="40" t="s">
        <v>164</v>
      </c>
      <c r="B3" s="32" t="s">
        <v>153</v>
      </c>
      <c r="C3" s="32" t="s">
        <v>154</v>
      </c>
      <c r="D3" s="47"/>
    </row>
  </sheetData>
  <sheetProtection algorithmName="SHA-512" hashValue="sc2XHLUD+bP9WNMIts5ptbMdRpYGmu7cFHoDCq29HFiaHVj+4y9CVc4KE/UCu7o6+TlAbXd7Qd4fYS3ruPEVNQ==" saltValue="Aom4BEXnXHmHgiagPgsabg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160</v>
      </c>
      <c r="B1" s="22" t="str">
        <f>"Couverture de l'année de référence ("&amp;start_year&amp;")"</f>
        <v>Couverture de l'année de référence (2024)</v>
      </c>
      <c r="C1" s="22" t="s">
        <v>166</v>
      </c>
      <c r="D1" s="22" t="s">
        <v>202</v>
      </c>
      <c r="E1" s="22" t="s">
        <v>167</v>
      </c>
      <c r="F1" s="22" t="s">
        <v>203</v>
      </c>
      <c r="G1" s="22" t="s">
        <v>204</v>
      </c>
    </row>
    <row r="2" spans="1:7" ht="15.75" customHeight="1" x14ac:dyDescent="0.25">
      <c r="A2" s="5" t="s">
        <v>168</v>
      </c>
      <c r="B2" s="45">
        <v>0</v>
      </c>
      <c r="C2" s="98">
        <v>0.95</v>
      </c>
      <c r="D2" s="56">
        <v>70.346306973761287</v>
      </c>
      <c r="E2" s="56" t="s">
        <v>201</v>
      </c>
      <c r="F2" s="98">
        <v>1</v>
      </c>
      <c r="G2" s="98">
        <v>1</v>
      </c>
    </row>
    <row r="3" spans="1:7" ht="15.75" customHeight="1" x14ac:dyDescent="0.25">
      <c r="A3" s="5" t="s">
        <v>169</v>
      </c>
      <c r="B3" s="45">
        <v>0</v>
      </c>
      <c r="C3" s="98">
        <v>0.95</v>
      </c>
      <c r="D3" s="56">
        <v>19.75203299904819</v>
      </c>
      <c r="E3" s="56" t="s">
        <v>201</v>
      </c>
      <c r="F3" s="98">
        <v>1</v>
      </c>
      <c r="G3" s="98">
        <v>1</v>
      </c>
    </row>
    <row r="4" spans="1:7" ht="15.75" customHeight="1" x14ac:dyDescent="0.25">
      <c r="A4" s="5" t="s">
        <v>170</v>
      </c>
      <c r="B4" s="98">
        <v>0</v>
      </c>
      <c r="C4" s="98">
        <v>0.95</v>
      </c>
      <c r="D4" s="56">
        <v>3.110690637764288</v>
      </c>
      <c r="E4" s="56" t="s">
        <v>201</v>
      </c>
      <c r="F4" s="98">
        <v>1</v>
      </c>
      <c r="G4" s="98">
        <v>1</v>
      </c>
    </row>
    <row r="5" spans="1:7" ht="15.75" customHeight="1" x14ac:dyDescent="0.25">
      <c r="A5" s="5" t="s">
        <v>171</v>
      </c>
      <c r="B5" s="98">
        <v>0</v>
      </c>
      <c r="C5" s="98">
        <v>0.95</v>
      </c>
      <c r="D5" s="56">
        <v>0.63782823352220286</v>
      </c>
      <c r="E5" s="56" t="s">
        <v>201</v>
      </c>
      <c r="F5" s="98">
        <v>1</v>
      </c>
      <c r="G5" s="98">
        <v>1</v>
      </c>
    </row>
    <row r="6" spans="1:7" ht="15.75" customHeight="1" x14ac:dyDescent="0.25">
      <c r="A6" s="5" t="s">
        <v>172</v>
      </c>
      <c r="B6" s="98">
        <v>0</v>
      </c>
      <c r="C6" s="98">
        <v>0.95</v>
      </c>
      <c r="D6" s="56">
        <v>99.99</v>
      </c>
      <c r="E6" s="56" t="s">
        <v>201</v>
      </c>
      <c r="F6" s="98">
        <v>1</v>
      </c>
      <c r="G6" s="98">
        <v>1</v>
      </c>
    </row>
    <row r="7" spans="1:7" ht="15.75" customHeight="1" x14ac:dyDescent="0.25">
      <c r="A7" s="5" t="s">
        <v>173</v>
      </c>
      <c r="B7" s="98">
        <v>0</v>
      </c>
      <c r="C7" s="98">
        <v>0.95</v>
      </c>
      <c r="D7" s="56">
        <v>0.19283527130965261</v>
      </c>
      <c r="E7" s="56" t="s">
        <v>201</v>
      </c>
      <c r="F7" s="98">
        <v>1</v>
      </c>
      <c r="G7" s="98">
        <v>1</v>
      </c>
    </row>
    <row r="8" spans="1:7" ht="15.75" customHeight="1" x14ac:dyDescent="0.25">
      <c r="A8" s="5" t="s">
        <v>174</v>
      </c>
      <c r="B8" s="98">
        <v>0</v>
      </c>
      <c r="C8" s="98">
        <v>0.95</v>
      </c>
      <c r="D8" s="56">
        <v>1.812651550310735</v>
      </c>
      <c r="E8" s="56" t="s">
        <v>201</v>
      </c>
      <c r="F8" s="98">
        <v>1</v>
      </c>
      <c r="G8" s="98">
        <v>1</v>
      </c>
    </row>
    <row r="9" spans="1:7" ht="15.75" customHeight="1" x14ac:dyDescent="0.25">
      <c r="A9" s="5" t="s">
        <v>175</v>
      </c>
      <c r="B9" s="98">
        <v>0</v>
      </c>
      <c r="C9" s="98">
        <v>0.95</v>
      </c>
      <c r="D9" s="56">
        <v>0.73277403097668004</v>
      </c>
      <c r="E9" s="56" t="s">
        <v>201</v>
      </c>
      <c r="F9" s="98">
        <v>1</v>
      </c>
      <c r="G9" s="98">
        <v>1</v>
      </c>
    </row>
    <row r="10" spans="1:7" ht="15.75" customHeight="1" x14ac:dyDescent="0.25">
      <c r="A10" s="11" t="s">
        <v>176</v>
      </c>
      <c r="B10" s="45">
        <v>0.89073059999999993</v>
      </c>
      <c r="C10" s="98">
        <v>0.95</v>
      </c>
      <c r="D10" s="56">
        <v>13.57902668055927</v>
      </c>
      <c r="E10" s="56" t="s">
        <v>201</v>
      </c>
      <c r="F10" s="98">
        <v>1</v>
      </c>
      <c r="G10" s="98">
        <v>1</v>
      </c>
    </row>
    <row r="11" spans="1:7" ht="15.75" customHeight="1" x14ac:dyDescent="0.25">
      <c r="A11" s="11" t="s">
        <v>177</v>
      </c>
      <c r="B11" s="98">
        <v>0</v>
      </c>
      <c r="C11" s="98">
        <v>0.95</v>
      </c>
      <c r="D11" s="56">
        <v>13.57902668055927</v>
      </c>
      <c r="E11" s="56" t="s">
        <v>201</v>
      </c>
      <c r="F11" s="98">
        <v>1</v>
      </c>
      <c r="G11" s="98">
        <v>1</v>
      </c>
    </row>
    <row r="12" spans="1:7" ht="15.75" customHeight="1" x14ac:dyDescent="0.25">
      <c r="A12" s="11" t="s">
        <v>178</v>
      </c>
      <c r="B12" s="98">
        <v>0</v>
      </c>
      <c r="C12" s="98">
        <v>0.95</v>
      </c>
      <c r="D12" s="56">
        <v>13.57902668055927</v>
      </c>
      <c r="E12" s="56" t="s">
        <v>201</v>
      </c>
      <c r="F12" s="98">
        <v>1</v>
      </c>
      <c r="G12" s="98">
        <v>1</v>
      </c>
    </row>
    <row r="13" spans="1:7" ht="15.75" customHeight="1" x14ac:dyDescent="0.25">
      <c r="A13" s="11" t="s">
        <v>179</v>
      </c>
      <c r="B13" s="98">
        <v>0</v>
      </c>
      <c r="C13" s="98">
        <v>0.95</v>
      </c>
      <c r="D13" s="56">
        <v>13.57902668055927</v>
      </c>
      <c r="E13" s="56" t="s">
        <v>201</v>
      </c>
      <c r="F13" s="98">
        <v>1</v>
      </c>
      <c r="G13" s="98">
        <v>1</v>
      </c>
    </row>
    <row r="14" spans="1:7" ht="15.75" customHeight="1" x14ac:dyDescent="0.25">
      <c r="A14" s="5" t="s">
        <v>180</v>
      </c>
      <c r="B14" s="45">
        <v>0.89073059999999993</v>
      </c>
      <c r="C14" s="98">
        <v>0.95</v>
      </c>
      <c r="D14" s="56">
        <v>13.57902668055927</v>
      </c>
      <c r="E14" s="56" t="s">
        <v>201</v>
      </c>
      <c r="F14" s="98">
        <v>1</v>
      </c>
      <c r="G14" s="98">
        <v>1</v>
      </c>
    </row>
    <row r="15" spans="1:7" ht="15.75" customHeight="1" x14ac:dyDescent="0.25">
      <c r="A15" s="5" t="s">
        <v>181</v>
      </c>
      <c r="B15" s="98">
        <v>0</v>
      </c>
      <c r="C15" s="98">
        <v>0.95</v>
      </c>
      <c r="D15" s="56">
        <v>13.57902668055927</v>
      </c>
      <c r="E15" s="56" t="s">
        <v>201</v>
      </c>
      <c r="F15" s="98">
        <v>1</v>
      </c>
      <c r="G15" s="98">
        <v>1</v>
      </c>
    </row>
    <row r="16" spans="1:7" ht="15.75" customHeight="1" x14ac:dyDescent="0.25">
      <c r="A16" s="5" t="s">
        <v>182</v>
      </c>
      <c r="B16" s="45">
        <v>4.1250299999999997E-2</v>
      </c>
      <c r="C16" s="98">
        <v>0.95</v>
      </c>
      <c r="D16" s="56">
        <v>2.503642449664842</v>
      </c>
      <c r="E16" s="56" t="s">
        <v>201</v>
      </c>
      <c r="F16" s="98">
        <v>1</v>
      </c>
      <c r="G16" s="98">
        <v>1</v>
      </c>
    </row>
    <row r="17" spans="1:7" ht="15.75" customHeight="1" x14ac:dyDescent="0.25">
      <c r="A17" s="5" t="s">
        <v>183</v>
      </c>
      <c r="B17" s="98">
        <v>0</v>
      </c>
      <c r="C17" s="98">
        <v>0.95</v>
      </c>
      <c r="D17" s="56">
        <v>0.1369044839662158</v>
      </c>
      <c r="E17" s="56" t="s">
        <v>201</v>
      </c>
      <c r="F17" s="98">
        <v>1</v>
      </c>
      <c r="G17" s="98">
        <v>1</v>
      </c>
    </row>
    <row r="18" spans="1:7" ht="15.9" customHeight="1" x14ac:dyDescent="0.25">
      <c r="A18" s="5" t="s">
        <v>157</v>
      </c>
      <c r="B18" s="98">
        <v>0.64700000000000002</v>
      </c>
      <c r="C18" s="98">
        <v>0.95</v>
      </c>
      <c r="D18" s="56">
        <v>3.110690637764288</v>
      </c>
      <c r="E18" s="56" t="s">
        <v>201</v>
      </c>
      <c r="F18" s="98">
        <v>1</v>
      </c>
      <c r="G18" s="98">
        <v>1</v>
      </c>
    </row>
    <row r="19" spans="1:7" ht="15.75" customHeight="1" x14ac:dyDescent="0.25">
      <c r="A19" s="5" t="s">
        <v>158</v>
      </c>
      <c r="B19" s="98">
        <v>0.48294340000000002</v>
      </c>
      <c r="C19" s="98">
        <v>0.95</v>
      </c>
      <c r="D19" s="56">
        <v>3.110690637764288</v>
      </c>
      <c r="E19" s="56" t="s">
        <v>201</v>
      </c>
      <c r="F19" s="98">
        <v>1</v>
      </c>
      <c r="G19" s="98">
        <v>1</v>
      </c>
    </row>
    <row r="20" spans="1:7" ht="15.75" customHeight="1" x14ac:dyDescent="0.25">
      <c r="A20" s="5" t="s">
        <v>159</v>
      </c>
      <c r="B20" s="98">
        <v>0</v>
      </c>
      <c r="C20" s="98">
        <v>0.95</v>
      </c>
      <c r="D20" s="56">
        <v>99.99</v>
      </c>
      <c r="E20" s="56" t="s">
        <v>201</v>
      </c>
      <c r="F20" s="98">
        <v>1</v>
      </c>
      <c r="G20" s="98">
        <v>1</v>
      </c>
    </row>
    <row r="21" spans="1:7" ht="15.75" customHeight="1" x14ac:dyDescent="0.25">
      <c r="A21" s="5" t="s">
        <v>184</v>
      </c>
      <c r="B21" s="45">
        <v>0</v>
      </c>
      <c r="C21" s="98">
        <v>0.95</v>
      </c>
      <c r="D21" s="56">
        <v>10.726757057587051</v>
      </c>
      <c r="E21" s="56" t="s">
        <v>201</v>
      </c>
      <c r="F21" s="98">
        <v>1</v>
      </c>
      <c r="G21" s="98">
        <v>1</v>
      </c>
    </row>
    <row r="22" spans="1:7" ht="15.75" customHeight="1" x14ac:dyDescent="0.25">
      <c r="A22" s="5" t="s">
        <v>185</v>
      </c>
      <c r="B22" s="98">
        <v>0</v>
      </c>
      <c r="C22" s="98">
        <v>0.95</v>
      </c>
      <c r="D22" s="56">
        <v>23.193313917820198</v>
      </c>
      <c r="E22" s="56" t="s">
        <v>201</v>
      </c>
      <c r="F22" s="98">
        <v>1</v>
      </c>
      <c r="G22" s="98">
        <v>1</v>
      </c>
    </row>
    <row r="23" spans="1:7" ht="15.75" customHeight="1" x14ac:dyDescent="0.25">
      <c r="A23" s="5" t="s">
        <v>186</v>
      </c>
      <c r="B23" s="98">
        <v>4.50575E-2</v>
      </c>
      <c r="C23" s="98">
        <v>0.95</v>
      </c>
      <c r="D23" s="56">
        <v>4.4856136591440912</v>
      </c>
      <c r="E23" s="56" t="s">
        <v>201</v>
      </c>
      <c r="F23" s="98">
        <v>1</v>
      </c>
      <c r="G23" s="98">
        <v>1</v>
      </c>
    </row>
    <row r="24" spans="1:7" ht="15.75" customHeight="1" x14ac:dyDescent="0.25">
      <c r="A24" s="5" t="s">
        <v>187</v>
      </c>
      <c r="B24" s="45">
        <v>0.69694892887370008</v>
      </c>
      <c r="C24" s="98">
        <v>0.95</v>
      </c>
      <c r="D24" s="56">
        <v>99.99</v>
      </c>
      <c r="E24" s="56" t="s">
        <v>201</v>
      </c>
      <c r="F24" s="98">
        <v>1</v>
      </c>
      <c r="G24" s="98">
        <v>1</v>
      </c>
    </row>
    <row r="25" spans="1:7" ht="15.75" customHeight="1" x14ac:dyDescent="0.25">
      <c r="A25" s="5" t="s">
        <v>188</v>
      </c>
      <c r="B25" s="98">
        <v>0</v>
      </c>
      <c r="C25" s="98">
        <v>0.95</v>
      </c>
      <c r="D25" s="56">
        <v>99.99</v>
      </c>
      <c r="E25" s="56" t="s">
        <v>201</v>
      </c>
      <c r="F25" s="98">
        <v>1</v>
      </c>
      <c r="G25" s="98">
        <v>1</v>
      </c>
    </row>
    <row r="26" spans="1:7" ht="15.75" customHeight="1" x14ac:dyDescent="0.25">
      <c r="A26" s="5" t="s">
        <v>189</v>
      </c>
      <c r="B26" s="45">
        <v>3.7000000000000012E-2</v>
      </c>
      <c r="C26" s="98">
        <v>0.95</v>
      </c>
      <c r="D26" s="56">
        <v>13.467741075377949</v>
      </c>
      <c r="E26" s="56" t="s">
        <v>201</v>
      </c>
      <c r="F26" s="98">
        <v>1</v>
      </c>
      <c r="G26" s="98">
        <v>1</v>
      </c>
    </row>
    <row r="27" spans="1:7" ht="15.75" customHeight="1" x14ac:dyDescent="0.25">
      <c r="A27" s="5" t="s">
        <v>190</v>
      </c>
      <c r="B27" s="45">
        <v>0</v>
      </c>
      <c r="C27" s="98">
        <v>0.95</v>
      </c>
      <c r="D27" s="56">
        <v>13.765699948727031</v>
      </c>
      <c r="E27" s="56" t="s">
        <v>201</v>
      </c>
      <c r="F27" s="98">
        <v>1</v>
      </c>
      <c r="G27" s="98">
        <v>1</v>
      </c>
    </row>
    <row r="28" spans="1:7" ht="15.75" customHeight="1" x14ac:dyDescent="0.25">
      <c r="A28" s="5" t="s">
        <v>191</v>
      </c>
      <c r="B28" s="45">
        <v>0.28605269999999999</v>
      </c>
      <c r="C28" s="98">
        <v>0.95</v>
      </c>
      <c r="D28" s="56">
        <v>99.99</v>
      </c>
      <c r="E28" s="56" t="s">
        <v>201</v>
      </c>
      <c r="F28" s="98">
        <v>1</v>
      </c>
      <c r="G28" s="98">
        <v>1</v>
      </c>
    </row>
    <row r="29" spans="1:7" ht="15.75" customHeight="1" x14ac:dyDescent="0.25">
      <c r="A29" s="5" t="s">
        <v>192</v>
      </c>
      <c r="B29" s="45">
        <v>0.48644500000000002</v>
      </c>
      <c r="C29" s="98">
        <v>0.95</v>
      </c>
      <c r="D29" s="56">
        <v>33.321934882307978</v>
      </c>
      <c r="E29" s="56" t="s">
        <v>201</v>
      </c>
      <c r="F29" s="98">
        <v>1</v>
      </c>
      <c r="G29" s="98">
        <v>1</v>
      </c>
    </row>
    <row r="30" spans="1:7" ht="15.75" customHeight="1" x14ac:dyDescent="0.25">
      <c r="A30" s="5" t="s">
        <v>205</v>
      </c>
      <c r="B30" s="98">
        <v>0</v>
      </c>
      <c r="C30" s="98">
        <v>0.95</v>
      </c>
      <c r="D30" s="56">
        <v>99</v>
      </c>
      <c r="E30" s="56" t="s">
        <v>201</v>
      </c>
      <c r="F30" s="98">
        <v>1</v>
      </c>
      <c r="G30" s="98">
        <v>1</v>
      </c>
    </row>
    <row r="31" spans="1:7" ht="15.75" customHeight="1" x14ac:dyDescent="0.25">
      <c r="A31" s="5" t="s">
        <v>161</v>
      </c>
      <c r="B31" s="45">
        <v>2.46E-2</v>
      </c>
      <c r="C31" s="98">
        <v>0.95</v>
      </c>
      <c r="D31" s="56">
        <v>56.731369485662889</v>
      </c>
      <c r="E31" s="56" t="s">
        <v>201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0.61</v>
      </c>
      <c r="C32" s="98">
        <v>0.95</v>
      </c>
      <c r="D32" s="56">
        <v>3.1633023129352069</v>
      </c>
      <c r="E32" s="56" t="s">
        <v>201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0.83350530000000012</v>
      </c>
      <c r="C33" s="98">
        <v>0.95</v>
      </c>
      <c r="D33" s="56">
        <v>99.99</v>
      </c>
      <c r="E33" s="56" t="s">
        <v>201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0.30354370000000003</v>
      </c>
      <c r="C34" s="98">
        <v>0.95</v>
      </c>
      <c r="D34" s="56">
        <v>99.99</v>
      </c>
      <c r="E34" s="56" t="s">
        <v>201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201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0.1965143</v>
      </c>
      <c r="C36" s="98">
        <v>0.95</v>
      </c>
      <c r="D36" s="56">
        <v>99.99</v>
      </c>
      <c r="E36" s="56" t="s">
        <v>201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0.34371230000000003</v>
      </c>
      <c r="C37" s="98">
        <v>0.95</v>
      </c>
      <c r="D37" s="56">
        <v>99.99</v>
      </c>
      <c r="E37" s="56" t="s">
        <v>201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9.5000000000000001E-2</v>
      </c>
      <c r="C38" s="98">
        <v>0.95</v>
      </c>
      <c r="D38" s="56">
        <v>2.4488574538288082</v>
      </c>
      <c r="E38" s="56" t="s">
        <v>201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2.717384924943516</v>
      </c>
      <c r="E39" s="56" t="s">
        <v>201</v>
      </c>
      <c r="F39" s="98">
        <v>1</v>
      </c>
      <c r="G39" s="98">
        <v>1</v>
      </c>
    </row>
  </sheetData>
  <sheetProtection algorithmName="SHA-512" hashValue="Ax7GjNB0/4DmiO2k5H2RMZzQUR9AMv5qT0q8A5sr5GxJE7iSSoByA9IM4+oanWnmDCC4bvDvj5MqlfZmgPrS6g==" saltValue="eLJxgXgzoqNr7hggZyiJC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160</v>
      </c>
      <c r="B1" s="4" t="s">
        <v>206</v>
      </c>
      <c r="C1" s="4" t="s">
        <v>207</v>
      </c>
    </row>
    <row r="2" spans="1:3" ht="13.25" customHeight="1" x14ac:dyDescent="0.25">
      <c r="A2" s="57" t="s">
        <v>180</v>
      </c>
      <c r="B2" s="47" t="s">
        <v>190</v>
      </c>
      <c r="C2" s="47"/>
    </row>
    <row r="3" spans="1:3" ht="13.25" customHeight="1" x14ac:dyDescent="0.25">
      <c r="A3" s="57" t="s">
        <v>181</v>
      </c>
      <c r="B3" s="47" t="s">
        <v>190</v>
      </c>
      <c r="C3" s="47"/>
    </row>
    <row r="4" spans="1:3" ht="13.25" customHeight="1" x14ac:dyDescent="0.25">
      <c r="A4" s="57" t="s">
        <v>192</v>
      </c>
      <c r="B4" s="47" t="s">
        <v>185</v>
      </c>
      <c r="C4" s="47"/>
    </row>
    <row r="5" spans="1:3" ht="13.25" customHeight="1" x14ac:dyDescent="0.25">
      <c r="A5" s="57" t="s">
        <v>189</v>
      </c>
      <c r="B5" s="47" t="s">
        <v>185</v>
      </c>
      <c r="C5" s="47"/>
    </row>
    <row r="6" spans="1:3" ht="13.25" customHeight="1" x14ac:dyDescent="0.25">
      <c r="A6" s="57" t="s">
        <v>192</v>
      </c>
      <c r="B6" s="58" t="s">
        <v>205</v>
      </c>
      <c r="C6" s="58"/>
    </row>
    <row r="7" spans="1:3" ht="13.25" customHeight="1" x14ac:dyDescent="0.25">
      <c r="A7" s="57" t="s">
        <v>189</v>
      </c>
      <c r="B7" s="58" t="s">
        <v>205</v>
      </c>
      <c r="C7" s="58"/>
    </row>
    <row r="8" spans="1:3" ht="13.25" customHeight="1" x14ac:dyDescent="0.25">
      <c r="A8" s="57" t="s">
        <v>200</v>
      </c>
      <c r="B8" s="58" t="s">
        <v>205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z2QsUYYTlJrpohNXvc2X/Mla0148JsMlhKf8cX/5UOS7JMaw77ZSKqKVTpncLiWscGdZstW5Un8OqCP43nAsXQ==" saltValue="Fj49JjQKWMvvqe3t1bfWQ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160</v>
      </c>
    </row>
    <row r="2" spans="1:1" ht="13.25" customHeight="1" x14ac:dyDescent="0.25">
      <c r="A2" s="33" t="s">
        <v>172</v>
      </c>
    </row>
    <row r="3" spans="1:1" ht="13.25" customHeight="1" x14ac:dyDescent="0.25">
      <c r="A3" s="33" t="s">
        <v>182</v>
      </c>
    </row>
    <row r="4" spans="1:1" ht="13.25" customHeight="1" x14ac:dyDescent="0.25">
      <c r="A4" s="33" t="s">
        <v>186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161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sheetProtection algorithmName="SHA-512" hashValue="wuPRBaA7C7++Z3RGOAS3eKFExMIxBG6pebxEk4Lq7khCFtjIDeGD2ogHINFfo3zg2CLROdKi7jZ3ULeG5U7TZw==" saltValue="y/vfi2xMJKCg+jTiIk5HC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7</v>
      </c>
      <c r="B1" t="s">
        <v>109</v>
      </c>
      <c r="C1" t="s">
        <v>96</v>
      </c>
      <c r="D1" t="s">
        <v>97</v>
      </c>
      <c r="E1" t="s">
        <v>98</v>
      </c>
      <c r="F1" t="s">
        <v>99</v>
      </c>
    </row>
    <row r="2" spans="1:6" ht="15.75" customHeight="1" x14ac:dyDescent="0.25">
      <c r="A2" s="3" t="s">
        <v>87</v>
      </c>
      <c r="B2" s="21">
        <f>'Données pop de l''année de ref'!C51</f>
        <v>2.2000000000000002</v>
      </c>
      <c r="C2" s="21">
        <f>'Données pop de l''année de ref'!C52</f>
        <v>2.2000000000000002</v>
      </c>
      <c r="D2" s="21">
        <f>'Données pop de l''année de ref'!C53</f>
        <v>2.2000000000000002</v>
      </c>
      <c r="E2" s="21">
        <f>'Données pop de l''année de ref'!C54</f>
        <v>2.2000000000000002</v>
      </c>
      <c r="F2" s="21">
        <f>'Données pop de l''année de ref'!C55</f>
        <v>2.2000000000000002</v>
      </c>
    </row>
    <row r="3" spans="1:6" ht="15.75" customHeight="1" x14ac:dyDescent="0.25">
      <c r="A3" s="3" t="s">
        <v>209</v>
      </c>
      <c r="B3" s="21">
        <f>frac_mam_1month * 2.6</f>
        <v>0.24321102</v>
      </c>
      <c r="C3" s="21">
        <f>frac_mam_1_5months * 2.6</f>
        <v>0.24321102</v>
      </c>
      <c r="D3" s="21">
        <f>frac_mam_6_11months * 2.6</f>
        <v>0.22445722000000004</v>
      </c>
      <c r="E3" s="21">
        <f>frac_mam_12_23months * 2.6</f>
        <v>0.13120925999999999</v>
      </c>
      <c r="F3" s="21">
        <f>frac_mam_24_59months * 2.6</f>
        <v>0.19586216000000001</v>
      </c>
    </row>
    <row r="4" spans="1:6" ht="15.75" customHeight="1" x14ac:dyDescent="0.25">
      <c r="A4" s="3" t="s">
        <v>208</v>
      </c>
      <c r="B4" s="21">
        <f>frac_sam_1month * 2.6</f>
        <v>0.18371756000000003</v>
      </c>
      <c r="C4" s="21">
        <f>frac_sam_1_5months * 2.6</f>
        <v>0.18371756000000003</v>
      </c>
      <c r="D4" s="21">
        <f>frac_sam_6_11months * 2.6</f>
        <v>5.4260180000000005E-2</v>
      </c>
      <c r="E4" s="21">
        <f>frac_sam_12_23months * 2.6</f>
        <v>4.6933639999999999E-2</v>
      </c>
      <c r="F4" s="21">
        <f>frac_sam_24_59months * 2.6</f>
        <v>5.1138099999999999E-2</v>
      </c>
    </row>
  </sheetData>
  <sheetProtection algorithmName="SHA-512" hashValue="JhwB6NVDi9Qh7/AFmAztMAP1scluD2HmLibp/pN9a5Dv3DN8yEqwnU1/R8QYjSTjVXcsyu7OBQA+r6vOAcDzKg==" saltValue="CShnKbEx4Bw+i8J/6VnmS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">
      <c r="A2" s="4" t="s">
        <v>86</v>
      </c>
      <c r="B2" s="5" t="s">
        <v>170</v>
      </c>
      <c r="C2" s="60">
        <v>0</v>
      </c>
      <c r="D2" s="60">
        <f>food_insecure</f>
        <v>0.14199999999999999</v>
      </c>
      <c r="E2" s="60">
        <f>food_insecure</f>
        <v>0.14199999999999999</v>
      </c>
      <c r="F2" s="60">
        <f>food_insecure</f>
        <v>0.14199999999999999</v>
      </c>
      <c r="G2" s="60">
        <f>food_insecure</f>
        <v>0.14199999999999999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171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184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185</v>
      </c>
      <c r="C5" s="60">
        <v>0</v>
      </c>
      <c r="D5" s="60">
        <v>0</v>
      </c>
      <c r="E5" s="60">
        <f>food_insecure</f>
        <v>0.14199999999999999</v>
      </c>
      <c r="F5" s="60">
        <f>food_insecure</f>
        <v>0.14199999999999999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191</v>
      </c>
      <c r="C7" s="60">
        <f>diarrhoea_1mo*frac_diarrhea_severe</f>
        <v>4.6999999999999993E-2</v>
      </c>
      <c r="D7" s="60">
        <f>diarrhoea_1_5mo*frac_diarrhea_severe</f>
        <v>4.6999999999999993E-2</v>
      </c>
      <c r="E7" s="60">
        <f>diarrhoea_6_11mo*frac_diarrhea_severe</f>
        <v>4.6999999999999993E-2</v>
      </c>
      <c r="F7" s="60">
        <f>diarrhoea_12_23mo*frac_diarrhea_severe</f>
        <v>4.6999999999999993E-2</v>
      </c>
      <c r="G7" s="60">
        <f>diarrhoea_24_59mo*frac_diarrhea_severe</f>
        <v>4.6999999999999993E-2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192</v>
      </c>
      <c r="C8" s="60">
        <v>0</v>
      </c>
      <c r="D8" s="60">
        <v>0</v>
      </c>
      <c r="E8" s="60">
        <f>food_insecure</f>
        <v>0.14199999999999999</v>
      </c>
      <c r="F8" s="60">
        <f>food_insecure</f>
        <v>0.14199999999999999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205</v>
      </c>
      <c r="C9" s="60">
        <v>0</v>
      </c>
      <c r="D9" s="60">
        <v>0</v>
      </c>
      <c r="E9" s="60">
        <f>food_insecure</f>
        <v>0.14199999999999999</v>
      </c>
      <c r="F9" s="60">
        <f>food_insecure</f>
        <v>0.14199999999999999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161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4.6999999999999993E-2</v>
      </c>
      <c r="D12" s="60">
        <f>diarrhoea_1_5mo*frac_diarrhea_severe</f>
        <v>4.6999999999999993E-2</v>
      </c>
      <c r="E12" s="60">
        <f>diarrhoea_6_11mo*frac_diarrhea_severe</f>
        <v>4.6999999999999993E-2</v>
      </c>
      <c r="F12" s="60">
        <f>diarrhoea_12_23mo*frac_diarrhea_severe</f>
        <v>4.6999999999999993E-2</v>
      </c>
      <c r="G12" s="60">
        <f>diarrhoea_24_59mo*frac_diarrhea_severe</f>
        <v>4.6999999999999993E-2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100</v>
      </c>
      <c r="B15" s="9" t="s">
        <v>168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0.14199999999999999</v>
      </c>
      <c r="I15" s="60">
        <f>food_insecure</f>
        <v>0.14199999999999999</v>
      </c>
      <c r="J15" s="60">
        <f>food_insecure</f>
        <v>0.14199999999999999</v>
      </c>
      <c r="K15" s="60">
        <f>food_insecure</f>
        <v>0.14199999999999999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169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180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181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182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0.17799999999999999</v>
      </c>
      <c r="I19" s="60">
        <f>frac_malaria_risk</f>
        <v>0.17799999999999999</v>
      </c>
      <c r="J19" s="60">
        <f>frac_malaria_risk</f>
        <v>0.17799999999999999</v>
      </c>
      <c r="K19" s="60">
        <f>frac_malaria_risk</f>
        <v>0.17799999999999999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75</v>
      </c>
      <c r="B24" s="11" t="s">
        <v>172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0.436</v>
      </c>
      <c r="M24" s="60">
        <f>famplan_unmet_need</f>
        <v>0.436</v>
      </c>
      <c r="N24" s="60">
        <f>famplan_unmet_need</f>
        <v>0.436</v>
      </c>
      <c r="O24" s="60">
        <f>famplan_unmet_need</f>
        <v>0.436</v>
      </c>
    </row>
    <row r="25" spans="1:15" ht="15.75" customHeight="1" x14ac:dyDescent="0.25">
      <c r="B25" s="11" t="s">
        <v>176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9.6641300650271988E-2</v>
      </c>
      <c r="M25" s="60">
        <f>(1-food_insecure)*(0.49)+food_insecure*(0.7)</f>
        <v>0.51981999999999995</v>
      </c>
      <c r="N25" s="60">
        <f>(1-food_insecure)*(0.49)+food_insecure*(0.7)</f>
        <v>0.51981999999999995</v>
      </c>
      <c r="O25" s="60">
        <f>(1-food_insecure)*(0.49)+food_insecure*(0.7)</f>
        <v>0.51981999999999995</v>
      </c>
    </row>
    <row r="26" spans="1:15" ht="15.75" customHeight="1" x14ac:dyDescent="0.25">
      <c r="B26" s="11" t="s">
        <v>177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4.1417700278687998E-2</v>
      </c>
      <c r="M26" s="60">
        <f>(1-food_insecure)*(0.21)+food_insecure*(0.3)</f>
        <v>0.22277999999999998</v>
      </c>
      <c r="N26" s="60">
        <f>(1-food_insecure)*(0.21)+food_insecure*(0.3)</f>
        <v>0.22277999999999998</v>
      </c>
      <c r="O26" s="60">
        <f>(1-food_insecure)*(0.21)+food_insecure*(0.3)</f>
        <v>0.22277999999999998</v>
      </c>
    </row>
    <row r="27" spans="1:15" ht="15.75" customHeight="1" x14ac:dyDescent="0.25">
      <c r="B27" s="11" t="s">
        <v>178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4.7854008671039998E-2</v>
      </c>
      <c r="M27" s="60">
        <f>(1-food_insecure)*(0.3)</f>
        <v>0.25739999999999996</v>
      </c>
      <c r="N27" s="60">
        <f>(1-food_insecure)*(0.3)</f>
        <v>0.25739999999999996</v>
      </c>
      <c r="O27" s="60">
        <f>(1-food_insecure)*(0.3)</f>
        <v>0.25739999999999996</v>
      </c>
    </row>
    <row r="28" spans="1:15" ht="15.75" customHeight="1" x14ac:dyDescent="0.25">
      <c r="B28" s="11" t="s">
        <v>179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0.81408699039999999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173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174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175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183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186</v>
      </c>
      <c r="C34" s="60">
        <f t="shared" ref="C34:O34" si="3">frac_malaria_risk</f>
        <v>0.17799999999999999</v>
      </c>
      <c r="D34" s="60">
        <f t="shared" si="3"/>
        <v>0.17799999999999999</v>
      </c>
      <c r="E34" s="60">
        <f t="shared" si="3"/>
        <v>0.17799999999999999</v>
      </c>
      <c r="F34" s="60">
        <f t="shared" si="3"/>
        <v>0.17799999999999999</v>
      </c>
      <c r="G34" s="60">
        <f t="shared" si="3"/>
        <v>0.17799999999999999</v>
      </c>
      <c r="H34" s="60">
        <f t="shared" si="3"/>
        <v>0.17799999999999999</v>
      </c>
      <c r="I34" s="60">
        <f t="shared" si="3"/>
        <v>0.17799999999999999</v>
      </c>
      <c r="J34" s="60">
        <f t="shared" si="3"/>
        <v>0.17799999999999999</v>
      </c>
      <c r="K34" s="60">
        <f t="shared" si="3"/>
        <v>0.17799999999999999</v>
      </c>
      <c r="L34" s="60">
        <f t="shared" si="3"/>
        <v>0.17799999999999999</v>
      </c>
      <c r="M34" s="60">
        <f t="shared" si="3"/>
        <v>0.17799999999999999</v>
      </c>
      <c r="N34" s="60">
        <f t="shared" si="3"/>
        <v>0.17799999999999999</v>
      </c>
      <c r="O34" s="60">
        <f t="shared" si="3"/>
        <v>0.17799999999999999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O4y22jXrw/XeC14Hc/15TyqLa9Bu4n82DCxe4DluKdDgZ3FPxJMhXh4QxabnQ/zLdFH/9p+3LBtpHSXwu9kSYA==" saltValue="tSX7i8b8CA+PJaEnNVLlP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201</v>
      </c>
    </row>
    <row r="2" spans="1:1" x14ac:dyDescent="0.25">
      <c r="A2" s="8" t="s">
        <v>212</v>
      </c>
    </row>
    <row r="3" spans="1:1" x14ac:dyDescent="0.25">
      <c r="A3" s="8" t="s">
        <v>213</v>
      </c>
    </row>
    <row r="4" spans="1:1" x14ac:dyDescent="0.25">
      <c r="A4" s="8" t="s">
        <v>214</v>
      </c>
    </row>
  </sheetData>
  <sheetProtection algorithmName="SHA-512" hashValue="0+A7NRCgR/hiiKu0SAnUXJtZM1Bo/0JeMxC1aiFnnt50zYczPPSh3Uf0JJUxjNMJnhL9EfejUx0ozK6CJeOEMw==" saltValue="4aVl7QiJsCmp246QPpIjd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216</v>
      </c>
      <c r="B1" s="4" t="s">
        <v>215</v>
      </c>
      <c r="C1" s="4" t="s">
        <v>8</v>
      </c>
      <c r="D1" s="4" t="s">
        <v>144</v>
      </c>
      <c r="E1" s="4" t="s">
        <v>225</v>
      </c>
    </row>
    <row r="2" spans="1:5" ht="14" customHeight="1" x14ac:dyDescent="0.3">
      <c r="A2" s="28" t="s">
        <v>217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218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219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220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9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JifVd8832enY1/lx6ucYX1KAsG16lIQm6wi+zg3mv59kMLKj+f1xHU7WLF+1YVp6uzDANV2fHrlu5znBqAZ6IA==" saltValue="oSADrGcUNi0M4yVX50gqN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5">
      <c r="A2" s="4" t="s">
        <v>86</v>
      </c>
      <c r="B2" s="5" t="s">
        <v>170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171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157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158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159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184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185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161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100</v>
      </c>
      <c r="B18" s="5" t="s">
        <v>168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169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180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181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182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75</v>
      </c>
      <c r="B27" s="5" t="s">
        <v>172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176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177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178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179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173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174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175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183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186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AGszu0su1Y1Euh5uvYjiVb7YnWWmQzyTWi4CHijxlbXLjCFeC1auUZmydX9sgV/R+WGhrcaZUqoCdZilHj8etg==" saltValue="H2qAlAaTih+hjFfPKwwsN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ht="13.25" customHeight="1" x14ac:dyDescent="0.25">
      <c r="A2" s="5" t="s">
        <v>168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ht="13.25" customHeight="1" x14ac:dyDescent="0.25">
      <c r="A3" s="5" t="s">
        <v>169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ht="13.25" customHeight="1" x14ac:dyDescent="0.25">
      <c r="A4" s="5" t="s">
        <v>170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171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172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ht="13.25" customHeight="1" x14ac:dyDescent="0.25">
      <c r="A7" s="5" t="s">
        <v>173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ht="13.25" customHeight="1" x14ac:dyDescent="0.25">
      <c r="A8" s="5" t="s">
        <v>174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ht="13.25" customHeight="1" x14ac:dyDescent="0.25">
      <c r="A9" s="5" t="s">
        <v>175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ht="13.25" customHeight="1" x14ac:dyDescent="0.25">
      <c r="A10" s="11" t="s">
        <v>176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177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178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179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180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ht="13.25" customHeight="1" x14ac:dyDescent="0.25">
      <c r="A15" s="5" t="s">
        <v>181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ht="13.25" customHeight="1" x14ac:dyDescent="0.25">
      <c r="A16" s="5" t="s">
        <v>182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ht="13.25" customHeight="1" x14ac:dyDescent="0.25">
      <c r="A17" s="5" t="s">
        <v>183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157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158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159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184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185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186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187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188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189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190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191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192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205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161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200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OTooqgx86tIb7bCXUnOUhTTHtgDRIN8oTZMZ30d5RgWSU/6vVz5yZ4bCjUeNgeq4KgAjzNVr+koBIlXdzCRAuA==" saltValue="dYHfD7mdxJRETwnnk4uPY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ht="13.25" customHeight="1" x14ac:dyDescent="0.25">
      <c r="A2" s="8" t="s">
        <v>109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ht="13.25" customHeight="1" x14ac:dyDescent="0.25">
      <c r="A3" s="8" t="s">
        <v>96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ht="13.25" customHeight="1" x14ac:dyDescent="0.25">
      <c r="A4" s="8" t="s">
        <v>97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ht="13.25" customHeight="1" x14ac:dyDescent="0.25">
      <c r="A5" s="8" t="s">
        <v>98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ht="13.25" customHeight="1" x14ac:dyDescent="0.25">
      <c r="A6" s="8" t="s">
        <v>99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ht="13.25" customHeight="1" x14ac:dyDescent="0.25">
      <c r="A7" s="8" t="s">
        <v>122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ht="13.25" customHeight="1" x14ac:dyDescent="0.25">
      <c r="A8" s="8" t="s">
        <v>123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ht="13.25" customHeight="1" x14ac:dyDescent="0.25">
      <c r="A9" s="8" t="s">
        <v>124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ht="13.25" customHeight="1" x14ac:dyDescent="0.25">
      <c r="A10" s="8" t="s">
        <v>125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ht="13.25" customHeight="1" x14ac:dyDescent="0.25">
      <c r="A11" s="8" t="s">
        <v>69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ht="13.25" customHeight="1" x14ac:dyDescent="0.25">
      <c r="A12" s="8" t="s">
        <v>70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ht="13.25" customHeight="1" x14ac:dyDescent="0.25">
      <c r="A13" s="8" t="s">
        <v>71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ht="13.25" customHeight="1" x14ac:dyDescent="0.25">
      <c r="A14" s="8" t="s">
        <v>72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q9OScTuYjtwIQYWfcLV0AOZiPEKkITBMUNTyNZDP7KRvZ4LHs45E0gUYWFYknA0zD1eqPPgAXezPj9Y35lb1MQ==" saltValue="dMYQsBynFlcXzk6m7lLoM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D8" sqref="D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152</v>
      </c>
      <c r="C1" s="4" t="s">
        <v>164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10" ht="13" customHeight="1" x14ac:dyDescent="0.3">
      <c r="A2" s="4" t="s">
        <v>232</v>
      </c>
      <c r="B2" s="103" t="s">
        <v>100</v>
      </c>
      <c r="C2" s="8" t="s">
        <v>153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154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109</v>
      </c>
      <c r="C5" s="8" t="s">
        <v>153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154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96</v>
      </c>
      <c r="C8" s="8" t="s">
        <v>153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154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97</v>
      </c>
      <c r="C11" s="8" t="s">
        <v>153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154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98</v>
      </c>
      <c r="C14" s="8" t="s">
        <v>153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154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156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100</v>
      </c>
      <c r="C19" s="8" t="s">
        <v>153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154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109</v>
      </c>
      <c r="C22" s="8" t="s">
        <v>153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154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96</v>
      </c>
      <c r="C25" s="8" t="s">
        <v>153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154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97</v>
      </c>
      <c r="C28" s="8" t="s">
        <v>153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154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98</v>
      </c>
      <c r="C31" s="8" t="s">
        <v>153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154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156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100</v>
      </c>
      <c r="C36" s="8" t="s">
        <v>153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154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109</v>
      </c>
      <c r="C39" s="8" t="s">
        <v>153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154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96</v>
      </c>
      <c r="C42" s="8" t="s">
        <v>153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154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97</v>
      </c>
      <c r="C45" s="8" t="s">
        <v>153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154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98</v>
      </c>
      <c r="C48" s="8" t="s">
        <v>153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154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156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152</v>
      </c>
      <c r="C54" s="4" t="s">
        <v>164</v>
      </c>
      <c r="D54" s="4" t="s">
        <v>109</v>
      </c>
      <c r="E54" s="4" t="s">
        <v>96</v>
      </c>
      <c r="F54" s="4" t="s">
        <v>97</v>
      </c>
      <c r="G54" s="4" t="s">
        <v>98</v>
      </c>
      <c r="H54" s="4" t="s">
        <v>99</v>
      </c>
    </row>
    <row r="55" spans="1:8" ht="13" customHeight="1" x14ac:dyDescent="0.3">
      <c r="A55" s="4" t="s">
        <v>236</v>
      </c>
      <c r="B55" s="103" t="s">
        <v>100</v>
      </c>
      <c r="C55" s="8" t="s">
        <v>153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154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109</v>
      </c>
      <c r="C58" s="8" t="s">
        <v>153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154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96</v>
      </c>
      <c r="C61" s="8" t="s">
        <v>153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154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97</v>
      </c>
      <c r="C64" s="8" t="s">
        <v>153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154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98</v>
      </c>
      <c r="C67" s="8" t="s">
        <v>153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154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156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100</v>
      </c>
      <c r="C72" s="8" t="s">
        <v>153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154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109</v>
      </c>
      <c r="C75" s="8" t="s">
        <v>153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154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96</v>
      </c>
      <c r="C78" s="8" t="s">
        <v>153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154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97</v>
      </c>
      <c r="C81" s="8" t="s">
        <v>153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154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98</v>
      </c>
      <c r="C84" s="8" t="s">
        <v>153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154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156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100</v>
      </c>
      <c r="C89" s="8" t="s">
        <v>153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154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109</v>
      </c>
      <c r="C92" s="8" t="s">
        <v>153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154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96</v>
      </c>
      <c r="C95" s="8" t="s">
        <v>153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154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97</v>
      </c>
      <c r="C98" s="8" t="s">
        <v>153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154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98</v>
      </c>
      <c r="C101" s="8" t="s">
        <v>153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154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156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152</v>
      </c>
      <c r="C107" s="4" t="s">
        <v>164</v>
      </c>
      <c r="D107" s="4" t="s">
        <v>109</v>
      </c>
      <c r="E107" s="4" t="s">
        <v>96</v>
      </c>
      <c r="F107" s="4" t="s">
        <v>97</v>
      </c>
      <c r="G107" s="4" t="s">
        <v>98</v>
      </c>
      <c r="H107" s="4" t="s">
        <v>99</v>
      </c>
    </row>
    <row r="108" spans="1:8" ht="13" customHeight="1" x14ac:dyDescent="0.3">
      <c r="A108" s="4" t="s">
        <v>240</v>
      </c>
      <c r="B108" s="103" t="s">
        <v>100</v>
      </c>
      <c r="C108" s="8" t="s">
        <v>153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154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109</v>
      </c>
      <c r="C111" s="8" t="s">
        <v>153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154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155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96</v>
      </c>
      <c r="C114" s="8" t="s">
        <v>153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154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155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97</v>
      </c>
      <c r="C117" s="8" t="s">
        <v>153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154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155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98</v>
      </c>
      <c r="C120" s="8" t="s">
        <v>153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154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155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156</v>
      </c>
      <c r="C123" s="8" t="s">
        <v>155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100</v>
      </c>
      <c r="C125" s="8" t="s">
        <v>153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154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155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109</v>
      </c>
      <c r="C128" s="8" t="s">
        <v>153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154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155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96</v>
      </c>
      <c r="C131" s="8" t="s">
        <v>153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154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155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97</v>
      </c>
      <c r="C134" s="8" t="s">
        <v>153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154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155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98</v>
      </c>
      <c r="C137" s="8" t="s">
        <v>153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154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155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156</v>
      </c>
      <c r="C140" s="8" t="s">
        <v>155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100</v>
      </c>
      <c r="C142" s="8" t="s">
        <v>153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154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155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109</v>
      </c>
      <c r="C145" s="8" t="s">
        <v>153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154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155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96</v>
      </c>
      <c r="C148" s="8" t="s">
        <v>153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154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155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97</v>
      </c>
      <c r="C151" s="8" t="s">
        <v>153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154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155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98</v>
      </c>
      <c r="C154" s="8" t="s">
        <v>153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154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155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156</v>
      </c>
      <c r="C157" s="8" t="s">
        <v>155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1tAIG/245N/zpXXly6wuXR0+7WxnzH9TieIQxoiTr0tByVhiYwT6Qu4tPqrZJn+Wis1Xyjr9LU7O9Wf/NR+cfQ==" saltValue="wyZPa/XVWSOYOwqds570UQ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C9" sqref="C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54</v>
      </c>
      <c r="D2" s="70" t="s">
        <v>53</v>
      </c>
      <c r="E2" s="70" t="s">
        <v>52</v>
      </c>
      <c r="F2" s="70" t="s">
        <v>51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37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38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39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40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249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245</v>
      </c>
      <c r="C11" s="74"/>
      <c r="D11" s="75"/>
      <c r="E11" s="75"/>
      <c r="F11" s="75"/>
    </row>
    <row r="12" spans="1:6" ht="15.75" customHeight="1" x14ac:dyDescent="0.3">
      <c r="A12" s="4" t="s">
        <v>246</v>
      </c>
      <c r="C12" s="73"/>
      <c r="D12" s="64"/>
      <c r="E12" s="64"/>
      <c r="F12" s="64"/>
    </row>
    <row r="13" spans="1:6" ht="15.75" customHeight="1" x14ac:dyDescent="0.25">
      <c r="B13" s="11" t="s">
        <v>247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119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120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248</v>
      </c>
      <c r="B17" s="14"/>
      <c r="C17" s="77"/>
      <c r="D17" s="78"/>
      <c r="E17" s="78"/>
      <c r="F17" s="78"/>
    </row>
    <row r="18" spans="1:6" ht="15.75" customHeight="1" x14ac:dyDescent="0.25">
      <c r="B18" s="5" t="s">
        <v>78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79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80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81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82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83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84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85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54</v>
      </c>
      <c r="D29" s="70" t="s">
        <v>53</v>
      </c>
      <c r="E29" s="70" t="s">
        <v>52</v>
      </c>
      <c r="F29" s="70" t="s">
        <v>51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37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38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39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40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262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245</v>
      </c>
      <c r="B38" s="68"/>
      <c r="C38" s="74"/>
      <c r="D38" s="75"/>
      <c r="E38" s="75"/>
      <c r="F38" s="75"/>
    </row>
    <row r="39" spans="1:6" ht="15.75" customHeight="1" x14ac:dyDescent="0.3">
      <c r="A39" s="4" t="s">
        <v>251</v>
      </c>
      <c r="C39" s="73"/>
      <c r="D39" s="64"/>
      <c r="E39" s="64"/>
      <c r="F39" s="64"/>
    </row>
    <row r="40" spans="1:6" ht="15.75" customHeight="1" x14ac:dyDescent="0.25">
      <c r="B40" s="11" t="s">
        <v>256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252</v>
      </c>
      <c r="B44" s="14"/>
      <c r="C44" s="77"/>
      <c r="D44" s="78"/>
      <c r="E44" s="78"/>
      <c r="F44" s="78"/>
    </row>
    <row r="45" spans="1:6" ht="15.75" customHeight="1" x14ac:dyDescent="0.25">
      <c r="B45" s="5" t="s">
        <v>78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79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80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81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82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83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84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85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54</v>
      </c>
      <c r="D56" s="70" t="s">
        <v>53</v>
      </c>
      <c r="E56" s="70" t="s">
        <v>52</v>
      </c>
      <c r="F56" s="70" t="s">
        <v>51</v>
      </c>
    </row>
    <row r="57" spans="1:6" ht="15.75" customHeight="1" x14ac:dyDescent="0.3">
      <c r="A57" s="4" t="s">
        <v>253</v>
      </c>
      <c r="B57" s="14"/>
      <c r="C57" s="71"/>
      <c r="D57" s="72"/>
      <c r="E57" s="72"/>
      <c r="F57" s="72"/>
    </row>
    <row r="58" spans="1:6" ht="15.75" customHeight="1" x14ac:dyDescent="0.25">
      <c r="B58" s="5" t="s">
        <v>37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38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39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40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263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245</v>
      </c>
      <c r="B65" s="68"/>
      <c r="C65" s="74"/>
      <c r="D65" s="75"/>
      <c r="E65" s="75"/>
      <c r="F65" s="75"/>
    </row>
    <row r="66" spans="1:6" ht="15.75" customHeight="1" x14ac:dyDescent="0.3">
      <c r="A66" s="4" t="s">
        <v>254</v>
      </c>
      <c r="C66" s="73"/>
      <c r="D66" s="64"/>
      <c r="E66" s="64"/>
      <c r="F66" s="64"/>
    </row>
    <row r="67" spans="1:6" ht="15.75" customHeight="1" x14ac:dyDescent="0.25">
      <c r="B67" s="11" t="s">
        <v>259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260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261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255</v>
      </c>
      <c r="B71" s="14"/>
      <c r="C71" s="77"/>
      <c r="D71" s="78"/>
      <c r="E71" s="78"/>
      <c r="F71" s="78"/>
    </row>
    <row r="72" spans="1:6" ht="15.75" customHeight="1" x14ac:dyDescent="0.25">
      <c r="B72" s="5" t="s">
        <v>78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79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80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81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82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83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84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85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Uj6PEGQdwHEGf3tUFagM3OgCnNRxB8unZ2pdvFhvLWKKmvh1KjR1uedOsXPxJyr0Tr6ff96EyuXt39P5pvabw==" saltValue="3jgPoiQ4kdG9BPctiup0B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8" sqref="D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226</v>
      </c>
      <c r="B2" s="1" t="s">
        <v>265</v>
      </c>
      <c r="C2" s="1" t="s">
        <v>266</v>
      </c>
      <c r="D2" s="70" t="s">
        <v>109</v>
      </c>
      <c r="E2" s="70" t="s">
        <v>96</v>
      </c>
      <c r="F2" s="70" t="s">
        <v>97</v>
      </c>
      <c r="G2" s="70" t="s">
        <v>98</v>
      </c>
      <c r="H2" s="70" t="s">
        <v>99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87</v>
      </c>
      <c r="C3" s="3" t="s">
        <v>10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267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268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269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88</v>
      </c>
      <c r="C7" s="3" t="s">
        <v>10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267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268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269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10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267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268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269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91</v>
      </c>
      <c r="C15" s="3" t="s">
        <v>10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267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268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269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89</v>
      </c>
      <c r="C19" s="3" t="s">
        <v>10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267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268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269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95</v>
      </c>
      <c r="C23" s="3" t="s">
        <v>10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267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268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269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278</v>
      </c>
    </row>
    <row r="29" spans="1:16" ht="13" customHeight="1" x14ac:dyDescent="0.3">
      <c r="A29" s="39" t="s">
        <v>279</v>
      </c>
      <c r="B29" s="4" t="s">
        <v>265</v>
      </c>
      <c r="C29" s="4" t="s">
        <v>270</v>
      </c>
      <c r="D29" s="70" t="s">
        <v>109</v>
      </c>
      <c r="E29" s="70" t="s">
        <v>96</v>
      </c>
      <c r="F29" s="70" t="s">
        <v>97</v>
      </c>
      <c r="G29" s="70" t="s">
        <v>98</v>
      </c>
      <c r="H29" s="70" t="s">
        <v>99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87</v>
      </c>
      <c r="C30" s="3" t="s">
        <v>10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267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209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88</v>
      </c>
      <c r="C34" s="3" t="s">
        <v>10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267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209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10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209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91</v>
      </c>
      <c r="C42" s="3" t="s">
        <v>10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267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209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89</v>
      </c>
      <c r="C46" s="3" t="s">
        <v>10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267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209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95</v>
      </c>
      <c r="C50" s="3" t="s">
        <v>10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267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209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271</v>
      </c>
    </row>
    <row r="56" spans="1:16" ht="26" customHeight="1" x14ac:dyDescent="0.3">
      <c r="A56" s="39" t="s">
        <v>121</v>
      </c>
      <c r="B56" s="4" t="s">
        <v>265</v>
      </c>
      <c r="C56" s="69" t="s">
        <v>272</v>
      </c>
      <c r="D56" s="70" t="s">
        <v>122</v>
      </c>
      <c r="E56" s="70" t="s">
        <v>123</v>
      </c>
      <c r="F56" s="70" t="s">
        <v>124</v>
      </c>
      <c r="G56" s="70" t="s">
        <v>125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101</v>
      </c>
      <c r="C57" s="3" t="s">
        <v>273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274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102</v>
      </c>
      <c r="C59" s="3" t="s">
        <v>273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274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273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274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275</v>
      </c>
    </row>
    <row r="65" spans="1:16" ht="26" customHeight="1" x14ac:dyDescent="0.3">
      <c r="A65" s="39" t="s">
        <v>128</v>
      </c>
      <c r="B65" s="4" t="s">
        <v>265</v>
      </c>
      <c r="C65" s="69" t="s">
        <v>276</v>
      </c>
      <c r="D65" s="70" t="s">
        <v>109</v>
      </c>
      <c r="E65" s="70" t="s">
        <v>96</v>
      </c>
      <c r="F65" s="70" t="s">
        <v>97</v>
      </c>
      <c r="G65" s="70" t="s">
        <v>98</v>
      </c>
      <c r="H65" s="81" t="s">
        <v>99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78</v>
      </c>
      <c r="C66" s="3" t="s">
        <v>129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130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131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132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79</v>
      </c>
      <c r="C70" s="3" t="s">
        <v>129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130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131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132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80</v>
      </c>
      <c r="C74" s="3" t="s">
        <v>129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130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131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132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82</v>
      </c>
      <c r="C78" s="3" t="s">
        <v>129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130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131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132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87</v>
      </c>
      <c r="C82" s="3" t="s">
        <v>129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130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131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132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88</v>
      </c>
      <c r="C86" s="3" t="s">
        <v>129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130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131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132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130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131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132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89</v>
      </c>
      <c r="C94" s="3" t="s">
        <v>129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130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131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132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92</v>
      </c>
      <c r="C98" s="3" t="s">
        <v>129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130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131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132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277</v>
      </c>
    </row>
    <row r="104" spans="1:16" ht="26" customHeight="1" x14ac:dyDescent="0.3">
      <c r="A104" s="39" t="s">
        <v>87</v>
      </c>
      <c r="B104" s="82" t="s">
        <v>132</v>
      </c>
      <c r="C104" s="69" t="s">
        <v>276</v>
      </c>
      <c r="D104" s="70" t="s">
        <v>109</v>
      </c>
      <c r="E104" s="70" t="s">
        <v>96</v>
      </c>
      <c r="F104" s="70" t="s">
        <v>97</v>
      </c>
      <c r="G104" s="70" t="s">
        <v>98</v>
      </c>
      <c r="H104" s="81" t="s">
        <v>99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130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131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132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226</v>
      </c>
      <c r="B112" s="1" t="s">
        <v>265</v>
      </c>
      <c r="C112" s="1" t="s">
        <v>266</v>
      </c>
      <c r="D112" s="70" t="s">
        <v>109</v>
      </c>
      <c r="E112" s="70" t="s">
        <v>96</v>
      </c>
      <c r="F112" s="70" t="s">
        <v>97</v>
      </c>
      <c r="G112" s="70" t="s">
        <v>98</v>
      </c>
      <c r="H112" s="70" t="s">
        <v>99</v>
      </c>
    </row>
    <row r="113" spans="1:8" ht="13" customHeight="1" x14ac:dyDescent="0.3">
      <c r="A113" s="4"/>
      <c r="B113" s="8" t="s">
        <v>87</v>
      </c>
      <c r="C113" s="3" t="s">
        <v>10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267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268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269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88</v>
      </c>
      <c r="C117" s="3" t="s">
        <v>10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267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268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269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10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267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268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269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91</v>
      </c>
      <c r="C125" s="3" t="s">
        <v>10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267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268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269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89</v>
      </c>
      <c r="C129" s="3" t="s">
        <v>10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267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268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269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95</v>
      </c>
      <c r="C133" s="3" t="s">
        <v>10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267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268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269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278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279</v>
      </c>
      <c r="B139" s="4" t="s">
        <v>265</v>
      </c>
      <c r="C139" s="4" t="s">
        <v>270</v>
      </c>
      <c r="D139" s="70" t="s">
        <v>109</v>
      </c>
      <c r="E139" s="70" t="s">
        <v>96</v>
      </c>
      <c r="F139" s="70" t="s">
        <v>97</v>
      </c>
      <c r="G139" s="70" t="s">
        <v>98</v>
      </c>
      <c r="H139" s="70" t="s">
        <v>99</v>
      </c>
    </row>
    <row r="140" spans="1:8" ht="13" customHeight="1" x14ac:dyDescent="0.3">
      <c r="A140" s="4"/>
      <c r="B140" s="8" t="s">
        <v>87</v>
      </c>
      <c r="C140" s="3" t="s">
        <v>10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267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209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88</v>
      </c>
      <c r="C144" s="3" t="s">
        <v>10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267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209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10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267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209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91</v>
      </c>
      <c r="C152" s="3" t="s">
        <v>10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267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209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89</v>
      </c>
      <c r="C156" s="3" t="s">
        <v>10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267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209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95</v>
      </c>
      <c r="C160" s="3" t="s">
        <v>10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267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209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271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121</v>
      </c>
      <c r="B166" s="4" t="s">
        <v>265</v>
      </c>
      <c r="C166" s="69" t="s">
        <v>272</v>
      </c>
      <c r="D166" s="70" t="s">
        <v>122</v>
      </c>
      <c r="E166" s="70" t="s">
        <v>123</v>
      </c>
      <c r="F166" s="70" t="s">
        <v>124</v>
      </c>
      <c r="G166" s="70" t="s">
        <v>125</v>
      </c>
      <c r="H166" s="79"/>
    </row>
    <row r="167" spans="1:8" ht="13" customHeight="1" x14ac:dyDescent="0.3">
      <c r="A167" s="4"/>
      <c r="B167" s="8" t="s">
        <v>101</v>
      </c>
      <c r="C167" s="3" t="s">
        <v>273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274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102</v>
      </c>
      <c r="C169" s="3" t="s">
        <v>273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274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273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274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275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128</v>
      </c>
      <c r="B175" s="4" t="s">
        <v>265</v>
      </c>
      <c r="C175" s="69" t="s">
        <v>276</v>
      </c>
      <c r="D175" s="70" t="s">
        <v>109</v>
      </c>
      <c r="E175" s="70" t="s">
        <v>96</v>
      </c>
      <c r="F175" s="70" t="s">
        <v>97</v>
      </c>
      <c r="G175" s="70" t="s">
        <v>98</v>
      </c>
      <c r="H175" s="81" t="s">
        <v>99</v>
      </c>
    </row>
    <row r="176" spans="1:8" ht="13" customHeight="1" x14ac:dyDescent="0.3">
      <c r="A176" s="82"/>
      <c r="B176" s="8" t="s">
        <v>78</v>
      </c>
      <c r="C176" s="3" t="s">
        <v>129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130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131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132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79</v>
      </c>
      <c r="C180" s="3" t="s">
        <v>129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130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131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132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80</v>
      </c>
      <c r="C184" s="3" t="s">
        <v>129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130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131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132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82</v>
      </c>
      <c r="C188" s="3" t="s">
        <v>129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130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131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132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87</v>
      </c>
      <c r="C192" s="3" t="s">
        <v>129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130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131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132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88</v>
      </c>
      <c r="C196" s="3" t="s">
        <v>129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130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131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132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130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131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132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89</v>
      </c>
      <c r="C204" s="3" t="s">
        <v>129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130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131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132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92</v>
      </c>
      <c r="C208" s="3" t="s">
        <v>129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130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131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132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277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87</v>
      </c>
      <c r="B214" s="82" t="s">
        <v>132</v>
      </c>
      <c r="C214" s="69" t="s">
        <v>276</v>
      </c>
      <c r="D214" s="70" t="s">
        <v>109</v>
      </c>
      <c r="E214" s="70" t="s">
        <v>96</v>
      </c>
      <c r="F214" s="70" t="s">
        <v>97</v>
      </c>
      <c r="G214" s="70" t="s">
        <v>98</v>
      </c>
      <c r="H214" s="81" t="s">
        <v>99</v>
      </c>
    </row>
    <row r="215" spans="1:9" ht="13" customHeight="1" x14ac:dyDescent="0.3">
      <c r="A215" s="4"/>
      <c r="C215" s="3" t="s">
        <v>129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130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131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132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226</v>
      </c>
      <c r="B222" s="1" t="s">
        <v>265</v>
      </c>
      <c r="C222" s="1" t="s">
        <v>266</v>
      </c>
      <c r="D222" s="70" t="s">
        <v>109</v>
      </c>
      <c r="E222" s="70" t="s">
        <v>96</v>
      </c>
      <c r="F222" s="70" t="s">
        <v>97</v>
      </c>
      <c r="G222" s="70" t="s">
        <v>98</v>
      </c>
      <c r="H222" s="70" t="s">
        <v>99</v>
      </c>
      <c r="I222" s="79"/>
    </row>
    <row r="223" spans="1:9" ht="13" customHeight="1" x14ac:dyDescent="0.3">
      <c r="A223" s="4"/>
      <c r="B223" s="8" t="s">
        <v>87</v>
      </c>
      <c r="C223" s="3" t="s">
        <v>10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267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268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269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88</v>
      </c>
      <c r="C227" s="3" t="s">
        <v>10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267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268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269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10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267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268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269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91</v>
      </c>
      <c r="C235" s="3" t="s">
        <v>10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267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268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269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89</v>
      </c>
      <c r="C239" s="3" t="s">
        <v>10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267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268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269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95</v>
      </c>
      <c r="C243" s="3" t="s">
        <v>10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267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268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269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278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279</v>
      </c>
      <c r="B249" s="4" t="s">
        <v>265</v>
      </c>
      <c r="C249" s="4" t="s">
        <v>270</v>
      </c>
      <c r="D249" s="70" t="s">
        <v>109</v>
      </c>
      <c r="E249" s="70" t="s">
        <v>96</v>
      </c>
      <c r="F249" s="70" t="s">
        <v>97</v>
      </c>
      <c r="G249" s="70" t="s">
        <v>98</v>
      </c>
      <c r="H249" s="70" t="s">
        <v>99</v>
      </c>
      <c r="I249" s="79"/>
    </row>
    <row r="250" spans="1:9" ht="13" customHeight="1" x14ac:dyDescent="0.3">
      <c r="A250" s="4"/>
      <c r="B250" s="8" t="s">
        <v>87</v>
      </c>
      <c r="C250" s="3" t="s">
        <v>10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267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209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88</v>
      </c>
      <c r="C254" s="3" t="s">
        <v>10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267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209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10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267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209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91</v>
      </c>
      <c r="C262" s="3" t="s">
        <v>10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267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209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89</v>
      </c>
      <c r="C266" s="3" t="s">
        <v>10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267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209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95</v>
      </c>
      <c r="C270" s="3" t="s">
        <v>10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267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209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271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121</v>
      </c>
      <c r="B276" s="4" t="s">
        <v>265</v>
      </c>
      <c r="C276" s="69" t="s">
        <v>272</v>
      </c>
      <c r="D276" s="70" t="s">
        <v>122</v>
      </c>
      <c r="E276" s="70" t="s">
        <v>123</v>
      </c>
      <c r="F276" s="70" t="s">
        <v>124</v>
      </c>
      <c r="G276" s="70" t="s">
        <v>125</v>
      </c>
      <c r="H276" s="79"/>
    </row>
    <row r="277" spans="1:9" ht="13" customHeight="1" x14ac:dyDescent="0.3">
      <c r="A277" s="4"/>
      <c r="B277" s="8" t="s">
        <v>101</v>
      </c>
      <c r="C277" s="3" t="s">
        <v>273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274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102</v>
      </c>
      <c r="C279" s="3" t="s">
        <v>273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274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273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274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275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128</v>
      </c>
      <c r="B285" s="4" t="s">
        <v>265</v>
      </c>
      <c r="C285" s="69" t="s">
        <v>276</v>
      </c>
      <c r="D285" s="70" t="s">
        <v>109</v>
      </c>
      <c r="E285" s="70" t="s">
        <v>96</v>
      </c>
      <c r="F285" s="70" t="s">
        <v>97</v>
      </c>
      <c r="G285" s="70" t="s">
        <v>98</v>
      </c>
      <c r="H285" s="81" t="s">
        <v>99</v>
      </c>
      <c r="I285" s="79"/>
    </row>
    <row r="286" spans="1:9" ht="13" customHeight="1" x14ac:dyDescent="0.3">
      <c r="A286" s="82"/>
      <c r="B286" s="8" t="s">
        <v>78</v>
      </c>
      <c r="C286" s="3" t="s">
        <v>129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130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131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132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79</v>
      </c>
      <c r="C290" s="3" t="s">
        <v>129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130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131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132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80</v>
      </c>
      <c r="C294" s="3" t="s">
        <v>129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130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131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132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82</v>
      </c>
      <c r="C298" s="3" t="s">
        <v>129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130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131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132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87</v>
      </c>
      <c r="C302" s="3" t="s">
        <v>129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130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131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132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88</v>
      </c>
      <c r="C306" s="3" t="s">
        <v>129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130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131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132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130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131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132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89</v>
      </c>
      <c r="C314" s="3" t="s">
        <v>129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130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131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132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92</v>
      </c>
      <c r="C318" s="3" t="s">
        <v>129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130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131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132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277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87</v>
      </c>
      <c r="B324" s="82" t="s">
        <v>132</v>
      </c>
      <c r="C324" s="69" t="s">
        <v>276</v>
      </c>
      <c r="D324" s="70" t="s">
        <v>109</v>
      </c>
      <c r="E324" s="70" t="s">
        <v>96</v>
      </c>
      <c r="F324" s="70" t="s">
        <v>97</v>
      </c>
      <c r="G324" s="70" t="s">
        <v>98</v>
      </c>
      <c r="H324" s="81" t="s">
        <v>99</v>
      </c>
      <c r="I324" s="79"/>
    </row>
    <row r="325" spans="1:9" ht="13" customHeight="1" x14ac:dyDescent="0.3">
      <c r="A325" s="4"/>
      <c r="C325" s="3" t="s">
        <v>129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130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131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132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+yvTdAQcVMOPgatj4TCw04vo44Q7DywJHiReMZyHSvVKo2/Cx0ewlJ69hEmbK9KtWtZdvlGWgf0kfNHIhdBojA==" saltValue="aMrUn4yXPFnE9lOlf6l0M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C8" sqref="C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233</v>
      </c>
    </row>
    <row r="2" spans="1:7" ht="14.25" customHeight="1" x14ac:dyDescent="0.3">
      <c r="A2" s="82" t="s">
        <v>7</v>
      </c>
      <c r="B2" s="1"/>
      <c r="C2" s="4" t="s">
        <v>109</v>
      </c>
      <c r="D2" s="4" t="s">
        <v>96</v>
      </c>
      <c r="E2" s="4" t="s">
        <v>97</v>
      </c>
      <c r="F2" s="4" t="s">
        <v>98</v>
      </c>
      <c r="G2" s="4" t="s">
        <v>99</v>
      </c>
    </row>
    <row r="3" spans="1:7" ht="14.25" customHeight="1" x14ac:dyDescent="0.25">
      <c r="B3" s="11" t="s">
        <v>280</v>
      </c>
      <c r="C3" s="90" t="s">
        <v>11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281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282</v>
      </c>
    </row>
    <row r="6" spans="1:7" ht="14.25" customHeight="1" x14ac:dyDescent="0.25">
      <c r="B6" s="5" t="s">
        <v>192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185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205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184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283</v>
      </c>
    </row>
    <row r="15" spans="1:7" ht="14.25" customHeight="1" x14ac:dyDescent="0.3">
      <c r="A15" s="82" t="s">
        <v>279</v>
      </c>
      <c r="B15" s="5" t="s">
        <v>284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287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121</v>
      </c>
      <c r="B17" s="11" t="s">
        <v>285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288</v>
      </c>
    </row>
    <row r="20" spans="1:7" s="14" customFormat="1" ht="14.25" customHeight="1" x14ac:dyDescent="0.3">
      <c r="C20" s="4" t="s">
        <v>69</v>
      </c>
      <c r="D20" s="4" t="s">
        <v>70</v>
      </c>
      <c r="E20" s="4" t="s">
        <v>71</v>
      </c>
      <c r="F20" s="4" t="s">
        <v>72</v>
      </c>
    </row>
    <row r="21" spans="1:7" x14ac:dyDescent="0.25">
      <c r="B21" s="11" t="s">
        <v>172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233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7</v>
      </c>
      <c r="B25" s="1"/>
      <c r="C25" s="4" t="s">
        <v>109</v>
      </c>
      <c r="D25" s="4" t="s">
        <v>96</v>
      </c>
      <c r="E25" s="4" t="s">
        <v>97</v>
      </c>
      <c r="F25" s="4" t="s">
        <v>98</v>
      </c>
      <c r="G25" s="4" t="s">
        <v>99</v>
      </c>
    </row>
    <row r="26" spans="1:7" x14ac:dyDescent="0.25">
      <c r="B26" s="11" t="s">
        <v>289</v>
      </c>
      <c r="C26" s="90" t="s">
        <v>11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290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291</v>
      </c>
    </row>
    <row r="29" spans="1:7" x14ac:dyDescent="0.25">
      <c r="B29" s="5" t="s">
        <v>292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293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315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294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295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296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283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279</v>
      </c>
      <c r="B38" s="5" t="s">
        <v>297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298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121</v>
      </c>
      <c r="B40" s="11" t="s">
        <v>299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300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69</v>
      </c>
      <c r="D43" s="4" t="s">
        <v>70</v>
      </c>
      <c r="E43" s="4" t="s">
        <v>71</v>
      </c>
      <c r="F43" s="4" t="s">
        <v>72</v>
      </c>
      <c r="G43" s="14"/>
    </row>
    <row r="44" spans="1:7" x14ac:dyDescent="0.25">
      <c r="B44" s="11" t="s">
        <v>301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233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7</v>
      </c>
      <c r="B48" s="1"/>
      <c r="C48" s="4" t="s">
        <v>109</v>
      </c>
      <c r="D48" s="4" t="s">
        <v>96</v>
      </c>
      <c r="E48" s="4" t="s">
        <v>97</v>
      </c>
      <c r="F48" s="4" t="s">
        <v>98</v>
      </c>
      <c r="G48" s="4" t="s">
        <v>99</v>
      </c>
    </row>
    <row r="49" spans="1:7" x14ac:dyDescent="0.25">
      <c r="B49" s="11" t="s">
        <v>302</v>
      </c>
      <c r="C49" s="90" t="s">
        <v>11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303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304</v>
      </c>
    </row>
    <row r="52" spans="1:7" x14ac:dyDescent="0.25">
      <c r="B52" s="5" t="s">
        <v>305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316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307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308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309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283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279</v>
      </c>
      <c r="B61" s="5" t="s">
        <v>310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311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121</v>
      </c>
      <c r="B63" s="11" t="s">
        <v>312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313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69</v>
      </c>
      <c r="D66" s="4" t="s">
        <v>70</v>
      </c>
      <c r="E66" s="4" t="s">
        <v>71</v>
      </c>
      <c r="F66" s="4" t="s">
        <v>72</v>
      </c>
      <c r="G66" s="14"/>
    </row>
    <row r="67" spans="1:7" x14ac:dyDescent="0.25">
      <c r="B67" s="11" t="s">
        <v>314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4BWhwsjooTdvmk0+md/FZlh0qE7L6c17ghZdBsIpq0arQR4uKE9S1T4wCfG3OdjpQ77Z4bvbWKVJKd3cXrFa0w==" saltValue="gWITidJehUcBPSBU12/s8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8" sqref="C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160</v>
      </c>
      <c r="B1" s="4"/>
      <c r="C1" s="4" t="s">
        <v>51</v>
      </c>
      <c r="D1" s="4" t="s">
        <v>53</v>
      </c>
      <c r="E1" s="4" t="s">
        <v>52</v>
      </c>
      <c r="F1" s="1" t="s">
        <v>54</v>
      </c>
    </row>
    <row r="2" spans="1:6" ht="15.75" customHeight="1" x14ac:dyDescent="0.25">
      <c r="A2" s="5" t="s">
        <v>168</v>
      </c>
      <c r="B2" s="5" t="s">
        <v>317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318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180</v>
      </c>
      <c r="B4" s="5" t="s">
        <v>317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318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181</v>
      </c>
      <c r="B6" s="5" t="s">
        <v>317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318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182</v>
      </c>
      <c r="B8" s="5" t="s">
        <v>317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318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186</v>
      </c>
      <c r="B10" s="5" t="s">
        <v>317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318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190</v>
      </c>
      <c r="B12" s="5" t="s">
        <v>317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318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160</v>
      </c>
      <c r="B16" s="4"/>
      <c r="C16" s="4" t="s">
        <v>51</v>
      </c>
      <c r="D16" s="4" t="s">
        <v>53</v>
      </c>
      <c r="E16" s="4" t="s">
        <v>52</v>
      </c>
      <c r="F16" s="1" t="s">
        <v>54</v>
      </c>
    </row>
    <row r="17" spans="1:6" ht="15.75" customHeight="1" x14ac:dyDescent="0.25">
      <c r="A17" s="5" t="s">
        <v>168</v>
      </c>
      <c r="B17" s="5" t="s">
        <v>317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318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180</v>
      </c>
      <c r="B19" s="5" t="s">
        <v>317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318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181</v>
      </c>
      <c r="B21" s="5" t="s">
        <v>317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318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182</v>
      </c>
      <c r="B23" s="5" t="s">
        <v>317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318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186</v>
      </c>
      <c r="B25" s="5" t="s">
        <v>317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318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190</v>
      </c>
      <c r="B27" s="5" t="s">
        <v>317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318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160</v>
      </c>
      <c r="B31" s="4"/>
      <c r="C31" s="4" t="s">
        <v>51</v>
      </c>
      <c r="D31" s="4" t="s">
        <v>53</v>
      </c>
      <c r="E31" s="4" t="s">
        <v>52</v>
      </c>
      <c r="F31" s="1" t="s">
        <v>54</v>
      </c>
    </row>
    <row r="32" spans="1:6" ht="15.75" customHeight="1" x14ac:dyDescent="0.25">
      <c r="A32" s="5" t="s">
        <v>168</v>
      </c>
      <c r="B32" s="5" t="s">
        <v>317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318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180</v>
      </c>
      <c r="B34" s="5" t="s">
        <v>317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318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181</v>
      </c>
      <c r="B36" s="5" t="s">
        <v>317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318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182</v>
      </c>
      <c r="B38" s="5" t="s">
        <v>317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318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186</v>
      </c>
      <c r="B40" s="5" t="s">
        <v>317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318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190</v>
      </c>
      <c r="B42" s="5" t="s">
        <v>317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318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nuSxsMS16VUlOmuKpMujhTL2tXfTE93/NLLwmizqIgkGKpo4Uks3SZ4xOcyMaVQjX7q5jevESaFJnjOwf+9+dQ==" saltValue="dJddMhn0hE0UNHwNTZr2w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8" sqref="C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109</v>
      </c>
      <c r="D1" s="70" t="s">
        <v>96</v>
      </c>
      <c r="E1" s="70" t="s">
        <v>97</v>
      </c>
      <c r="F1" s="70" t="s">
        <v>98</v>
      </c>
      <c r="G1" s="70" t="s">
        <v>99</v>
      </c>
      <c r="H1" s="70" t="s">
        <v>69</v>
      </c>
      <c r="I1" s="70" t="s">
        <v>70</v>
      </c>
      <c r="J1" s="70" t="s">
        <v>71</v>
      </c>
      <c r="K1" s="70" t="s">
        <v>72</v>
      </c>
      <c r="L1" s="70" t="s">
        <v>122</v>
      </c>
      <c r="M1" s="70" t="s">
        <v>123</v>
      </c>
      <c r="N1" s="70" t="s">
        <v>124</v>
      </c>
      <c r="O1" s="70" t="s">
        <v>125</v>
      </c>
    </row>
    <row r="2" spans="1:15" ht="13" customHeight="1" x14ac:dyDescent="0.3">
      <c r="A2" s="4" t="s">
        <v>319</v>
      </c>
    </row>
    <row r="3" spans="1:15" x14ac:dyDescent="0.25">
      <c r="B3" s="11" t="s">
        <v>171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176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177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178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179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180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181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182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185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186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320</v>
      </c>
      <c r="B17" s="11"/>
    </row>
    <row r="18" spans="1:15" x14ac:dyDescent="0.25">
      <c r="B18" s="5" t="s">
        <v>173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174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175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183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109</v>
      </c>
      <c r="D24" s="70" t="s">
        <v>96</v>
      </c>
      <c r="E24" s="70" t="s">
        <v>97</v>
      </c>
      <c r="F24" s="70" t="s">
        <v>98</v>
      </c>
      <c r="G24" s="70" t="s">
        <v>99</v>
      </c>
      <c r="H24" s="70" t="s">
        <v>69</v>
      </c>
      <c r="I24" s="70" t="s">
        <v>70</v>
      </c>
      <c r="J24" s="70" t="s">
        <v>71</v>
      </c>
      <c r="K24" s="70" t="s">
        <v>72</v>
      </c>
      <c r="L24" s="70" t="s">
        <v>122</v>
      </c>
      <c r="M24" s="70" t="s">
        <v>123</v>
      </c>
      <c r="N24" s="70" t="s">
        <v>124</v>
      </c>
      <c r="O24" s="70" t="s">
        <v>125</v>
      </c>
    </row>
    <row r="25" spans="1:15" ht="13" customHeight="1" x14ac:dyDescent="0.3">
      <c r="A25" s="4" t="s">
        <v>321</v>
      </c>
    </row>
    <row r="26" spans="1:15" x14ac:dyDescent="0.25">
      <c r="B26" s="11" t="s">
        <v>171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176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177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178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179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180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181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182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185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186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190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323</v>
      </c>
      <c r="B40" s="11"/>
    </row>
    <row r="41" spans="1:15" x14ac:dyDescent="0.25">
      <c r="B41" s="5" t="s">
        <v>173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174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175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183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109</v>
      </c>
      <c r="D47" s="70" t="s">
        <v>96</v>
      </c>
      <c r="E47" s="70" t="s">
        <v>97</v>
      </c>
      <c r="F47" s="70" t="s">
        <v>98</v>
      </c>
      <c r="G47" s="70" t="s">
        <v>99</v>
      </c>
      <c r="H47" s="70" t="s">
        <v>69</v>
      </c>
      <c r="I47" s="70" t="s">
        <v>70</v>
      </c>
      <c r="J47" s="70" t="s">
        <v>71</v>
      </c>
      <c r="K47" s="70" t="s">
        <v>72</v>
      </c>
      <c r="L47" s="70" t="s">
        <v>122</v>
      </c>
      <c r="M47" s="70" t="s">
        <v>123</v>
      </c>
      <c r="N47" s="70" t="s">
        <v>124</v>
      </c>
      <c r="O47" s="70" t="s">
        <v>125</v>
      </c>
    </row>
    <row r="48" spans="1:15" ht="13" customHeight="1" x14ac:dyDescent="0.3">
      <c r="A48" s="4" t="s">
        <v>322</v>
      </c>
    </row>
    <row r="49" spans="1:15" x14ac:dyDescent="0.25">
      <c r="B49" s="11" t="s">
        <v>171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176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177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178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179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180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181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182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185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186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190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324</v>
      </c>
      <c r="B63" s="11"/>
    </row>
    <row r="64" spans="1:15" x14ac:dyDescent="0.25">
      <c r="B64" s="5" t="s">
        <v>173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174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175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183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krZ+luW0vrsyJIDxakesS7ACnt2eC49zr5ytX1CIsRH/71MytyQZANFwYsyoJiKng+QoKQuRrxl0cMIo8uLbfA==" saltValue="pGVN0jAAEX4wfa/vjFR30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</row>
    <row r="2" spans="1:7" ht="13" customHeight="1" x14ac:dyDescent="0.3">
      <c r="A2" s="4" t="s">
        <v>325</v>
      </c>
    </row>
    <row r="3" spans="1:7" ht="13.25" customHeight="1" x14ac:dyDescent="0.25">
      <c r="B3" s="11" t="s">
        <v>161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326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165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331</v>
      </c>
    </row>
    <row r="8" spans="1:7" ht="13" customHeight="1" x14ac:dyDescent="0.3">
      <c r="A8" s="4"/>
      <c r="B8" s="1"/>
      <c r="C8" s="4" t="s">
        <v>109</v>
      </c>
      <c r="D8" s="4" t="s">
        <v>96</v>
      </c>
      <c r="E8" s="4" t="s">
        <v>97</v>
      </c>
      <c r="F8" s="4" t="s">
        <v>98</v>
      </c>
      <c r="G8" s="4" t="s">
        <v>99</v>
      </c>
    </row>
    <row r="9" spans="1:7" ht="13" customHeight="1" x14ac:dyDescent="0.3">
      <c r="A9" s="4" t="s">
        <v>327</v>
      </c>
    </row>
    <row r="10" spans="1:7" ht="13.25" customHeight="1" x14ac:dyDescent="0.25">
      <c r="B10" s="11" t="s">
        <v>161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328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165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332</v>
      </c>
    </row>
    <row r="15" spans="1:7" ht="13" customHeight="1" x14ac:dyDescent="0.3">
      <c r="A15" s="4"/>
      <c r="B15" s="1"/>
      <c r="C15" s="4" t="s">
        <v>109</v>
      </c>
      <c r="D15" s="4" t="s">
        <v>96</v>
      </c>
      <c r="E15" s="4" t="s">
        <v>97</v>
      </c>
      <c r="F15" s="4" t="s">
        <v>98</v>
      </c>
      <c r="G15" s="4" t="s">
        <v>99</v>
      </c>
    </row>
    <row r="16" spans="1:7" ht="13" customHeight="1" x14ac:dyDescent="0.3">
      <c r="A16" s="4" t="s">
        <v>329</v>
      </c>
    </row>
    <row r="17" spans="1:7" ht="13.25" customHeight="1" x14ac:dyDescent="0.25">
      <c r="B17" s="11" t="s">
        <v>161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330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165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mOCaX1rUIwdm63UUyvVfKUzpyWWzHZf+OxAMRcATis/oS548QPVpAIakY7Sq5ZP7pOqsC9YwXCsf3IYwZY5l2g==" saltValue="byDrutPFWCVD5VOJBT23h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D8" sqref="D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160</v>
      </c>
      <c r="B1" s="4" t="s">
        <v>333</v>
      </c>
      <c r="C1" s="82" t="s">
        <v>12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8" ht="13.25" customHeight="1" x14ac:dyDescent="0.25">
      <c r="A2" s="5" t="s">
        <v>193</v>
      </c>
      <c r="B2" s="5" t="s">
        <v>87</v>
      </c>
      <c r="C2" s="5" t="s">
        <v>334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335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336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192</v>
      </c>
      <c r="B5" s="5" t="s">
        <v>208</v>
      </c>
      <c r="C5" s="5" t="s">
        <v>334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336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209</v>
      </c>
      <c r="C7" s="5" t="s">
        <v>334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336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185</v>
      </c>
      <c r="B9" s="5" t="s">
        <v>208</v>
      </c>
      <c r="C9" s="5" t="s">
        <v>334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336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209</v>
      </c>
      <c r="C11" s="5" t="s">
        <v>334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336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205</v>
      </c>
      <c r="B13" s="5" t="s">
        <v>208</v>
      </c>
      <c r="C13" s="5" t="s">
        <v>334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336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209</v>
      </c>
      <c r="C15" s="5" t="s">
        <v>334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336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170</v>
      </c>
      <c r="B17" s="5" t="s">
        <v>208</v>
      </c>
      <c r="C17" s="5" t="s">
        <v>334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336</v>
      </c>
      <c r="D18" s="90">
        <v>0</v>
      </c>
      <c r="E18" s="90">
        <v>0</v>
      </c>
      <c r="F18" s="90">
        <f>MIN(MAX(1-0.89/(1-frac_sam_6_11months+(frac_sam_6_11months*0.89)),0),1)</f>
        <v>0.10795219454068805</v>
      </c>
      <c r="G18" s="90">
        <f>MIN(MAX(1-0.89/(1-frac_sam_12_23months+(frac_sam_12_23months*0.89)),0),1)</f>
        <v>0.10822925184684662</v>
      </c>
      <c r="H18" s="90">
        <f>MIN(MAX(1-0.89/(1-frac_sam_24_59months+(frac_sam_24_59months*0.89)),0),1)</f>
        <v>0.10807027883070996</v>
      </c>
    </row>
    <row r="19" spans="1:8" ht="13.25" customHeight="1" x14ac:dyDescent="0.25">
      <c r="B19" s="5" t="s">
        <v>209</v>
      </c>
      <c r="C19" s="5" t="s">
        <v>334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336</v>
      </c>
      <c r="D20" s="90">
        <v>0</v>
      </c>
      <c r="E20" s="90">
        <v>0</v>
      </c>
      <c r="F20" s="90">
        <f>MIN(MAX(1-0.89/(1-frac_mam_6_11months+(frac_mam_6_11months*0.89)),0),1)</f>
        <v>0.1014672935109473</v>
      </c>
      <c r="G20" s="90">
        <f>MIN(MAX(1-0.89/(1-frac_mam_12_23months+(frac_mam_12_23months*0.89)),0),1)</f>
        <v>0.10503188791997764</v>
      </c>
      <c r="H20" s="90">
        <f>MIN(MAX(1-0.89/(1-frac_mam_24_59months+(frac_mam_24_59months*0.89)),0),1)</f>
        <v>0.10256341326247764</v>
      </c>
    </row>
    <row r="21" spans="1:8" ht="13.25" customHeight="1" x14ac:dyDescent="0.25">
      <c r="A21" s="5" t="s">
        <v>175</v>
      </c>
      <c r="B21" s="5" t="s">
        <v>84</v>
      </c>
      <c r="C21" s="5" t="s">
        <v>334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335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173</v>
      </c>
      <c r="B23" s="5" t="s">
        <v>84</v>
      </c>
      <c r="C23" s="5" t="s">
        <v>334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335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174</v>
      </c>
      <c r="B25" s="5" t="s">
        <v>84</v>
      </c>
      <c r="C25" s="5" t="s">
        <v>334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335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197</v>
      </c>
      <c r="B27" s="5" t="s">
        <v>87</v>
      </c>
      <c r="C27" s="5" t="s">
        <v>334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335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336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198</v>
      </c>
      <c r="B30" s="5" t="s">
        <v>87</v>
      </c>
      <c r="C30" s="5" t="s">
        <v>334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335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336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196</v>
      </c>
      <c r="B33" s="5" t="s">
        <v>87</v>
      </c>
      <c r="C33" s="5" t="s">
        <v>334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335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336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195</v>
      </c>
      <c r="B36" s="5" t="s">
        <v>87</v>
      </c>
      <c r="C36" s="5" t="s">
        <v>334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335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336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194</v>
      </c>
      <c r="B39" s="5" t="s">
        <v>87</v>
      </c>
      <c r="C39" s="5" t="s">
        <v>334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335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336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200</v>
      </c>
      <c r="B42" s="5" t="s">
        <v>87</v>
      </c>
      <c r="C42" s="5" t="s">
        <v>334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335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336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88</v>
      </c>
      <c r="C45" s="5" t="s">
        <v>334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335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336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191</v>
      </c>
      <c r="B48" s="5" t="s">
        <v>87</v>
      </c>
      <c r="C48" s="5" t="s">
        <v>334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335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87</v>
      </c>
      <c r="C50" s="5" t="s">
        <v>334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335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184</v>
      </c>
      <c r="B52" s="5" t="s">
        <v>82</v>
      </c>
      <c r="C52" s="5" t="s">
        <v>334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335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331</v>
      </c>
      <c r="B55" s="97"/>
      <c r="C55" s="97"/>
    </row>
    <row r="56" spans="1:8" ht="13" customHeight="1" x14ac:dyDescent="0.3">
      <c r="A56" s="4" t="s">
        <v>160</v>
      </c>
      <c r="B56" s="4" t="s">
        <v>333</v>
      </c>
      <c r="C56" s="82" t="s">
        <v>12</v>
      </c>
      <c r="D56" s="4" t="s">
        <v>109</v>
      </c>
      <c r="E56" s="4" t="s">
        <v>96</v>
      </c>
      <c r="F56" s="4" t="s">
        <v>97</v>
      </c>
      <c r="G56" s="4" t="s">
        <v>98</v>
      </c>
      <c r="H56" s="4" t="s">
        <v>99</v>
      </c>
    </row>
    <row r="57" spans="1:8" x14ac:dyDescent="0.25">
      <c r="A57" s="5" t="s">
        <v>193</v>
      </c>
      <c r="B57" s="5" t="s">
        <v>87</v>
      </c>
      <c r="C57" s="5" t="s">
        <v>334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335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336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192</v>
      </c>
      <c r="B60" s="5" t="s">
        <v>208</v>
      </c>
      <c r="C60" s="5" t="s">
        <v>334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336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209</v>
      </c>
      <c r="C62" s="5" t="s">
        <v>334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336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185</v>
      </c>
      <c r="B64" s="5" t="s">
        <v>208</v>
      </c>
      <c r="C64" s="5" t="s">
        <v>334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336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209</v>
      </c>
      <c r="C66" s="5" t="s">
        <v>334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336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205</v>
      </c>
      <c r="B68" s="5" t="s">
        <v>208</v>
      </c>
      <c r="C68" s="5" t="s">
        <v>334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336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209</v>
      </c>
      <c r="C70" s="5" t="s">
        <v>334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336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170</v>
      </c>
      <c r="B72" s="5" t="s">
        <v>208</v>
      </c>
      <c r="C72" s="5" t="s">
        <v>334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336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9.7933508037593153E-3</v>
      </c>
      <c r="G73" s="90">
        <f>MIN(MAX(1-0.99/(1-frac_sam_12_23months+(frac_sam_12_23months*0.99)),0),1)</f>
        <v>9.8212588747244034E-3</v>
      </c>
      <c r="H73" s="90">
        <f>MIN(MAX(1-0.99/(1-frac_sam_24_59months+(frac_sam_24_59months*0.99)),0),1)</f>
        <v>9.8052435443265473E-3</v>
      </c>
    </row>
    <row r="74" spans="1:8" x14ac:dyDescent="0.25">
      <c r="B74" s="5" t="s">
        <v>209</v>
      </c>
      <c r="C74" s="5" t="s">
        <v>334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336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9.1445975035909788E-3</v>
      </c>
      <c r="G75" s="90">
        <f>MIN(MAX(1-0.99/(1-frac_mam_12_23months+(frac_mam_12_23months*0.99)),0),1)</f>
        <v>9.500143256794602E-3</v>
      </c>
      <c r="H75" s="90">
        <f>MIN(MAX(1-0.99/(1-frac_mam_24_59months+(frac_mam_24_59months*0.99)),0),1)</f>
        <v>9.2536549263145806E-3</v>
      </c>
    </row>
    <row r="76" spans="1:8" x14ac:dyDescent="0.25">
      <c r="A76" s="5" t="s">
        <v>175</v>
      </c>
      <c r="B76" s="5" t="s">
        <v>84</v>
      </c>
      <c r="C76" s="5" t="s">
        <v>334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335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173</v>
      </c>
      <c r="B78" s="5" t="s">
        <v>84</v>
      </c>
      <c r="C78" s="5" t="s">
        <v>334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335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174</v>
      </c>
      <c r="B80" s="5" t="s">
        <v>84</v>
      </c>
      <c r="C80" s="5" t="s">
        <v>334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335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87</v>
      </c>
      <c r="C82" s="5" t="s">
        <v>334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335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336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87</v>
      </c>
      <c r="C85" s="5" t="s">
        <v>334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335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336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87</v>
      </c>
      <c r="C88" s="5" t="s">
        <v>334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335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87</v>
      </c>
      <c r="C91" s="5" t="s">
        <v>334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335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87</v>
      </c>
      <c r="C94" s="5" t="s">
        <v>334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335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87</v>
      </c>
      <c r="C97" s="5" t="s">
        <v>334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335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336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88</v>
      </c>
      <c r="C100" s="5" t="s">
        <v>334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335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191</v>
      </c>
      <c r="B103" s="5" t="s">
        <v>87</v>
      </c>
      <c r="C103" s="5" t="s">
        <v>334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335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87</v>
      </c>
      <c r="C105" s="5" t="s">
        <v>334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335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184</v>
      </c>
      <c r="B107" s="5" t="s">
        <v>82</v>
      </c>
      <c r="C107" s="5" t="s">
        <v>334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335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332</v>
      </c>
      <c r="B110" s="97"/>
      <c r="C110" s="97"/>
    </row>
    <row r="111" spans="1:8" ht="13" customHeight="1" x14ac:dyDescent="0.3">
      <c r="A111" s="4" t="s">
        <v>160</v>
      </c>
      <c r="B111" s="4" t="s">
        <v>333</v>
      </c>
      <c r="C111" s="82" t="s">
        <v>12</v>
      </c>
      <c r="D111" s="4" t="s">
        <v>109</v>
      </c>
      <c r="E111" s="4" t="s">
        <v>96</v>
      </c>
      <c r="F111" s="4" t="s">
        <v>97</v>
      </c>
      <c r="G111" s="4" t="s">
        <v>98</v>
      </c>
      <c r="H111" s="4" t="s">
        <v>99</v>
      </c>
    </row>
    <row r="112" spans="1:8" x14ac:dyDescent="0.25">
      <c r="A112" s="5" t="s">
        <v>193</v>
      </c>
      <c r="B112" s="5" t="s">
        <v>87</v>
      </c>
      <c r="C112" s="5" t="s">
        <v>334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335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336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192</v>
      </c>
      <c r="B115" s="5" t="s">
        <v>208</v>
      </c>
      <c r="C115" s="5" t="s">
        <v>334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336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209</v>
      </c>
      <c r="C117" s="5" t="s">
        <v>334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336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185</v>
      </c>
      <c r="B119" s="5" t="s">
        <v>208</v>
      </c>
      <c r="C119" s="5" t="s">
        <v>334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336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209</v>
      </c>
      <c r="C121" s="5" t="s">
        <v>334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336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205</v>
      </c>
      <c r="B123" s="5" t="s">
        <v>208</v>
      </c>
      <c r="C123" s="5" t="s">
        <v>334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336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209</v>
      </c>
      <c r="C125" s="5" t="s">
        <v>334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336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170</v>
      </c>
      <c r="B127" s="5" t="s">
        <v>208</v>
      </c>
      <c r="C127" s="5" t="s">
        <v>334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336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0.19664691669973633</v>
      </c>
      <c r="G128" s="90">
        <f>MIN(MAX(1-0.8/(1-frac_sam_12_23months+(frac_sam_12_23months*0.8)),0),1)</f>
        <v>0.19710131092079097</v>
      </c>
      <c r="H128" s="90">
        <f>MIN(MAX(1-0.8/(1-frac_sam_24_59months+(frac_sam_24_59months*0.8)),0),1)</f>
        <v>0.19684061191509039</v>
      </c>
    </row>
    <row r="129" spans="1:8" x14ac:dyDescent="0.25">
      <c r="B129" s="5" t="s">
        <v>209</v>
      </c>
      <c r="C129" s="5" t="s">
        <v>334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336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0.18594456775009904</v>
      </c>
      <c r="G130" s="90">
        <f>MIN(MAX(1-0.8/(1-frac_mam_12_23months+(frac_mam_12_23months*0.8)),0),1)</f>
        <v>0.19184325783822631</v>
      </c>
      <c r="H130" s="90">
        <f>MIN(MAX(1-0.8/(1-frac_mam_24_59months+(frac_mam_24_59months*0.8)),0),1)</f>
        <v>0.187762570978383</v>
      </c>
    </row>
    <row r="131" spans="1:8" x14ac:dyDescent="0.25">
      <c r="A131" s="5" t="s">
        <v>175</v>
      </c>
      <c r="B131" s="5" t="s">
        <v>84</v>
      </c>
      <c r="C131" s="5" t="s">
        <v>334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335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173</v>
      </c>
      <c r="B133" s="5" t="s">
        <v>84</v>
      </c>
      <c r="C133" s="5" t="s">
        <v>334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335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174</v>
      </c>
      <c r="B135" s="5" t="s">
        <v>84</v>
      </c>
      <c r="C135" s="5" t="s">
        <v>334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335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87</v>
      </c>
      <c r="C137" s="5" t="s">
        <v>334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335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336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87</v>
      </c>
      <c r="C140" s="5" t="s">
        <v>334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335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336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87</v>
      </c>
      <c r="C143" s="5" t="s">
        <v>334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335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336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87</v>
      </c>
      <c r="C146" s="5" t="s">
        <v>334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335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336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87</v>
      </c>
      <c r="C149" s="5" t="s">
        <v>334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335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336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87</v>
      </c>
      <c r="C152" s="5" t="s">
        <v>334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335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336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88</v>
      </c>
      <c r="C155" s="5" t="s">
        <v>334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335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336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191</v>
      </c>
      <c r="B158" s="5" t="s">
        <v>87</v>
      </c>
      <c r="C158" s="5" t="s">
        <v>334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335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87</v>
      </c>
      <c r="C160" s="5" t="s">
        <v>334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335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184</v>
      </c>
      <c r="B162" s="5" t="s">
        <v>82</v>
      </c>
      <c r="C162" s="5" t="s">
        <v>334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335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lU0CI2gkRCgjodZjsm/fShYkSZ8qlZTv9IY8qfks2SH2ClqS9pvA/L/p/TaNhIodNU5DHZ2yDUWRyeK3JfomvQ==" saltValue="6G08RY9eErYxf+8oVZlw6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11" sqref="D1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160</v>
      </c>
      <c r="B1" s="1" t="s">
        <v>333</v>
      </c>
      <c r="C1" s="1"/>
      <c r="D1" s="4" t="s">
        <v>122</v>
      </c>
      <c r="E1" s="4" t="s">
        <v>123</v>
      </c>
      <c r="F1" s="4" t="s">
        <v>124</v>
      </c>
      <c r="G1" s="4" t="s">
        <v>125</v>
      </c>
      <c r="H1" s="4"/>
    </row>
    <row r="2" spans="1:8" ht="13.25" customHeight="1" x14ac:dyDescent="0.25">
      <c r="A2" s="3" t="s">
        <v>169</v>
      </c>
      <c r="B2" s="8" t="s">
        <v>104</v>
      </c>
      <c r="C2" s="3" t="s">
        <v>334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335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188</v>
      </c>
      <c r="B4" s="8" t="s">
        <v>104</v>
      </c>
      <c r="C4" s="3" t="s">
        <v>334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335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187</v>
      </c>
      <c r="B6" s="8" t="s">
        <v>104</v>
      </c>
      <c r="C6" s="3" t="s">
        <v>334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335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331</v>
      </c>
    </row>
    <row r="10" spans="1:8" ht="13" customHeight="1" x14ac:dyDescent="0.3">
      <c r="A10" s="1" t="s">
        <v>160</v>
      </c>
      <c r="B10" s="1" t="s">
        <v>333</v>
      </c>
      <c r="C10" s="1"/>
      <c r="D10" s="4" t="s">
        <v>122</v>
      </c>
      <c r="E10" s="4" t="s">
        <v>123</v>
      </c>
      <c r="F10" s="4" t="s">
        <v>124</v>
      </c>
      <c r="G10" s="4" t="s">
        <v>125</v>
      </c>
    </row>
    <row r="11" spans="1:8" ht="13.25" customHeight="1" x14ac:dyDescent="0.25">
      <c r="A11" s="3" t="s">
        <v>169</v>
      </c>
      <c r="B11" s="8" t="s">
        <v>104</v>
      </c>
      <c r="C11" s="3" t="s">
        <v>334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335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188</v>
      </c>
      <c r="B13" s="8" t="s">
        <v>104</v>
      </c>
      <c r="C13" s="3" t="s">
        <v>334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335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187</v>
      </c>
      <c r="B15" s="8" t="s">
        <v>104</v>
      </c>
      <c r="C15" s="3" t="s">
        <v>334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335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332</v>
      </c>
    </row>
    <row r="19" spans="1:7" ht="13" customHeight="1" x14ac:dyDescent="0.3">
      <c r="A19" s="1" t="s">
        <v>160</v>
      </c>
      <c r="B19" s="1" t="s">
        <v>333</v>
      </c>
      <c r="C19" s="1"/>
      <c r="D19" s="4" t="s">
        <v>122</v>
      </c>
      <c r="E19" s="4" t="s">
        <v>123</v>
      </c>
      <c r="F19" s="4" t="s">
        <v>124</v>
      </c>
      <c r="G19" s="4" t="s">
        <v>125</v>
      </c>
    </row>
    <row r="20" spans="1:7" ht="13.25" customHeight="1" x14ac:dyDescent="0.25">
      <c r="A20" s="3" t="s">
        <v>169</v>
      </c>
      <c r="B20" s="8" t="s">
        <v>104</v>
      </c>
      <c r="C20" s="3" t="s">
        <v>334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335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188</v>
      </c>
      <c r="B22" s="8" t="s">
        <v>104</v>
      </c>
      <c r="C22" s="3" t="s">
        <v>334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335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187</v>
      </c>
      <c r="B24" s="8" t="s">
        <v>104</v>
      </c>
      <c r="C24" s="3" t="s">
        <v>334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335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ZsKYyCtM81w0qLYdGPZXVMM3BTydqm6Mz2QpG6gukcG5kCTip/ONRfJkePGNoCiwOei8r1UP+vU6RttZOXBdGA==" saltValue="BwLgv+3YrcD2lgRliN9Shw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Perte économique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Risques des rés. des naissances</vt:lpstr>
      <vt:lpstr>Risques relatifs</vt:lpstr>
      <vt:lpstr>Rapports des cotes</vt:lpstr>
      <vt:lpstr>Programmes-rés. des naissances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lang=fr</cp:keywords>
  <cp:lastModifiedBy>Tharindu Wickramaarachchi</cp:lastModifiedBy>
  <dcterms:created xsi:type="dcterms:W3CDTF">2017-08-01T10:42:13Z</dcterms:created>
  <dcterms:modified xsi:type="dcterms:W3CDTF">2024-08-06T09:16:51Z</dcterms:modified>
</cp:coreProperties>
</file>