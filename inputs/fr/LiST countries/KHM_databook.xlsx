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315AF688-53E8-4603-B7D3-D0E67C0C588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7" i="2" l="1"/>
  <c r="A31" i="2"/>
  <c r="A36" i="2"/>
  <c r="I7" i="2"/>
  <c r="I13" i="2"/>
  <c r="A34" i="2"/>
  <c r="I6" i="2"/>
  <c r="I12" i="2"/>
  <c r="A35" i="2"/>
  <c r="I39" i="2"/>
  <c r="A24" i="2"/>
  <c r="A40" i="2"/>
  <c r="I4" i="2"/>
  <c r="A25" i="2"/>
  <c r="A19" i="2"/>
  <c r="A22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<sst xmlns="http://schemas.openxmlformats.org/spreadsheetml/2006/main" count="2169" uniqueCount="369">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</sst>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1781459.5</v>
      </c>
    </row>
    <row r="8" spans="1:3" ht="15" customHeight="1" x14ac:dyDescent="0.25">
      <c r="B8" s="5" t="s">
        <v>37</v>
      </c>
      <c r="C8" s="44">
        <v>0.14199999999999999</v>
      </c>
    </row>
    <row r="9" spans="1:3" ht="15" customHeight="1" x14ac:dyDescent="0.25">
      <c r="B9" s="5" t="s">
        <v>38</v>
      </c>
      <c r="C9" s="45">
        <v>0.17799999999999999</v>
      </c>
    </row>
    <row r="10" spans="1:3" ht="15" customHeight="1" x14ac:dyDescent="0.25">
      <c r="B10" s="5" t="s">
        <v>39</v>
      </c>
      <c r="C10" s="45">
        <v>0.81408699039999999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0.1135</v>
      </c>
    </row>
    <row r="24" spans="1:3" ht="15" customHeight="1" x14ac:dyDescent="0.25">
      <c r="B24" s="15" t="s">
        <v>51</v>
      </c>
      <c r="C24" s="45">
        <v>0.59699999999999998</v>
      </c>
    </row>
    <row r="25" spans="1:3" ht="15" customHeight="1" x14ac:dyDescent="0.25">
      <c r="B25" s="15" t="s">
        <v>52</v>
      </c>
      <c r="C25" s="45">
        <v>0.25979999999999998</v>
      </c>
    </row>
    <row r="26" spans="1:3" ht="15" customHeight="1" x14ac:dyDescent="0.25">
      <c r="B26" s="15" t="s">
        <v>53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0.35360940846886901</v>
      </c>
    </row>
    <row r="30" spans="1:3" ht="14.25" customHeight="1" x14ac:dyDescent="0.25">
      <c r="B30" s="25" t="s">
        <v>56</v>
      </c>
      <c r="C30" s="97">
        <v>2.37391160515825E-2</v>
      </c>
    </row>
    <row r="31" spans="1:3" ht="14.25" customHeight="1" x14ac:dyDescent="0.25">
      <c r="B31" s="25" t="s">
        <v>57</v>
      </c>
      <c r="C31" s="97">
        <v>4.6299410961796898E-2</v>
      </c>
    </row>
    <row r="32" spans="1:3" ht="14.25" customHeight="1" x14ac:dyDescent="0.25">
      <c r="B32" s="25" t="s">
        <v>58</v>
      </c>
      <c r="C32" s="97">
        <v>0.57635206451775101</v>
      </c>
    </row>
    <row r="33" spans="1:5" ht="13.25" customHeight="1" x14ac:dyDescent="0.25">
      <c r="B33" s="27" t="s">
        <v>59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12.831490000000001</v>
      </c>
    </row>
    <row r="38" spans="1:5" ht="15" customHeight="1" x14ac:dyDescent="0.25">
      <c r="B38" s="11" t="s">
        <v>63</v>
      </c>
      <c r="C38" s="43">
        <v>21.255769999999998</v>
      </c>
      <c r="D38" s="12"/>
      <c r="E38" s="13"/>
    </row>
    <row r="39" spans="1:5" ht="15" customHeight="1" x14ac:dyDescent="0.25">
      <c r="B39" s="11" t="s">
        <v>64</v>
      </c>
      <c r="C39" s="43">
        <v>24.763559999999998</v>
      </c>
      <c r="D39" s="12"/>
      <c r="E39" s="12"/>
    </row>
    <row r="40" spans="1:5" ht="15" customHeight="1" x14ac:dyDescent="0.25">
      <c r="B40" s="11" t="s">
        <v>65</v>
      </c>
      <c r="C40" s="98">
        <v>2.1800000000000002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5.2859999999999999E-3</v>
      </c>
      <c r="D45" s="12"/>
    </row>
    <row r="46" spans="1:5" ht="15.75" customHeight="1" x14ac:dyDescent="0.25">
      <c r="B46" s="11" t="s">
        <v>70</v>
      </c>
      <c r="C46" s="45">
        <v>5.6797599999999997E-2</v>
      </c>
      <c r="D46" s="12"/>
    </row>
    <row r="47" spans="1:5" ht="15.75" customHeight="1" x14ac:dyDescent="0.25">
      <c r="B47" s="11" t="s">
        <v>71</v>
      </c>
      <c r="C47" s="45">
        <v>7.5974799999999995E-2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1.6120000000000001</v>
      </c>
      <c r="D51" s="12"/>
    </row>
    <row r="52" spans="1:4" ht="15" customHeight="1" x14ac:dyDescent="0.25">
      <c r="B52" s="11" t="s">
        <v>75</v>
      </c>
      <c r="C52" s="98">
        <v>1.6120000000000001</v>
      </c>
    </row>
    <row r="53" spans="1:4" ht="15.75" customHeight="1" x14ac:dyDescent="0.25">
      <c r="B53" s="11" t="s">
        <v>76</v>
      </c>
      <c r="C53" s="98">
        <v>3.1720000000000002</v>
      </c>
    </row>
    <row r="54" spans="1:4" ht="15.75" customHeight="1" x14ac:dyDescent="0.25">
      <c r="B54" s="11" t="s">
        <v>77</v>
      </c>
      <c r="C54" s="98">
        <v>2.34</v>
      </c>
    </row>
    <row r="55" spans="1:4" ht="15.75" customHeight="1" x14ac:dyDescent="0.25">
      <c r="B55" s="11" t="s">
        <v>78</v>
      </c>
      <c r="C55" s="98">
        <v>1.031333333333333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0.47050399999999998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0.1144900477</v>
      </c>
    </row>
    <row r="63" spans="1:4" ht="15.75" customHeight="1" x14ac:dyDescent="0.3">
      <c r="A63" s="4"/>
    </row>
  </sheetData>
  <sheetProtection algorithmName="SHA-512" hashValue="CzFxRYSkzIamKVN8QNtyrJWYfXjGIkG1Lua2eOwNd1m/x3dew4F6Y5McciTd2Izd+71i7JuMI/PDyDs67IuSKg==" saltValue="FwixiF7C8ask4/4+TIyX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310610</v>
      </c>
      <c r="C2" s="49">
        <v>911915</v>
      </c>
      <c r="D2" s="49">
        <v>1342319</v>
      </c>
      <c r="E2" s="49">
        <v>1422995.5</v>
      </c>
      <c r="F2" s="49">
        <v>786848</v>
      </c>
      <c r="G2" s="17">
        <f t="shared" ref="G2:G13" si="0">C2+D2+E2+F2</f>
        <v>4464077.5</v>
      </c>
      <c r="H2" s="17">
        <f t="shared" ref="H2:H13" si="1">(B2 + stillbirth*B2/(1000-stillbirth))/(1-abortion)</f>
        <v>357040.23806354741</v>
      </c>
      <c r="I2" s="17">
        <f t="shared" ref="I2:I13" si="2">G2-H2</f>
        <v>4107037.2619364527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307406</v>
      </c>
      <c r="C3" s="50">
        <v>920790.99999999988</v>
      </c>
      <c r="D3" s="50">
        <v>1343114</v>
      </c>
      <c r="E3" s="50">
        <v>1419868.5</v>
      </c>
      <c r="F3" s="50">
        <v>846354</v>
      </c>
      <c r="G3" s="17">
        <f t="shared" si="0"/>
        <v>4530127.5</v>
      </c>
      <c r="H3" s="17">
        <f t="shared" si="1"/>
        <v>353357.30151045643</v>
      </c>
      <c r="I3" s="17">
        <f t="shared" si="2"/>
        <v>4176770.1984895435</v>
      </c>
    </row>
    <row r="4" spans="1:9" ht="15.75" customHeight="1" x14ac:dyDescent="0.25">
      <c r="A4" s="5">
        <f t="shared" si="3"/>
        <v>2026</v>
      </c>
      <c r="B4" s="49">
        <v>305439</v>
      </c>
      <c r="C4" s="50">
        <v>928851.5</v>
      </c>
      <c r="D4" s="50">
        <v>1353975.5</v>
      </c>
      <c r="E4" s="50">
        <v>1407444</v>
      </c>
      <c r="F4" s="50">
        <v>915445</v>
      </c>
      <c r="G4" s="17">
        <f t="shared" si="0"/>
        <v>4605716</v>
      </c>
      <c r="H4" s="17">
        <f t="shared" si="1"/>
        <v>351096.27273394889</v>
      </c>
      <c r="I4" s="17">
        <f t="shared" si="2"/>
        <v>4254619.7272660509</v>
      </c>
    </row>
    <row r="5" spans="1:9" ht="15.75" customHeight="1" x14ac:dyDescent="0.25">
      <c r="A5" s="5">
        <f t="shared" si="3"/>
        <v>2027</v>
      </c>
      <c r="B5" s="49">
        <v>302873</v>
      </c>
      <c r="C5" s="50">
        <v>935617.99999999977</v>
      </c>
      <c r="D5" s="50">
        <v>1377387.5</v>
      </c>
      <c r="E5" s="50">
        <v>1384139</v>
      </c>
      <c r="F5" s="50">
        <v>993388.50000000012</v>
      </c>
      <c r="G5" s="17">
        <f t="shared" si="0"/>
        <v>4690533</v>
      </c>
      <c r="H5" s="17">
        <f t="shared" si="1"/>
        <v>348146.70494517498</v>
      </c>
      <c r="I5" s="17">
        <f t="shared" si="2"/>
        <v>4342386.295054825</v>
      </c>
    </row>
    <row r="6" spans="1:9" ht="15.75" customHeight="1" x14ac:dyDescent="0.25">
      <c r="A6" s="5">
        <f t="shared" si="3"/>
        <v>2028</v>
      </c>
      <c r="B6" s="49">
        <v>302793</v>
      </c>
      <c r="C6" s="50">
        <v>940971.5</v>
      </c>
      <c r="D6" s="50">
        <v>1401247.5</v>
      </c>
      <c r="E6" s="50">
        <v>1361697.5</v>
      </c>
      <c r="F6" s="50">
        <v>1071877.5</v>
      </c>
      <c r="G6" s="17">
        <f t="shared" si="0"/>
        <v>4775794</v>
      </c>
      <c r="H6" s="17">
        <f t="shared" si="1"/>
        <v>348054.74647942994</v>
      </c>
      <c r="I6" s="17">
        <f t="shared" si="2"/>
        <v>4427739.2535205698</v>
      </c>
    </row>
    <row r="7" spans="1:9" ht="15.75" customHeight="1" x14ac:dyDescent="0.25">
      <c r="A7" s="5">
        <f t="shared" si="3"/>
        <v>2029</v>
      </c>
      <c r="B7" s="49">
        <v>302612</v>
      </c>
      <c r="C7" s="50">
        <v>945708.5</v>
      </c>
      <c r="D7" s="50">
        <v>1418721</v>
      </c>
      <c r="E7" s="50">
        <v>1347437.5</v>
      </c>
      <c r="F7" s="50">
        <v>1135227.5</v>
      </c>
      <c r="G7" s="17">
        <f t="shared" si="0"/>
        <v>4847094.5</v>
      </c>
      <c r="H7" s="17">
        <f t="shared" si="1"/>
        <v>347846.69045068161</v>
      </c>
      <c r="I7" s="17">
        <f t="shared" si="2"/>
        <v>4499247.8095493186</v>
      </c>
    </row>
    <row r="8" spans="1:9" ht="15.75" customHeight="1" x14ac:dyDescent="0.25">
      <c r="A8" s="5">
        <f t="shared" si="3"/>
        <v>2030</v>
      </c>
      <c r="B8" s="49">
        <v>301287</v>
      </c>
      <c r="C8" s="50">
        <v>949339.5</v>
      </c>
      <c r="D8" s="50">
        <v>1436537.5</v>
      </c>
      <c r="E8" s="50">
        <v>1333776</v>
      </c>
      <c r="F8" s="50">
        <v>1174424.5</v>
      </c>
      <c r="G8" s="17">
        <f t="shared" si="0"/>
        <v>4894077.5</v>
      </c>
      <c r="H8" s="17">
        <f t="shared" si="1"/>
        <v>346323.62836177851</v>
      </c>
      <c r="I8" s="17">
        <f t="shared" si="2"/>
        <v>4547753.8716382217</v>
      </c>
    </row>
    <row r="9" spans="1:9" ht="15.75" customHeight="1" x14ac:dyDescent="0.25">
      <c r="A9" s="5">
        <f t="shared" si="3"/>
        <v>2031</v>
      </c>
      <c r="B9" s="49">
        <v>301412</v>
      </c>
      <c r="C9" s="50">
        <v>951471</v>
      </c>
      <c r="D9" s="50">
        <v>1453922</v>
      </c>
      <c r="E9" s="50">
        <v>1319653.5</v>
      </c>
      <c r="F9" s="50">
        <v>1198350</v>
      </c>
      <c r="G9" s="17">
        <f t="shared" si="0"/>
        <v>4923396.5</v>
      </c>
      <c r="H9" s="17">
        <f t="shared" si="1"/>
        <v>346467.31346450525</v>
      </c>
      <c r="I9" s="17">
        <f t="shared" si="2"/>
        <v>4576929.1865354944</v>
      </c>
    </row>
    <row r="10" spans="1:9" ht="15.75" customHeight="1" x14ac:dyDescent="0.25">
      <c r="A10" s="5">
        <f t="shared" si="3"/>
        <v>2032</v>
      </c>
      <c r="B10" s="49">
        <v>300939</v>
      </c>
      <c r="C10" s="50">
        <v>950725.49999999988</v>
      </c>
      <c r="D10" s="50">
        <v>1470589.5</v>
      </c>
      <c r="E10" s="50">
        <v>1307751</v>
      </c>
      <c r="F10" s="50">
        <v>1218081.5</v>
      </c>
      <c r="G10" s="17">
        <f t="shared" si="0"/>
        <v>4947147.5</v>
      </c>
      <c r="H10" s="17">
        <f t="shared" si="1"/>
        <v>345923.60903578735</v>
      </c>
      <c r="I10" s="17">
        <f t="shared" si="2"/>
        <v>4601223.8909642128</v>
      </c>
    </row>
    <row r="11" spans="1:9" ht="15.75" customHeight="1" x14ac:dyDescent="0.25">
      <c r="A11" s="5">
        <f t="shared" si="3"/>
        <v>2033</v>
      </c>
      <c r="B11" s="49">
        <v>300709</v>
      </c>
      <c r="C11" s="50">
        <v>946866</v>
      </c>
      <c r="D11" s="50">
        <v>1486777.5</v>
      </c>
      <c r="E11" s="50">
        <v>1298314.5</v>
      </c>
      <c r="F11" s="50">
        <v>1231389.5</v>
      </c>
      <c r="G11" s="17">
        <f t="shared" si="0"/>
        <v>4963347.5</v>
      </c>
      <c r="H11" s="17">
        <f t="shared" si="1"/>
        <v>345659.22844677023</v>
      </c>
      <c r="I11" s="17">
        <f t="shared" si="2"/>
        <v>4617688.2715532295</v>
      </c>
    </row>
    <row r="12" spans="1:9" ht="15.75" customHeight="1" x14ac:dyDescent="0.25">
      <c r="A12" s="5">
        <f t="shared" si="3"/>
        <v>2034</v>
      </c>
      <c r="B12" s="49">
        <v>301733</v>
      </c>
      <c r="C12" s="50">
        <v>940687</v>
      </c>
      <c r="D12" s="50">
        <v>1501924.5</v>
      </c>
      <c r="E12" s="50">
        <v>1292318.5</v>
      </c>
      <c r="F12" s="50">
        <v>1238678</v>
      </c>
      <c r="G12" s="17">
        <f t="shared" si="0"/>
        <v>4973608</v>
      </c>
      <c r="H12" s="17">
        <f t="shared" si="1"/>
        <v>346836.29680830741</v>
      </c>
      <c r="I12" s="17">
        <f t="shared" si="2"/>
        <v>4626771.7031916929</v>
      </c>
    </row>
    <row r="13" spans="1:9" ht="15.75" customHeight="1" x14ac:dyDescent="0.25">
      <c r="A13" s="5">
        <f t="shared" si="3"/>
        <v>2035</v>
      </c>
      <c r="B13" s="49">
        <v>301170</v>
      </c>
      <c r="C13" s="50">
        <v>932518</v>
      </c>
      <c r="D13" s="50">
        <v>1514953</v>
      </c>
      <c r="E13" s="50">
        <v>1293469</v>
      </c>
      <c r="F13" s="50">
        <v>1240815</v>
      </c>
      <c r="G13" s="17">
        <f t="shared" si="0"/>
        <v>4981755</v>
      </c>
      <c r="H13" s="17">
        <f t="shared" si="1"/>
        <v>346189.13910562632</v>
      </c>
      <c r="I13" s="17">
        <f t="shared" si="2"/>
        <v>4635565.8608943736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43xmLzKzhKbc5PlT2Yx9FPe3CUEuYqea8oHjsw3nr+N5dq2C1Wrz8aiwCaE/gYljdxZznmmBNg/r7JQacEyiQ==" saltValue="wBxocO8N5TrHl9kBuO9Te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4.6268999999999928E-3</v>
      </c>
    </row>
    <row r="4" spans="1:8" ht="15.75" customHeight="1" x14ac:dyDescent="0.25">
      <c r="B4" s="19" t="s">
        <v>97</v>
      </c>
      <c r="C4" s="99">
        <v>5.4811399999999962E-2</v>
      </c>
    </row>
    <row r="5" spans="1:8" ht="15.75" customHeight="1" x14ac:dyDescent="0.25">
      <c r="B5" s="19" t="s">
        <v>98</v>
      </c>
      <c r="C5" s="99">
        <v>5.0352800000000079E-2</v>
      </c>
    </row>
    <row r="6" spans="1:8" ht="15.75" customHeight="1" x14ac:dyDescent="0.25">
      <c r="B6" s="19" t="s">
        <v>99</v>
      </c>
      <c r="C6" s="99">
        <v>0.2002200999999994</v>
      </c>
    </row>
    <row r="7" spans="1:8" ht="15.75" customHeight="1" x14ac:dyDescent="0.25">
      <c r="B7" s="19" t="s">
        <v>100</v>
      </c>
      <c r="C7" s="99">
        <v>0.44372300000000048</v>
      </c>
    </row>
    <row r="8" spans="1:8" ht="15.75" customHeight="1" x14ac:dyDescent="0.25">
      <c r="B8" s="19" t="s">
        <v>101</v>
      </c>
      <c r="C8" s="99">
        <v>6.0170000000000048E-4</v>
      </c>
    </row>
    <row r="9" spans="1:8" ht="15.75" customHeight="1" x14ac:dyDescent="0.25">
      <c r="B9" s="19" t="s">
        <v>102</v>
      </c>
      <c r="C9" s="99">
        <v>0.15703459999999991</v>
      </c>
    </row>
    <row r="10" spans="1:8" ht="15.75" customHeight="1" x14ac:dyDescent="0.25">
      <c r="B10" s="19" t="s">
        <v>103</v>
      </c>
      <c r="C10" s="99">
        <v>8.8629500000000097E-2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106</v>
      </c>
      <c r="C15" s="99">
        <v>0.27034716125610042</v>
      </c>
      <c r="D15" s="99">
        <v>0.27034716125610042</v>
      </c>
      <c r="E15" s="99">
        <v>0.27034716125610042</v>
      </c>
      <c r="F15" s="99">
        <v>0.27034716125610042</v>
      </c>
    </row>
    <row r="16" spans="1:8" ht="15.75" customHeight="1" x14ac:dyDescent="0.25">
      <c r="B16" s="19" t="s">
        <v>107</v>
      </c>
      <c r="C16" s="99">
        <v>8.5757967093804868E-3</v>
      </c>
      <c r="D16" s="99">
        <v>8.5757967093804868E-3</v>
      </c>
      <c r="E16" s="99">
        <v>8.5757967093804868E-3</v>
      </c>
      <c r="F16" s="99">
        <v>8.5757967093804868E-3</v>
      </c>
    </row>
    <row r="17" spans="1:8" ht="15.75" customHeight="1" x14ac:dyDescent="0.25">
      <c r="B17" s="19" t="s">
        <v>108</v>
      </c>
      <c r="C17" s="99">
        <v>1.267147177193201E-2</v>
      </c>
      <c r="D17" s="99">
        <v>1.267147177193201E-2</v>
      </c>
      <c r="E17" s="99">
        <v>1.267147177193201E-2</v>
      </c>
      <c r="F17" s="99">
        <v>1.267147177193201E-2</v>
      </c>
    </row>
    <row r="18" spans="1:8" ht="15.75" customHeight="1" x14ac:dyDescent="0.25">
      <c r="B18" s="19" t="s">
        <v>109</v>
      </c>
      <c r="C18" s="99">
        <v>6.3469102387174016E-3</v>
      </c>
      <c r="D18" s="99">
        <v>6.3469102387174016E-3</v>
      </c>
      <c r="E18" s="99">
        <v>6.3469102387174016E-3</v>
      </c>
      <c r="F18" s="99">
        <v>6.3469102387174016E-3</v>
      </c>
    </row>
    <row r="19" spans="1:8" ht="15.75" customHeight="1" x14ac:dyDescent="0.25">
      <c r="B19" s="19" t="s">
        <v>110</v>
      </c>
      <c r="C19" s="99">
        <v>5.9720748190468909E-2</v>
      </c>
      <c r="D19" s="99">
        <v>5.9720748190468909E-2</v>
      </c>
      <c r="E19" s="99">
        <v>5.9720748190468909E-2</v>
      </c>
      <c r="F19" s="99">
        <v>5.9720748190468909E-2</v>
      </c>
    </row>
    <row r="20" spans="1:8" ht="15.75" customHeight="1" x14ac:dyDescent="0.25">
      <c r="B20" s="19" t="s">
        <v>111</v>
      </c>
      <c r="C20" s="99">
        <v>1.390684585984274E-2</v>
      </c>
      <c r="D20" s="99">
        <v>1.390684585984274E-2</v>
      </c>
      <c r="E20" s="99">
        <v>1.390684585984274E-2</v>
      </c>
      <c r="F20" s="99">
        <v>1.390684585984274E-2</v>
      </c>
    </row>
    <row r="21" spans="1:8" ht="15.75" customHeight="1" x14ac:dyDescent="0.25">
      <c r="B21" s="19" t="s">
        <v>112</v>
      </c>
      <c r="C21" s="99">
        <v>0.12955471305520669</v>
      </c>
      <c r="D21" s="99">
        <v>0.12955471305520669</v>
      </c>
      <c r="E21" s="99">
        <v>0.12955471305520669</v>
      </c>
      <c r="F21" s="99">
        <v>0.12955471305520669</v>
      </c>
    </row>
    <row r="22" spans="1:8" ht="15.75" customHeight="1" x14ac:dyDescent="0.25">
      <c r="B22" s="19" t="s">
        <v>113</v>
      </c>
      <c r="C22" s="99">
        <v>0.13467830644681281</v>
      </c>
      <c r="D22" s="99">
        <v>0.13467830644681281</v>
      </c>
      <c r="E22" s="99">
        <v>0.13467830644681281</v>
      </c>
      <c r="F22" s="99">
        <v>0.13467830644681281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4.7776088999999987E-2</v>
      </c>
    </row>
    <row r="27" spans="1:8" ht="15.75" customHeight="1" x14ac:dyDescent="0.25">
      <c r="B27" s="19" t="s">
        <v>120</v>
      </c>
      <c r="C27" s="99">
        <v>1.8197206E-2</v>
      </c>
    </row>
    <row r="28" spans="1:8" ht="15.75" customHeight="1" x14ac:dyDescent="0.25">
      <c r="B28" s="19" t="s">
        <v>121</v>
      </c>
      <c r="C28" s="99">
        <v>0.22881369300000001</v>
      </c>
    </row>
    <row r="29" spans="1:8" ht="15.75" customHeight="1" x14ac:dyDescent="0.25">
      <c r="B29" s="19" t="s">
        <v>122</v>
      </c>
      <c r="C29" s="99">
        <v>0.13822648400000001</v>
      </c>
    </row>
    <row r="30" spans="1:8" ht="15.75" customHeight="1" x14ac:dyDescent="0.25">
      <c r="B30" s="19" t="s">
        <v>2</v>
      </c>
      <c r="C30" s="99">
        <v>5.0121434999999999E-2</v>
      </c>
    </row>
    <row r="31" spans="1:8" ht="15.75" customHeight="1" x14ac:dyDescent="0.25">
      <c r="B31" s="19" t="s">
        <v>123</v>
      </c>
      <c r="C31" s="99">
        <v>6.9180167000000001E-2</v>
      </c>
    </row>
    <row r="32" spans="1:8" ht="15.75" customHeight="1" x14ac:dyDescent="0.25">
      <c r="B32" s="19" t="s">
        <v>124</v>
      </c>
      <c r="C32" s="99">
        <v>0.14697111700000001</v>
      </c>
    </row>
    <row r="33" spans="2:3" ht="15.75" customHeight="1" x14ac:dyDescent="0.25">
      <c r="B33" s="19" t="s">
        <v>125</v>
      </c>
      <c r="C33" s="99">
        <v>0.122692382</v>
      </c>
    </row>
    <row r="34" spans="2:3" ht="15.75" customHeight="1" x14ac:dyDescent="0.25">
      <c r="B34" s="19" t="s">
        <v>126</v>
      </c>
      <c r="C34" s="99">
        <v>0.17802142600000001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E9omsgBPW/qtNpzB6hakfLYxVTPIKhAOhNQxpX2KeMIscZNi7EiT1xbYVtOCBDA9I6RDIIdwkEIk+16ux4lcJg==" saltValue="OSXvnPjYr2TVeTRRcJY1T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132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133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137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138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jn3gEFHvXL6r1gBubfjGMyjGZ4f9BCgSVRNq0WE2Dj7Oc4tnZ81/WQY9Zc/kLQwudYkacedBssQmEMAeSu/dw==" saltValue="gSjob50inetOkNKc4TSm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0.19904269999999991</v>
      </c>
      <c r="D5" s="52">
        <f t="shared" si="0"/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iktv1iQwLhroXx5B67aRzE3o+00pcY8pN9JlEnO7QVGZYXdRJMoXx/Uq0W/ygeFz1w/tyfftUtTDOXh+XsU8GA==" saltValue="R7XWGtcbXgTUSmZQlP79j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oIHXIoORIMuA1cKMgBqEkaku52zWtJI0/Hvxy2HFXkNoeNYMi/9HGfp+Aywwj1eTU25Hd5uLjoVsTIjtVf2kg==" saltValue="cyMD7CsIfggymAiNTfUxD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1759.6080234604401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0.42314000000000002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0.73861999999999994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1.9184676845374407E-2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97269.828099999999</v>
      </c>
      <c r="C22" s="107">
        <v>96983.273650000003</v>
      </c>
      <c r="D22" s="107">
        <v>96811.436279999994</v>
      </c>
      <c r="E22" s="107">
        <v>96358.799939999997</v>
      </c>
      <c r="F22" s="107">
        <v>95741.665299999993</v>
      </c>
      <c r="G22" s="107">
        <v>95080.704729999998</v>
      </c>
      <c r="H22" s="107">
        <v>94271.259430000006</v>
      </c>
      <c r="I22" s="107">
        <v>93129.812300000005</v>
      </c>
      <c r="J22" s="107">
        <v>91427.028510000004</v>
      </c>
      <c r="K22" s="107">
        <v>88877.14301</v>
      </c>
      <c r="L22" s="107">
        <v>85063.655830000003</v>
      </c>
      <c r="M22" s="107">
        <v>79673.528420000002</v>
      </c>
      <c r="N22" s="107">
        <v>72185.250419999997</v>
      </c>
      <c r="O22" s="107">
        <v>61999.453289999998</v>
      </c>
    </row>
  </sheetData>
  <sheetProtection algorithmName="SHA-512" hashValue="asEGgW0yY/aZVcNApu/YBpAoF+HpGmUOFi1FN26Y5n0h/P8iEGLbPLd96sqqkb4aSW+sDg4EA0E+4R1kvwvTWg==" saltValue="pkYZ1VJFkh3wXoDPWqw/X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kbFOrDIEHArWtZbrowmqv73EvhmN94fhrdeLb5cBY53sKWRHn4XeFRHYYC7jcWNe6cuLk56kV6/33mjpr/cMRw==" saltValue="q6AasIKv3q0XNyFuuqnzc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cuy/hN7JNQdYJ2Ta4sOzciDQXNx54+U4YARvmdSLWCps2wgtwIh2ngzT412mTorXt4l/Zq9fk/NC6GzGH7hWPA==" saltValue="xJTMnaFUte8GT7wGuBCVA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0.63782823352220286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1.812651550310735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0.89073059999999993</v>
      </c>
      <c r="C10" s="96">
        <v>0.95</v>
      </c>
      <c r="D10" s="56">
        <v>13.57902668055927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13.57902668055927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13.57902668055927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13.57902668055927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0.89073059999999993</v>
      </c>
      <c r="C14" s="96">
        <v>0.95</v>
      </c>
      <c r="D14" s="56">
        <v>13.57902668055927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13.57902668055927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4.1250299999999997E-2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0.64700000000000002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0.48294340000000002</v>
      </c>
      <c r="C19" s="96">
        <v>0.95</v>
      </c>
      <c r="D19" s="56">
        <v>3.014096374602512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4.50575E-2</v>
      </c>
      <c r="C23" s="96">
        <v>0.95</v>
      </c>
      <c r="D23" s="56">
        <v>4.4856136591440912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0.69694892887370008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3.7000000000000012E-2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0.28605269999999999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0.48644500000000002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2.46E-2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0.39700000000000002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0.83350530000000012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0.30354370000000003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0.1965143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0.34371230000000003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9.5000000000000001E-2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UjyBJi6E7RpV4gcTtpv9oMtkFP5IuHhvx8N+ACq1gyzZCGPGy45pn8xetneim4vFEYYrQNRY8YrKtvGBtSi8Yg==" saltValue="CCoS5DKVtJ7xsY3+ukxl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+tA9NiVar7x2+JnAhX1VdBgKkfO4Y0+G3vgysaKK2ulaAdj+4iwZmMSll4Zf3kEvWiaKOGIzx+yQ8TLXJgN7w==" saltValue="64yNT/VZMMKtsrRz0qa0j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u8f9YoBEzvjn+5kNt5xl/gNssaDT6I45e2QBZwpNf9m525Y0a0C2Necdet1XWpMU/WVp7uR5qQbePLsslYpsQ==" saltValue="D2nv7YZRu0BmB5sGG331I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1.6120000000000001</v>
      </c>
      <c r="C2" s="21">
        <f>'Données pop de l''année de ref'!C52</f>
        <v>1.6120000000000001</v>
      </c>
      <c r="D2" s="21">
        <f>'Données pop de l''année de ref'!C53</f>
        <v>3.1720000000000002</v>
      </c>
      <c r="E2" s="21">
        <f>'Données pop de l''année de ref'!C54</f>
        <v>2.34</v>
      </c>
      <c r="F2" s="21">
        <f>'Données pop de l''année de ref'!C55</f>
        <v>1.031333333333333</v>
      </c>
    </row>
    <row r="3" spans="1:6" ht="15.75" customHeight="1" x14ac:dyDescent="0.25">
      <c r="A3" s="3" t="s">
        <v>238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237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sheetProtection algorithmName="SHA-512" hashValue="3UsW6GsxotJEUof2vuFjOU8M8VQaYdxNvQkYhjsXy8CrVDA5hFND+aNykjdo8gfRkYUwFgotiSSD2nukkPFBEg==" saltValue="J2Yjwxw5ktdFsyQX+RpNu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0.14199999999999999</v>
      </c>
      <c r="F2" s="60">
        <f>food_insecure</f>
        <v>0.14199999999999999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3.4438181818181812E-2</v>
      </c>
      <c r="D7" s="60">
        <f>diarrhoea_1_5mo*frac_diarrhea_severe</f>
        <v>3.4438181818181812E-2</v>
      </c>
      <c r="E7" s="60">
        <f>diarrhoea_6_11mo*frac_diarrhea_severe</f>
        <v>6.7765454545454532E-2</v>
      </c>
      <c r="F7" s="60">
        <f>diarrhoea_12_23mo*frac_diarrhea_severe</f>
        <v>4.9990909090909079E-2</v>
      </c>
      <c r="G7" s="60">
        <f>diarrhoea_24_59mo*frac_diarrhea_severe</f>
        <v>2.203303030303029E-2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3.4438181818181812E-2</v>
      </c>
      <c r="D12" s="60">
        <f>diarrhoea_1_5mo*frac_diarrhea_severe</f>
        <v>3.4438181818181812E-2</v>
      </c>
      <c r="E12" s="60">
        <f>diarrhoea_6_11mo*frac_diarrhea_severe</f>
        <v>6.7765454545454532E-2</v>
      </c>
      <c r="F12" s="60">
        <f>diarrhoea_12_23mo*frac_diarrhea_severe</f>
        <v>4.9990909090909079E-2</v>
      </c>
      <c r="G12" s="60">
        <f>diarrhoea_24_59mo*frac_diarrhea_severe</f>
        <v>2.203303030303029E-2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0.14199999999999999</v>
      </c>
      <c r="I15" s="60">
        <f t="shared" si="0"/>
        <v>0.14199999999999999</v>
      </c>
      <c r="J15" s="60">
        <f t="shared" si="0"/>
        <v>0.14199999999999999</v>
      </c>
      <c r="K15" s="60">
        <f t="shared" si="0"/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0.14199999999999999</v>
      </c>
      <c r="I16" s="60">
        <f t="shared" si="0"/>
        <v>0.14199999999999999</v>
      </c>
      <c r="J16" s="60">
        <f t="shared" si="0"/>
        <v>0.14199999999999999</v>
      </c>
      <c r="K16" s="60">
        <f t="shared" si="0"/>
        <v>0.14199999999999999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0.17799999999999999</v>
      </c>
      <c r="D34" s="60">
        <f t="shared" si="4"/>
        <v>0.17799999999999999</v>
      </c>
      <c r="E34" s="60">
        <f t="shared" si="4"/>
        <v>0.17799999999999999</v>
      </c>
      <c r="F34" s="60">
        <f t="shared" si="4"/>
        <v>0.17799999999999999</v>
      </c>
      <c r="G34" s="60">
        <f t="shared" si="4"/>
        <v>0.17799999999999999</v>
      </c>
      <c r="H34" s="60">
        <f t="shared" si="4"/>
        <v>0.17799999999999999</v>
      </c>
      <c r="I34" s="60">
        <f t="shared" si="4"/>
        <v>0.17799999999999999</v>
      </c>
      <c r="J34" s="60">
        <f t="shared" si="4"/>
        <v>0.17799999999999999</v>
      </c>
      <c r="K34" s="60">
        <f t="shared" si="4"/>
        <v>0.17799999999999999</v>
      </c>
      <c r="L34" s="60">
        <f t="shared" si="4"/>
        <v>0.17799999999999999</v>
      </c>
      <c r="M34" s="60">
        <f t="shared" si="4"/>
        <v>0.17799999999999999</v>
      </c>
      <c r="N34" s="60">
        <f t="shared" si="4"/>
        <v>0.17799999999999999</v>
      </c>
      <c r="O34" s="60">
        <f t="shared" si="4"/>
        <v>0.17799999999999999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686Il/T31j34JDo69o3Wh2nbQqY3uslbxy3GKICXvpV6WNsCcUI+AtFODSVS24s1mBKHAcJpZlep7Zj770ltA==" saltValue="jR9F+0QyYUM8rwmSrJscv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tqUfoyP1RokBxhClBudlyncYiSnPzJShD4a9bV3vjvWIs7cKMPR0d0KlXA/FcgQddGX2rdMyfMr5BTMX5D82zQ==" saltValue="LI2BBQfghmLpxsDK0tvUb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jmfMu03iXSAGTGXJ0g3k5fTnJ4EdqrMqjh/Fkw57WTUPVOk0YOLsv/UxBD7RqylNeiR6ZAMTZr4mfXRfh50Pw==" saltValue="gaGk+f/x8NvBfiqDlEjPI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0AFGs0ubee6z28P+ZwKaeZsl7ZsT55Yd4cxaheuYBTY7uZUblk2/Hn7WuQb70+F7AUuxf0441Qi9tpXcsgECw==" saltValue="cRbFTznQ9kNYOwCfgAfzI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kUNy6CjTZ/RrQ1PZoAW9fgGzPY508Q0ws7JrUvyf5Mp2zHm5itryICkaKBCOUz3kcERhW1LBr9pEezogTJBC1A==" saltValue="qrSaD1jN9wSJLoYVioAL7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JEbn0m2qReXb2EAdmtEhwZHDnO4F9XVfNgaX5w6xLszyTdNTmpgX+PUM8ahhzlIuTnDqlgGM6+XoaW/wivclZQ==" saltValue="4aYRurmepUuz3ySFamoej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biCXdwcw/r/MbI69zq5JNZbHIa4TbrgoqRkCD04669Q5Kudtt243Uzhj8ak32DgG+6fg2pT9zBNduap/hghlQ==" saltValue="8C3OzHR0ytXkr/FNdZqqa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Qrod0cB1JG0y1cbD8eamy4tXIiM9vkEpJmjWAQQjbVqxTIzE1GqTW1WnoZ9PqkYBC/OnsXR195IHQuRea8LZyA==" saltValue="F/a4/VWWTFJ+Fl20LvoA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aW0ZCgaT8oLayAi/Rrd6AHL4LKD4yGTZhlWkQWtfFS0r6sTBq3aEDrOwXVtfCZWGAVKX0yBymdOzryBWotJWw==" saltValue="E4CM9IfHChEP22V9jD+K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IHDrOZ4N8mqV/Vm6djwaRhObUGX67xfVFQsy276ZrDAVLhY0NHIGTcppCAaHJ1JLP+tWzjxsMM9+nE7gJybuQ==" saltValue="3pwI76eoHGXpmfgU+9wc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HGs9Xguufv9SSGov2aXIHYQqfgl7UZLafWpcef/doIRMdvuLMRgKypEOM2vKEiKHXcTQYU5s8/REPPswXew9A==" saltValue="ZsQ04X0TFUN8zMEyDz65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4OUkkN3fuD0KetWsFsjh5Et5ee3QPCiJrrHlpKhBwcCMKh0hy8Z+Tj1i9vLuvenOOjvmVcvTeYqDnvKnOjBFng==" saltValue="xVQla9HKsxsOMTtFpJYC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gIDcDQ77jZvJcJG7I1rNaD09Dv5IDjZmkguleo2a5n+MRU5P5kV3cz66X+2e3D+lmTvriSUsTEuQ7NATqY3Lw==" saltValue="lGlvGtt69kMvV71R4Cv2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ZdEiSbU2w+6y1NYQpKfC+PpkAcAMuihIP8FIAhUGM28qWl7aYAZmD/sXErTDbvT1EMC+xlFXaw8jEMJEBgvbgg==" saltValue="IfmAyL6Pu81c/9ek/vvG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4HV5qRu4J7CoNzEHl8MC4lAsOQhAn3kEATQ/cJjqwL8TJlN3f1T1aXX/ghethd5EYj7J4e6yDWV05mKmbY0zA==" saltValue="okeCCuBRPHeYsdl9+AFJA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2026-04-29T06:11:37Z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