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DB8CF52-9DC7-49AE-99E6-ADB777DCAB9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33" i="2"/>
  <c r="A31" i="2"/>
  <c r="A26" i="2"/>
  <c r="A18" i="2"/>
  <c r="A17" i="2"/>
  <c r="H13" i="2"/>
  <c r="I13" i="2" s="1"/>
  <c r="G13" i="2"/>
  <c r="H12" i="2"/>
  <c r="I12" i="2" s="1"/>
  <c r="G12" i="2"/>
  <c r="I11" i="2"/>
  <c r="H11" i="2"/>
  <c r="G11" i="2"/>
  <c r="H10" i="2"/>
  <c r="I10" i="2" s="1"/>
  <c r="G10" i="2"/>
  <c r="H9" i="2"/>
  <c r="I9" i="2" s="1"/>
  <c r="G9" i="2"/>
  <c r="H8" i="2"/>
  <c r="I8" i="2" s="1"/>
  <c r="G8" i="2"/>
  <c r="I7" i="2"/>
  <c r="H7" i="2"/>
  <c r="G7" i="2"/>
  <c r="H6" i="2"/>
  <c r="I6" i="2" s="1"/>
  <c r="G6" i="2"/>
  <c r="H5" i="2"/>
  <c r="I5" i="2" s="1"/>
  <c r="G5" i="2"/>
  <c r="I4" i="2"/>
  <c r="H4" i="2"/>
  <c r="G4" i="2"/>
  <c r="H3" i="2"/>
  <c r="I3" i="2" s="1"/>
  <c r="G3" i="2"/>
  <c r="H2" i="2"/>
  <c r="I2" i="2" s="1"/>
  <c r="G2" i="2"/>
  <c r="A2" i="2"/>
  <c r="A40" i="2" s="1"/>
  <c r="C33" i="1"/>
  <c r="C20" i="1"/>
  <c r="A3" i="2" l="1"/>
  <c r="A15" i="2"/>
  <c r="A34" i="2"/>
  <c r="A23" i="2"/>
  <c r="A25" i="2"/>
  <c r="A39" i="2"/>
  <c r="A16" i="2"/>
  <c r="A24" i="2"/>
  <c r="A32" i="2"/>
  <c r="A19" i="2"/>
  <c r="A27" i="2"/>
  <c r="A35" i="2"/>
  <c r="A20" i="2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<sst xmlns="http://schemas.openxmlformats.org/spreadsheetml/2006/main" count="2101" uniqueCount="337">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</sst>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503774.5703125</v>
      </c>
    </row>
    <row r="8" spans="1:3" ht="15" customHeight="1" x14ac:dyDescent="0.25">
      <c r="B8" s="5" t="s">
        <v>19</v>
      </c>
      <c r="C8" s="44">
        <v>0.45200000000000001</v>
      </c>
    </row>
    <row r="9" spans="1:3" ht="15" customHeight="1" x14ac:dyDescent="0.25">
      <c r="B9" s="5" t="s">
        <v>20</v>
      </c>
      <c r="C9" s="45">
        <v>0.16</v>
      </c>
    </row>
    <row r="10" spans="1:3" ht="15" customHeight="1" x14ac:dyDescent="0.25">
      <c r="B10" s="5" t="s">
        <v>21</v>
      </c>
      <c r="C10" s="45">
        <v>0.41391979217529301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0.12809999999999999</v>
      </c>
    </row>
    <row r="24" spans="1:3" ht="15" customHeight="1" x14ac:dyDescent="0.25">
      <c r="B24" s="15" t="s">
        <v>33</v>
      </c>
      <c r="C24" s="45">
        <v>0.52129999999999999</v>
      </c>
    </row>
    <row r="25" spans="1:3" ht="15" customHeight="1" x14ac:dyDescent="0.25">
      <c r="B25" s="15" t="s">
        <v>34</v>
      </c>
      <c r="C25" s="45">
        <v>0.2964</v>
      </c>
    </row>
    <row r="26" spans="1:3" ht="15" customHeight="1" x14ac:dyDescent="0.25">
      <c r="B26" s="15" t="s">
        <v>35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</v>
      </c>
    </row>
    <row r="30" spans="1:3" ht="14.25" customHeight="1" x14ac:dyDescent="0.25">
      <c r="B30" s="25" t="s">
        <v>38</v>
      </c>
      <c r="C30" s="99">
        <v>0</v>
      </c>
    </row>
    <row r="31" spans="1:3" ht="14.25" customHeight="1" x14ac:dyDescent="0.25">
      <c r="B31" s="25" t="s">
        <v>39</v>
      </c>
      <c r="C31" s="99">
        <v>0</v>
      </c>
    </row>
    <row r="32" spans="1:3" ht="14.25" customHeight="1" x14ac:dyDescent="0.25">
      <c r="B32" s="25" t="s">
        <v>40</v>
      </c>
      <c r="C32" s="99">
        <v>0</v>
      </c>
    </row>
    <row r="33" spans="1:5" ht="13" customHeight="1" x14ac:dyDescent="0.25">
      <c r="B33" s="27" t="s">
        <v>41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17.335930000000001</v>
      </c>
    </row>
    <row r="38" spans="1:5" ht="15" customHeight="1" x14ac:dyDescent="0.25">
      <c r="B38" s="11" t="s">
        <v>45</v>
      </c>
      <c r="C38" s="43">
        <v>28.94961</v>
      </c>
      <c r="D38" s="12"/>
      <c r="E38" s="13"/>
    </row>
    <row r="39" spans="1:5" ht="15" customHeight="1" x14ac:dyDescent="0.25">
      <c r="B39" s="11" t="s">
        <v>46</v>
      </c>
      <c r="C39" s="43">
        <v>38.091560000000001</v>
      </c>
      <c r="D39" s="12"/>
      <c r="E39" s="12"/>
    </row>
    <row r="40" spans="1:5" ht="15" customHeight="1" x14ac:dyDescent="0.25">
      <c r="B40" s="11" t="s">
        <v>47</v>
      </c>
      <c r="C40" s="100">
        <v>3.22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7.9316999999999999E-3</v>
      </c>
      <c r="D45" s="12"/>
    </row>
    <row r="46" spans="1:5" ht="15.75" customHeight="1" x14ac:dyDescent="0.25">
      <c r="B46" s="11" t="s">
        <v>52</v>
      </c>
      <c r="C46" s="45">
        <v>8.5224899999999992E-2</v>
      </c>
      <c r="D46" s="12"/>
    </row>
    <row r="47" spans="1:5" ht="15.75" customHeight="1" x14ac:dyDescent="0.25">
      <c r="B47" s="11" t="s">
        <v>53</v>
      </c>
      <c r="C47" s="45">
        <v>7.3457800000000004E-2</v>
      </c>
      <c r="D47" s="12"/>
      <c r="E47" s="13"/>
    </row>
    <row r="48" spans="1:5" ht="15" customHeight="1" x14ac:dyDescent="0.25">
      <c r="B48" s="11" t="s">
        <v>54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0.50167899999999999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0.10321427</v>
      </c>
    </row>
    <row r="63" spans="1:4" ht="15.75" customHeight="1" x14ac:dyDescent="0.3">
      <c r="A63" s="4"/>
    </row>
  </sheetData>
  <sheetProtection algorithmName="SHA-512" hashValue="G9SnFjZb4ax6j7/ni3Aj8s2N98qjVtP2Xdrpw/36OLkp9SI8hydFEZDsI567Cj0T6GNXKwqQrMSGpiR0kL6aZQ==" saltValue="J5R24RtLBCTLOQlOn04e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28210</v>
      </c>
      <c r="C2" s="49">
        <v>78249</v>
      </c>
      <c r="D2" s="49">
        <v>105532.5</v>
      </c>
      <c r="E2" s="49">
        <v>95414</v>
      </c>
      <c r="F2" s="49">
        <v>51882</v>
      </c>
      <c r="G2" s="17">
        <f t="shared" ref="G2:G13" si="0">C2+D2+E2+F2</f>
        <v>331077.5</v>
      </c>
      <c r="H2" s="17">
        <f t="shared" ref="H2:H13" si="1">(B2 + stillbirth*B2/(1000-stillbirth))/(1-abortion)</f>
        <v>32582.622864910503</v>
      </c>
      <c r="I2" s="17">
        <f t="shared" ref="I2:I13" si="2">G2-H2</f>
        <v>298494.87713508948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28228</v>
      </c>
      <c r="C3" s="50">
        <v>79431.999999999985</v>
      </c>
      <c r="D3" s="50">
        <v>106479</v>
      </c>
      <c r="E3" s="50">
        <v>96245</v>
      </c>
      <c r="F3" s="50">
        <v>54683</v>
      </c>
      <c r="G3" s="17">
        <f t="shared" si="0"/>
        <v>336839</v>
      </c>
      <c r="H3" s="17">
        <f t="shared" si="1"/>
        <v>32603.412911403535</v>
      </c>
      <c r="I3" s="17">
        <f t="shared" si="2"/>
        <v>304235.58708859648</v>
      </c>
    </row>
    <row r="4" spans="1:9" ht="15.75" customHeight="1" x14ac:dyDescent="0.25">
      <c r="A4" s="5">
        <f t="shared" si="3"/>
        <v>2026</v>
      </c>
      <c r="B4" s="49">
        <v>28126</v>
      </c>
      <c r="C4" s="50">
        <v>80536.499999999985</v>
      </c>
      <c r="D4" s="50">
        <v>108238.5</v>
      </c>
      <c r="E4" s="50">
        <v>96404.5</v>
      </c>
      <c r="F4" s="50">
        <v>57623</v>
      </c>
      <c r="G4" s="17">
        <f t="shared" si="0"/>
        <v>342802.5</v>
      </c>
      <c r="H4" s="17">
        <f t="shared" si="1"/>
        <v>32485.602647943029</v>
      </c>
      <c r="I4" s="17">
        <f t="shared" si="2"/>
        <v>310316.89735205699</v>
      </c>
    </row>
    <row r="5" spans="1:9" ht="15.75" customHeight="1" x14ac:dyDescent="0.25">
      <c r="A5" s="5">
        <f t="shared" si="3"/>
        <v>2027</v>
      </c>
      <c r="B5" s="49">
        <v>28243</v>
      </c>
      <c r="C5" s="50">
        <v>81536.499999999985</v>
      </c>
      <c r="D5" s="50">
        <v>110359</v>
      </c>
      <c r="E5" s="50">
        <v>96399</v>
      </c>
      <c r="F5" s="50">
        <v>60538</v>
      </c>
      <c r="G5" s="17">
        <f t="shared" si="0"/>
        <v>348832.5</v>
      </c>
      <c r="H5" s="17">
        <f t="shared" si="1"/>
        <v>32620.737950147726</v>
      </c>
      <c r="I5" s="17">
        <f t="shared" si="2"/>
        <v>316211.76204985229</v>
      </c>
    </row>
    <row r="6" spans="1:9" ht="15.75" customHeight="1" x14ac:dyDescent="0.25">
      <c r="A6" s="5">
        <f t="shared" si="3"/>
        <v>2028</v>
      </c>
      <c r="B6" s="49">
        <v>28210</v>
      </c>
      <c r="C6" s="50">
        <v>82222.000000000015</v>
      </c>
      <c r="D6" s="50">
        <v>112937</v>
      </c>
      <c r="E6" s="50">
        <v>96319.5</v>
      </c>
      <c r="F6" s="50">
        <v>63387.5</v>
      </c>
      <c r="G6" s="17">
        <f t="shared" si="0"/>
        <v>354866</v>
      </c>
      <c r="H6" s="17">
        <f t="shared" si="1"/>
        <v>32582.622864910503</v>
      </c>
      <c r="I6" s="17">
        <f t="shared" si="2"/>
        <v>322283.37713508948</v>
      </c>
    </row>
    <row r="7" spans="1:9" ht="15.75" customHeight="1" x14ac:dyDescent="0.25">
      <c r="A7" s="5">
        <f t="shared" si="3"/>
        <v>2029</v>
      </c>
      <c r="B7" s="49">
        <v>28373</v>
      </c>
      <c r="C7" s="50">
        <v>82560</v>
      </c>
      <c r="D7" s="50">
        <v>115786</v>
      </c>
      <c r="E7" s="50">
        <v>96295</v>
      </c>
      <c r="F7" s="50">
        <v>66144</v>
      </c>
      <c r="G7" s="17">
        <f t="shared" si="0"/>
        <v>360785</v>
      </c>
      <c r="H7" s="17">
        <f t="shared" si="1"/>
        <v>32770.888285930727</v>
      </c>
      <c r="I7" s="17">
        <f t="shared" si="2"/>
        <v>328014.11171406927</v>
      </c>
    </row>
    <row r="8" spans="1:9" ht="15.75" customHeight="1" x14ac:dyDescent="0.25">
      <c r="A8" s="5">
        <f t="shared" si="3"/>
        <v>2030</v>
      </c>
      <c r="B8" s="49">
        <v>28426</v>
      </c>
      <c r="C8" s="50">
        <v>82802.5</v>
      </c>
      <c r="D8" s="50">
        <v>118668</v>
      </c>
      <c r="E8" s="50">
        <v>96542.5</v>
      </c>
      <c r="F8" s="50">
        <v>68904</v>
      </c>
      <c r="G8" s="17">
        <f t="shared" si="0"/>
        <v>366917</v>
      </c>
      <c r="H8" s="17">
        <f t="shared" si="1"/>
        <v>32832.103422826869</v>
      </c>
      <c r="I8" s="17">
        <f t="shared" si="2"/>
        <v>334084.89657717315</v>
      </c>
    </row>
    <row r="9" spans="1:9" ht="15.75" customHeight="1" x14ac:dyDescent="0.25">
      <c r="A9" s="5">
        <f t="shared" si="3"/>
        <v>2031</v>
      </c>
      <c r="B9" s="49">
        <v>28520</v>
      </c>
      <c r="C9" s="50">
        <v>82957</v>
      </c>
      <c r="D9" s="50">
        <v>121671.5</v>
      </c>
      <c r="E9" s="50">
        <v>97045.5</v>
      </c>
      <c r="F9" s="50">
        <v>71516.5</v>
      </c>
      <c r="G9" s="17">
        <f t="shared" si="0"/>
        <v>373190.5</v>
      </c>
      <c r="H9" s="17">
        <f t="shared" si="1"/>
        <v>32940.673665623806</v>
      </c>
      <c r="I9" s="17">
        <f t="shared" si="2"/>
        <v>340249.82633437618</v>
      </c>
    </row>
    <row r="10" spans="1:9" ht="15.75" customHeight="1" x14ac:dyDescent="0.25">
      <c r="A10" s="5">
        <f t="shared" si="3"/>
        <v>2032</v>
      </c>
      <c r="B10" s="49">
        <v>28650</v>
      </c>
      <c r="C10" s="50">
        <v>82899</v>
      </c>
      <c r="D10" s="50">
        <v>124865</v>
      </c>
      <c r="E10" s="50">
        <v>97584.5</v>
      </c>
      <c r="F10" s="50">
        <v>73933</v>
      </c>
      <c r="G10" s="17">
        <f t="shared" si="0"/>
        <v>379281.5</v>
      </c>
      <c r="H10" s="17">
        <f t="shared" si="1"/>
        <v>33090.824001406807</v>
      </c>
      <c r="I10" s="17">
        <f t="shared" si="2"/>
        <v>346190.67599859321</v>
      </c>
    </row>
    <row r="11" spans="1:9" ht="15.75" customHeight="1" x14ac:dyDescent="0.25">
      <c r="A11" s="5">
        <f t="shared" si="3"/>
        <v>2033</v>
      </c>
      <c r="B11" s="49">
        <v>28895</v>
      </c>
      <c r="C11" s="50">
        <v>82622.5</v>
      </c>
      <c r="D11" s="50">
        <v>128029</v>
      </c>
      <c r="E11" s="50">
        <v>98270</v>
      </c>
      <c r="F11" s="50">
        <v>76313.5</v>
      </c>
      <c r="G11" s="17">
        <f t="shared" si="0"/>
        <v>385235</v>
      </c>
      <c r="H11" s="17">
        <f t="shared" si="1"/>
        <v>33373.799634228606</v>
      </c>
      <c r="I11" s="17">
        <f t="shared" si="2"/>
        <v>351861.20036577142</v>
      </c>
    </row>
    <row r="12" spans="1:9" ht="15.75" customHeight="1" x14ac:dyDescent="0.25">
      <c r="A12" s="5">
        <f t="shared" si="3"/>
        <v>2034</v>
      </c>
      <c r="B12" s="49">
        <v>29025</v>
      </c>
      <c r="C12" s="50">
        <v>82179</v>
      </c>
      <c r="D12" s="50">
        <v>130855.5</v>
      </c>
      <c r="E12" s="50">
        <v>99392.5</v>
      </c>
      <c r="F12" s="50">
        <v>78494</v>
      </c>
      <c r="G12" s="17">
        <f t="shared" si="0"/>
        <v>390921</v>
      </c>
      <c r="H12" s="17">
        <f t="shared" si="1"/>
        <v>33523.949970011607</v>
      </c>
      <c r="I12" s="17">
        <f t="shared" si="2"/>
        <v>357397.0500299884</v>
      </c>
    </row>
    <row r="13" spans="1:9" ht="15.75" customHeight="1" x14ac:dyDescent="0.25">
      <c r="A13" s="5">
        <f t="shared" si="3"/>
        <v>2035</v>
      </c>
      <c r="B13" s="49">
        <v>29169</v>
      </c>
      <c r="C13" s="50">
        <v>81660</v>
      </c>
      <c r="D13" s="50">
        <v>133218</v>
      </c>
      <c r="E13" s="50">
        <v>101447.5</v>
      </c>
      <c r="F13" s="50">
        <v>80335.5</v>
      </c>
      <c r="G13" s="17">
        <f t="shared" si="0"/>
        <v>396661</v>
      </c>
      <c r="H13" s="17">
        <f t="shared" si="1"/>
        <v>33690.270341955853</v>
      </c>
      <c r="I13" s="17">
        <f t="shared" si="2"/>
        <v>362970.72965804418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a7+Wr3FEO5mQLxsGhmciuLwX0r3PoVLvzcVBHifQoZN7AET4squVQCPXg5zXaIMjg5CLu6L14c8i7Rq43hXPg==" saltValue="HOREkuV0o0LrY64+g6OB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9.54159904584009E-3</v>
      </c>
    </row>
    <row r="4" spans="1:8" ht="15.75" customHeight="1" x14ac:dyDescent="0.25">
      <c r="B4" s="19" t="s">
        <v>79</v>
      </c>
      <c r="C4" s="101">
        <v>6.4930893506910725E-2</v>
      </c>
    </row>
    <row r="5" spans="1:8" ht="15.75" customHeight="1" x14ac:dyDescent="0.25">
      <c r="B5" s="19" t="s">
        <v>80</v>
      </c>
      <c r="C5" s="101">
        <v>8.333079166692095E-2</v>
      </c>
    </row>
    <row r="6" spans="1:8" ht="15.75" customHeight="1" x14ac:dyDescent="0.25">
      <c r="B6" s="19" t="s">
        <v>81</v>
      </c>
      <c r="C6" s="101">
        <v>0.24122667587733301</v>
      </c>
    </row>
    <row r="7" spans="1:8" ht="15.75" customHeight="1" x14ac:dyDescent="0.25">
      <c r="B7" s="19" t="s">
        <v>82</v>
      </c>
      <c r="C7" s="101">
        <v>0.41004985899501339</v>
      </c>
    </row>
    <row r="8" spans="1:8" ht="15.75" customHeight="1" x14ac:dyDescent="0.25">
      <c r="B8" s="19" t="s">
        <v>83</v>
      </c>
      <c r="C8" s="101">
        <v>1.193399880660011E-3</v>
      </c>
    </row>
    <row r="9" spans="1:8" ht="15.75" customHeight="1" x14ac:dyDescent="0.25">
      <c r="B9" s="19" t="s">
        <v>84</v>
      </c>
      <c r="C9" s="101">
        <v>8.1527291847270894E-2</v>
      </c>
    </row>
    <row r="10" spans="1:8" ht="15.75" customHeight="1" x14ac:dyDescent="0.25">
      <c r="B10" s="19" t="s">
        <v>85</v>
      </c>
      <c r="C10" s="101">
        <v>0.108199489180051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88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89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90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91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92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93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94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95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8.7620265000000017E-2</v>
      </c>
    </row>
    <row r="27" spans="1:8" ht="15.75" customHeight="1" x14ac:dyDescent="0.25">
      <c r="B27" s="19" t="s">
        <v>102</v>
      </c>
      <c r="C27" s="101">
        <v>8.4936790000000005E-3</v>
      </c>
    </row>
    <row r="28" spans="1:8" ht="15.75" customHeight="1" x14ac:dyDescent="0.25">
      <c r="B28" s="19" t="s">
        <v>103</v>
      </c>
      <c r="C28" s="101">
        <v>0.15420750799999999</v>
      </c>
    </row>
    <row r="29" spans="1:8" ht="15.75" customHeight="1" x14ac:dyDescent="0.25">
      <c r="B29" s="19" t="s">
        <v>104</v>
      </c>
      <c r="C29" s="101">
        <v>0.168404365</v>
      </c>
    </row>
    <row r="30" spans="1:8" ht="15.75" customHeight="1" x14ac:dyDescent="0.25">
      <c r="B30" s="19" t="s">
        <v>2</v>
      </c>
      <c r="C30" s="101">
        <v>0.105568509</v>
      </c>
    </row>
    <row r="31" spans="1:8" ht="15.75" customHeight="1" x14ac:dyDescent="0.25">
      <c r="B31" s="19" t="s">
        <v>105</v>
      </c>
      <c r="C31" s="101">
        <v>0.10981025899999999</v>
      </c>
    </row>
    <row r="32" spans="1:8" ht="15.75" customHeight="1" x14ac:dyDescent="0.25">
      <c r="B32" s="19" t="s">
        <v>106</v>
      </c>
      <c r="C32" s="101">
        <v>1.8832593000000002E-2</v>
      </c>
    </row>
    <row r="33" spans="2:3" ht="15.75" customHeight="1" x14ac:dyDescent="0.25">
      <c r="B33" s="19" t="s">
        <v>107</v>
      </c>
      <c r="C33" s="101">
        <v>8.4520607999999997E-2</v>
      </c>
    </row>
    <row r="34" spans="2:3" ht="15.75" customHeight="1" x14ac:dyDescent="0.25">
      <c r="B34" s="19" t="s">
        <v>108</v>
      </c>
      <c r="C34" s="101">
        <v>0.26254221300000002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T6evQ2kam6L0LOPjfiExTmpdTkFoyGGPWnrvbh9foGXtCSs3Xh9RcZJKjgvPZbbJf79PgYggteXdZt9gXr1brQ==" saltValue="54yiN+oC5rU7pHatqJoq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115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119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120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Zs/LQeLrv+L3cIVSaOdg+TodhYcrC14lhNTfICl2o+j9v73iPUQnhtDKkAK4ywnULb/3zVeBS/0hvm9/iofpw==" saltValue="qRuuDI9QQjYnl+1QE+hL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132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BNJ14F0zTwVSFU4NqWX+JRYpEBpee5WyGB6q6tJwnfErTsINgXwbJMajQKNFna+DSmO5s/dBXbFMuW2K6DC0Rw==" saltValue="s2uxkcDpkbRE9Zriu9HT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3Dw6k34E2bVPqNZ92XlQZaYpi8WkrjmV6DixT0WQA1MH2WLbw3ae1ejjkaOsG9dbLA/pS/hja9Y4o8N/n4VRg==" saltValue="sAezBNPHrqXACMhTi1m/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unw72sy9+gQ6NQ5eMj5LAOKGVw6JULG0kn6eSliOaC3Hre5YNsDrfqWEMeeqdqyInjIjsV1MoZROnJGqgprTw==" saltValue="7uIF3l3f9v71bTrQmY/ez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JDexyHJK1L/rkHk45evWYsorsHIO7ZvlXecaUiHrhou8oRbTqhtLxBD/c9zWfzfhnWvY4MGCeH33baR3E/2/Q==" saltValue="CLx/F6Hn1GeaRbNRd8os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VUWUp3pIEecZ2mpAYBbx6Z7mCUU8KJFiK5OSpq2Q79hWMSMzmcEqHd8mIxakQkWlTaDkU4QxwyslnoAjIHkEA==" saltValue="jPkqjbtLLeXMhEI7fuEO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49.266516263145533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39.683720380903551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277.01994750756228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0.76214099246628997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12.81601982469946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12.81601982469946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12.81601982469946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12.81601982469946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12.81601982469946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12.81601982469946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0.14499999999999999</v>
      </c>
      <c r="C16" s="98">
        <v>0.95</v>
      </c>
      <c r="D16" s="56">
        <v>0.51560582851631831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0.25800000000000001</v>
      </c>
      <c r="C18" s="98">
        <v>0.95</v>
      </c>
      <c r="D18" s="56">
        <v>6.4276517687842469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0.25800000000000001</v>
      </c>
      <c r="C19" s="98">
        <v>0.95</v>
      </c>
      <c r="D19" s="56">
        <v>6.4276517687842469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6.3700694345543054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22.013507436034541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0.70900000000000007</v>
      </c>
      <c r="C23" s="98">
        <v>0.95</v>
      </c>
      <c r="D23" s="56">
        <v>4.1567379002909028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0.24025928639999999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18.37373470672004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0.434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0.42499999999999999</v>
      </c>
      <c r="C29" s="98">
        <v>0.95</v>
      </c>
      <c r="D29" s="56">
        <v>93.648037947344875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0.27944402791567008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1.1023285790628059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4.1510025254524336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kwdH6TEsWenegFl90w0/NxwNGf9Y5TmidKamR1h66O4mKc+TYXXabc7dw621pGvUuq1JB2nP9H8kqks/ajhLLA==" saltValue="SrCN4LUj/hiOB9hNY/1O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GacZExXW+ua88qyWkhhh/saY0kWR7uhLgxSBu6weXq1gq1sVa24IgKcn21AImLzGBgSQQi+/GCViKBh+rU9sQ==" saltValue="zE37QqenyFC7p4+YomFX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Xlxzt4likY0tDxVbQdhw919uISq6JPxcI7A/DieSMyOvuYEmzgkdtEK87OaRnD52o2ABPhFh0ixeeNjSo5KxA==" saltValue="TyOQ/H70rE9eJgToO/ya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E3f0tBYaquvwsi71DJ+qMWpc0+7xIXQvAYiipTyYUh4m5XAGFsyIVBpYVWD0E800BRcP5t0dq/BYB3+rdV2Pxw==" saltValue="Idxu9XXFXKz35foQKm8F/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8sM7e+utGsqzmEGw40nGHHQ8peoi/214t1nSvE/HEmxCH6LQzsd4WXF5G9q9+UGBXasorpEXJ0UMrMmYWxjPA==" saltValue="Ugp7NPnlxQQv13ugBaX35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fYSVFzFgl+wpyPDbTaIW3lb22zSLWPjnuq5TEh1AR1TsNplfKV88NLnzXXiEtPuEXXLyBIHOad0IQAd7SxKeyw==" saltValue="lDMwUjP6N5+9cEGf6nth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clOPZa/1XIvD2XBBuKFIjSfDAW3zyc9bv/5kxr3TEEggFrpvznAEDoPQnfrPs6Hm1Nz9zbPZSYFZPzxiHvLGg==" saltValue="whz2tm6AxUtjfoNZTJz1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Z5HiWjkSLTeX6JlBDeJ9u0MhAfqR6V+ve7LSNH9dwoBKbAdUCvY5DgFtzAyWQlG9MRQio2q7LpEe6P49hU2xA==" saltValue="7ygFJ+aDlChj3QFBlNRI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UCGPi8/IMOoALQsZY4r16Do5kGCeDhXuw5uJ1eNqfO4QgiZNxbOecQeiv3j8HIbjzS5ogClrlF1O4ytval5vA==" saltValue="+g8YwR/jtKoxRU+gM5s7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fNK+484hjKq3wHC/VG1BwygvNcp5FefqG2+0JvuZMNXtqiibnM6aktcPqbUP+phe2DeUIFgpVTAVeSdrsNz6g==" saltValue="TRydW1IZHWGDTq6PMQZf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LUS3NrqCVqWS5T8fiwQkgM71e+zFQm48bkQPTl9JO8UtJBq0lQHZ+ICdMZ2KHj3emJMBa7yucudk7QY+1nBwA==" saltValue="5gFA9RQvElra5Cojiott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ZautfXsZAifsZ0lYLiQhfUhLWsOkRghe3V7hyjbuDOBm0ikc5rW1Tr2ZtTFWPwjpH0Xw+D7kMG2MeEXxnlOoA==" saltValue="yOAfTwHAE5fJaODhiWUu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NpM/SgYDjrKQ2Z7ohoVRjkn2kTSqBrM9XLMXG1HM0d8N9Bl7u9ZgMl69jf/Cid4czTrVX36adQmUk06DLhT0Q==" saltValue="WbxoAkd/H5f6NN1hPtPr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HafbFi93VL3I0gbLx8iAGHLiipKJio6Zp8tgvz4y+rygp2ss+1woZ2ENMW4k64bBHot8FG66ZOB2i+9CPgM8A==" saltValue="Lq8Q1t397eB7ihMk/Pe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0p8Ll7mup/RiupUAECiZ+B/EbN5QNcGBXNt2e0kYeeNjpRExg5LAOElrfNZgCKb+zj68r3B8aP4Mo8rsoxPJQ==" saltValue="6Nct9yLjzHzp05s/UY4h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7e6nN3rs1cqFx4/aN3EVt1xqDYyiFyjzwSbnRGnwbzGPiULMoMyvxwDf76RGjIpjxdVfTL3p06bRZZGC3h9ZA==" saltValue="Hl1AF2NXvcQ2b4XoWblF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c2ewmDjEEO1lnfBX+zV6f0u2iHIV8tKbJTchtIGPo2gN+WSQCswx9vsZVdO29UELUimNEU8wGVxyLipNGftXw==" saltValue="mBNhwl66q4Vck5zVB88x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e6zRRg8jGcJ1bT7VxlvBUD/LAkD8nTzYrcG3ItzG30i05x6umWR2fUa0D+S1TcMqZoF58W5Im+nRcZHY7y4Vw==" saltValue="LKoLdfnQW4aI9DWlBKkJ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p5yC5bxIhjZcX13pOqZdMQ0pC1eRR0DspXnQCY788N6L0WjWzF31dOpyrl8yeslyrHK2mwWbd+j9WjpsGk2Mg==" saltValue="kn71NyzcC+9uVUy8lCHI5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2024-08-06T09:47:55Z</dcterms:modified>
</cp:coreProperties>
</file>