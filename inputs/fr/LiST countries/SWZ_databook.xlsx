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3F2F82F2-92F8-4F30-A08E-012FDB1281B8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<sst xmlns="http://schemas.openxmlformats.org/spreadsheetml/2006/main" count="2102" uniqueCount="337">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</sst>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503774.5703125</v>
      </c>
    </row>
    <row r="8" spans="1:3" ht="15" customHeight="1" x14ac:dyDescent="0.25">
      <c r="B8" s="5" t="s">
        <v>19</v>
      </c>
      <c r="C8" s="44">
        <v>0.45200000000000001</v>
      </c>
    </row>
    <row r="9" spans="1:3" ht="15" customHeight="1" x14ac:dyDescent="0.25">
      <c r="B9" s="5" t="s">
        <v>20</v>
      </c>
      <c r="C9" s="45">
        <v>0.16</v>
      </c>
    </row>
    <row r="10" spans="1:3" ht="15" customHeight="1" x14ac:dyDescent="0.25">
      <c r="B10" s="5" t="s">
        <v>21</v>
      </c>
      <c r="C10" s="45">
        <v>0.41391979217529301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0.19400000000000001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0.12809999999999999</v>
      </c>
    </row>
    <row r="24" spans="1:3" ht="15" customHeight="1" x14ac:dyDescent="0.25">
      <c r="B24" s="15" t="s">
        <v>33</v>
      </c>
      <c r="C24" s="45">
        <v>0.52129999999999999</v>
      </c>
    </row>
    <row r="25" spans="1:3" ht="15" customHeight="1" x14ac:dyDescent="0.25">
      <c r="B25" s="15" t="s">
        <v>34</v>
      </c>
      <c r="C25" s="45">
        <v>0.2964</v>
      </c>
    </row>
    <row r="26" spans="1:3" ht="15" customHeight="1" x14ac:dyDescent="0.25">
      <c r="B26" s="15" t="s">
        <v>35</v>
      </c>
      <c r="C26" s="45">
        <v>5.4199999999999998E-2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</v>
      </c>
    </row>
    <row r="30" spans="1:3" ht="14.25" customHeight="1" x14ac:dyDescent="0.25">
      <c r="B30" s="25" t="s">
        <v>38</v>
      </c>
      <c r="C30" s="99">
        <v>0</v>
      </c>
    </row>
    <row r="31" spans="1:3" ht="14.25" customHeight="1" x14ac:dyDescent="0.25">
      <c r="B31" s="25" t="s">
        <v>39</v>
      </c>
      <c r="C31" s="99">
        <v>0</v>
      </c>
    </row>
    <row r="32" spans="1:3" ht="14.25" customHeight="1" x14ac:dyDescent="0.25">
      <c r="B32" s="25" t="s">
        <v>40</v>
      </c>
      <c r="C32" s="99">
        <v>0</v>
      </c>
    </row>
    <row r="33" spans="1:5" ht="13" customHeight="1" x14ac:dyDescent="0.25">
      <c r="B33" s="27" t="s">
        <v>41</v>
      </c>
      <c r="C33" s="48">
        <f>SUM(C29:C32)</f>
        <v>0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17.335930000000001</v>
      </c>
    </row>
    <row r="38" spans="1:5" ht="15" customHeight="1" x14ac:dyDescent="0.25">
      <c r="B38" s="11" t="s">
        <v>45</v>
      </c>
      <c r="C38" s="43">
        <v>28.94961</v>
      </c>
      <c r="D38" s="12"/>
      <c r="E38" s="13"/>
    </row>
    <row r="39" spans="1:5" ht="15" customHeight="1" x14ac:dyDescent="0.25">
      <c r="B39" s="11" t="s">
        <v>46</v>
      </c>
      <c r="C39" s="43">
        <v>38.091560000000001</v>
      </c>
      <c r="D39" s="12"/>
      <c r="E39" s="12"/>
    </row>
    <row r="40" spans="1:5" ht="15" customHeight="1" x14ac:dyDescent="0.25">
      <c r="B40" s="11" t="s">
        <v>47</v>
      </c>
      <c r="C40" s="100">
        <v>3.22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16.13758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7.9316999999999999E-3</v>
      </c>
      <c r="D45" s="12"/>
    </row>
    <row r="46" spans="1:5" ht="15.75" customHeight="1" x14ac:dyDescent="0.25">
      <c r="B46" s="11" t="s">
        <v>52</v>
      </c>
      <c r="C46" s="45">
        <v>8.5224899999999992E-2</v>
      </c>
      <c r="D46" s="12"/>
    </row>
    <row r="47" spans="1:5" ht="15.75" customHeight="1" x14ac:dyDescent="0.25">
      <c r="B47" s="11" t="s">
        <v>53</v>
      </c>
      <c r="C47" s="45">
        <v>7.3457800000000004E-2</v>
      </c>
      <c r="D47" s="12"/>
      <c r="E47" s="13"/>
    </row>
    <row r="48" spans="1:5" ht="15" customHeight="1" x14ac:dyDescent="0.25">
      <c r="B48" s="11" t="s">
        <v>54</v>
      </c>
      <c r="C48" s="46">
        <v>0.83338560000000006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3.3</v>
      </c>
      <c r="D51" s="12"/>
    </row>
    <row r="52" spans="1:4" ht="15" customHeight="1" x14ac:dyDescent="0.25">
      <c r="B52" s="11" t="s">
        <v>57</v>
      </c>
      <c r="C52" s="100">
        <v>3.3</v>
      </c>
    </row>
    <row r="53" spans="1:4" ht="15.75" customHeight="1" x14ac:dyDescent="0.25">
      <c r="B53" s="11" t="s">
        <v>58</v>
      </c>
      <c r="C53" s="100">
        <v>3.3</v>
      </c>
    </row>
    <row r="54" spans="1:4" ht="15.75" customHeight="1" x14ac:dyDescent="0.25">
      <c r="B54" s="11" t="s">
        <v>59</v>
      </c>
      <c r="C54" s="100">
        <v>3.3</v>
      </c>
    </row>
    <row r="55" spans="1:4" ht="15.75" customHeight="1" x14ac:dyDescent="0.25">
      <c r="B55" s="11" t="s">
        <v>60</v>
      </c>
      <c r="C55" s="100">
        <v>3.3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2.181818181818182E-2</v>
      </c>
    </row>
    <row r="59" spans="1:4" ht="15.75" customHeight="1" x14ac:dyDescent="0.25">
      <c r="B59" s="11" t="s">
        <v>63</v>
      </c>
      <c r="C59" s="45">
        <v>0.50167899999999999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0.10321427</v>
      </c>
    </row>
    <row r="63" spans="1:4" ht="15.75" customHeight="1" x14ac:dyDescent="0.3">
      <c r="A63" s="4"/>
    </row>
  </sheetData>
  <sheetProtection algorithmName="SHA-512" hashValue="T2p+Yb9yotdTH0dmaKT/gCbhE7x9HWmXHVbqszMMIOoVRJw0rBNdp+uSMouJgCu3gsj+3HkiHx466eMurc0cNw==" saltValue="hGLfAsUAc5l4BIJ57p6Wj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28210</v>
      </c>
      <c r="C2" s="49">
        <v>78249</v>
      </c>
      <c r="D2" s="49">
        <v>105532.5</v>
      </c>
      <c r="E2" s="49">
        <v>95414</v>
      </c>
      <c r="F2" s="49">
        <v>51882</v>
      </c>
      <c r="G2" s="17">
        <f t="shared" ref="G2:G13" si="0">C2+D2+E2+F2</f>
        <v>331077.5</v>
      </c>
      <c r="H2" s="17">
        <f t="shared" ref="H2:H13" si="1">(B2 + stillbirth*B2/(1000-stillbirth))/(1-abortion)</f>
        <v>32582.622864910503</v>
      </c>
      <c r="I2" s="17">
        <f t="shared" ref="I2:I13" si="2">G2-H2</f>
        <v>298494.87713508948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28228</v>
      </c>
      <c r="C3" s="50">
        <v>79431.999999999985</v>
      </c>
      <c r="D3" s="50">
        <v>106479</v>
      </c>
      <c r="E3" s="50">
        <v>96245</v>
      </c>
      <c r="F3" s="50">
        <v>54683</v>
      </c>
      <c r="G3" s="17">
        <f t="shared" si="0"/>
        <v>336839</v>
      </c>
      <c r="H3" s="17">
        <f t="shared" si="1"/>
        <v>32603.412911403535</v>
      </c>
      <c r="I3" s="17">
        <f t="shared" si="2"/>
        <v>304235.58708859648</v>
      </c>
    </row>
    <row r="4" spans="1:9" ht="15.75" customHeight="1" x14ac:dyDescent="0.25">
      <c r="A4" s="5">
        <f t="shared" si="3"/>
        <v>2026</v>
      </c>
      <c r="B4" s="49">
        <v>28126</v>
      </c>
      <c r="C4" s="50">
        <v>80536.499999999985</v>
      </c>
      <c r="D4" s="50">
        <v>108238.5</v>
      </c>
      <c r="E4" s="50">
        <v>96404.5</v>
      </c>
      <c r="F4" s="50">
        <v>57623</v>
      </c>
      <c r="G4" s="17">
        <f t="shared" si="0"/>
        <v>342802.5</v>
      </c>
      <c r="H4" s="17">
        <f t="shared" si="1"/>
        <v>32485.602647943029</v>
      </c>
      <c r="I4" s="17">
        <f t="shared" si="2"/>
        <v>310316.89735205699</v>
      </c>
    </row>
    <row r="5" spans="1:9" ht="15.75" customHeight="1" x14ac:dyDescent="0.25">
      <c r="A5" s="5">
        <f t="shared" si="3"/>
        <v>2027</v>
      </c>
      <c r="B5" s="49">
        <v>28243</v>
      </c>
      <c r="C5" s="50">
        <v>81536.499999999985</v>
      </c>
      <c r="D5" s="50">
        <v>110359</v>
      </c>
      <c r="E5" s="50">
        <v>96399</v>
      </c>
      <c r="F5" s="50">
        <v>60538</v>
      </c>
      <c r="G5" s="17">
        <f t="shared" si="0"/>
        <v>348832.5</v>
      </c>
      <c r="H5" s="17">
        <f t="shared" si="1"/>
        <v>32620.737950147726</v>
      </c>
      <c r="I5" s="17">
        <f t="shared" si="2"/>
        <v>316211.76204985229</v>
      </c>
    </row>
    <row r="6" spans="1:9" ht="15.75" customHeight="1" x14ac:dyDescent="0.25">
      <c r="A6" s="5">
        <f t="shared" si="3"/>
        <v>2028</v>
      </c>
      <c r="B6" s="49">
        <v>28210</v>
      </c>
      <c r="C6" s="50">
        <v>82222.000000000015</v>
      </c>
      <c r="D6" s="50">
        <v>112937</v>
      </c>
      <c r="E6" s="50">
        <v>96319.5</v>
      </c>
      <c r="F6" s="50">
        <v>63387.5</v>
      </c>
      <c r="G6" s="17">
        <f t="shared" si="0"/>
        <v>354866</v>
      </c>
      <c r="H6" s="17">
        <f t="shared" si="1"/>
        <v>32582.622864910503</v>
      </c>
      <c r="I6" s="17">
        <f t="shared" si="2"/>
        <v>322283.37713508948</v>
      </c>
    </row>
    <row r="7" spans="1:9" ht="15.75" customHeight="1" x14ac:dyDescent="0.25">
      <c r="A7" s="5">
        <f t="shared" si="3"/>
        <v>2029</v>
      </c>
      <c r="B7" s="49">
        <v>28373</v>
      </c>
      <c r="C7" s="50">
        <v>82560</v>
      </c>
      <c r="D7" s="50">
        <v>115786</v>
      </c>
      <c r="E7" s="50">
        <v>96295</v>
      </c>
      <c r="F7" s="50">
        <v>66144</v>
      </c>
      <c r="G7" s="17">
        <f t="shared" si="0"/>
        <v>360785</v>
      </c>
      <c r="H7" s="17">
        <f t="shared" si="1"/>
        <v>32770.888285930727</v>
      </c>
      <c r="I7" s="17">
        <f t="shared" si="2"/>
        <v>328014.11171406927</v>
      </c>
    </row>
    <row r="8" spans="1:9" ht="15.75" customHeight="1" x14ac:dyDescent="0.25">
      <c r="A8" s="5">
        <f t="shared" si="3"/>
        <v>2030</v>
      </c>
      <c r="B8" s="49">
        <v>28426</v>
      </c>
      <c r="C8" s="50">
        <v>82802.5</v>
      </c>
      <c r="D8" s="50">
        <v>118668</v>
      </c>
      <c r="E8" s="50">
        <v>96542.5</v>
      </c>
      <c r="F8" s="50">
        <v>68904</v>
      </c>
      <c r="G8" s="17">
        <f t="shared" si="0"/>
        <v>366917</v>
      </c>
      <c r="H8" s="17">
        <f t="shared" si="1"/>
        <v>32832.103422826869</v>
      </c>
      <c r="I8" s="17">
        <f t="shared" si="2"/>
        <v>334084.89657717315</v>
      </c>
    </row>
    <row r="9" spans="1:9" ht="15.75" customHeight="1" x14ac:dyDescent="0.25">
      <c r="A9" s="5">
        <f t="shared" si="3"/>
        <v>2031</v>
      </c>
      <c r="B9" s="49">
        <v>28520</v>
      </c>
      <c r="C9" s="50">
        <v>82957</v>
      </c>
      <c r="D9" s="50">
        <v>121671.5</v>
      </c>
      <c r="E9" s="50">
        <v>97045.5</v>
      </c>
      <c r="F9" s="50">
        <v>71516.5</v>
      </c>
      <c r="G9" s="17">
        <f t="shared" si="0"/>
        <v>373190.5</v>
      </c>
      <c r="H9" s="17">
        <f t="shared" si="1"/>
        <v>32940.673665623806</v>
      </c>
      <c r="I9" s="17">
        <f t="shared" si="2"/>
        <v>340249.82633437618</v>
      </c>
    </row>
    <row r="10" spans="1:9" ht="15.75" customHeight="1" x14ac:dyDescent="0.25">
      <c r="A10" s="5">
        <f t="shared" si="3"/>
        <v>2032</v>
      </c>
      <c r="B10" s="49">
        <v>28650</v>
      </c>
      <c r="C10" s="50">
        <v>82899</v>
      </c>
      <c r="D10" s="50">
        <v>124865</v>
      </c>
      <c r="E10" s="50">
        <v>97584.5</v>
      </c>
      <c r="F10" s="50">
        <v>73933</v>
      </c>
      <c r="G10" s="17">
        <f t="shared" si="0"/>
        <v>379281.5</v>
      </c>
      <c r="H10" s="17">
        <f t="shared" si="1"/>
        <v>33090.824001406807</v>
      </c>
      <c r="I10" s="17">
        <f t="shared" si="2"/>
        <v>346190.67599859321</v>
      </c>
    </row>
    <row r="11" spans="1:9" ht="15.75" customHeight="1" x14ac:dyDescent="0.25">
      <c r="A11" s="5">
        <f t="shared" si="3"/>
        <v>2033</v>
      </c>
      <c r="B11" s="49">
        <v>28895</v>
      </c>
      <c r="C11" s="50">
        <v>82622.5</v>
      </c>
      <c r="D11" s="50">
        <v>128029</v>
      </c>
      <c r="E11" s="50">
        <v>98270</v>
      </c>
      <c r="F11" s="50">
        <v>76313.5</v>
      </c>
      <c r="G11" s="17">
        <f t="shared" si="0"/>
        <v>385235</v>
      </c>
      <c r="H11" s="17">
        <f t="shared" si="1"/>
        <v>33373.799634228606</v>
      </c>
      <c r="I11" s="17">
        <f t="shared" si="2"/>
        <v>351861.20036577142</v>
      </c>
    </row>
    <row r="12" spans="1:9" ht="15.75" customHeight="1" x14ac:dyDescent="0.25">
      <c r="A12" s="5">
        <f t="shared" si="3"/>
        <v>2034</v>
      </c>
      <c r="B12" s="49">
        <v>29025</v>
      </c>
      <c r="C12" s="50">
        <v>82179</v>
      </c>
      <c r="D12" s="50">
        <v>130855.5</v>
      </c>
      <c r="E12" s="50">
        <v>99392.5</v>
      </c>
      <c r="F12" s="50">
        <v>78494</v>
      </c>
      <c r="G12" s="17">
        <f t="shared" si="0"/>
        <v>390921</v>
      </c>
      <c r="H12" s="17">
        <f t="shared" si="1"/>
        <v>33523.949970011607</v>
      </c>
      <c r="I12" s="17">
        <f t="shared" si="2"/>
        <v>357397.0500299884</v>
      </c>
    </row>
    <row r="13" spans="1:9" ht="15.75" customHeight="1" x14ac:dyDescent="0.25">
      <c r="A13" s="5">
        <f t="shared" si="3"/>
        <v>2035</v>
      </c>
      <c r="B13" s="49">
        <v>29169</v>
      </c>
      <c r="C13" s="50">
        <v>81660</v>
      </c>
      <c r="D13" s="50">
        <v>133218</v>
      </c>
      <c r="E13" s="50">
        <v>101447.5</v>
      </c>
      <c r="F13" s="50">
        <v>80335.5</v>
      </c>
      <c r="G13" s="17">
        <f t="shared" si="0"/>
        <v>396661</v>
      </c>
      <c r="H13" s="17">
        <f t="shared" si="1"/>
        <v>33690.270341955853</v>
      </c>
      <c r="I13" s="17">
        <f t="shared" si="2"/>
        <v>362970.72965804418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mbJJeWdPejGuWoO9pdXFFhkObZVSZVJcNckZs/Rlqt4MB6OtFkJHxOUthP6d+8N2zqTswm9bo4q9Z9t7cyRnTA==" saltValue="qXjlTEHeF/zs46QpstUG6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9.54159904584009E-3</v>
      </c>
    </row>
    <row r="4" spans="1:8" ht="15.75" customHeight="1" x14ac:dyDescent="0.25">
      <c r="B4" s="19" t="s">
        <v>79</v>
      </c>
      <c r="C4" s="101">
        <v>6.4930893506910725E-2</v>
      </c>
    </row>
    <row r="5" spans="1:8" ht="15.75" customHeight="1" x14ac:dyDescent="0.25">
      <c r="B5" s="19" t="s">
        <v>80</v>
      </c>
      <c r="C5" s="101">
        <v>8.333079166692095E-2</v>
      </c>
    </row>
    <row r="6" spans="1:8" ht="15.75" customHeight="1" x14ac:dyDescent="0.25">
      <c r="B6" s="19" t="s">
        <v>81</v>
      </c>
      <c r="C6" s="101">
        <v>0.24122667587733301</v>
      </c>
    </row>
    <row r="7" spans="1:8" ht="15.75" customHeight="1" x14ac:dyDescent="0.25">
      <c r="B7" s="19" t="s">
        <v>82</v>
      </c>
      <c r="C7" s="101">
        <v>0.41004985899501339</v>
      </c>
    </row>
    <row r="8" spans="1:8" ht="15.75" customHeight="1" x14ac:dyDescent="0.25">
      <c r="B8" s="19" t="s">
        <v>83</v>
      </c>
      <c r="C8" s="101">
        <v>1.193399880660011E-3</v>
      </c>
    </row>
    <row r="9" spans="1:8" ht="15.75" customHeight="1" x14ac:dyDescent="0.25">
      <c r="B9" s="19" t="s">
        <v>84</v>
      </c>
      <c r="C9" s="101">
        <v>8.1527291847270894E-2</v>
      </c>
    </row>
    <row r="10" spans="1:8" ht="15.75" customHeight="1" x14ac:dyDescent="0.25">
      <c r="B10" s="19" t="s">
        <v>85</v>
      </c>
      <c r="C10" s="101">
        <v>0.108199489180051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0.17628801217640019</v>
      </c>
      <c r="D14" s="55">
        <v>0.17628801217640019</v>
      </c>
      <c r="E14" s="55">
        <v>0.17628801217640019</v>
      </c>
      <c r="F14" s="55">
        <v>0.17628801217640019</v>
      </c>
    </row>
    <row r="15" spans="1:8" ht="15.75" customHeight="1" x14ac:dyDescent="0.25">
      <c r="B15" s="19" t="s">
        <v>88</v>
      </c>
      <c r="C15" s="101">
        <v>0.24104474898363951</v>
      </c>
      <c r="D15" s="101">
        <v>0.24104474898363951</v>
      </c>
      <c r="E15" s="101">
        <v>0.24104474898363951</v>
      </c>
      <c r="F15" s="101">
        <v>0.24104474898363951</v>
      </c>
    </row>
    <row r="16" spans="1:8" ht="15.75" customHeight="1" x14ac:dyDescent="0.25">
      <c r="B16" s="19" t="s">
        <v>89</v>
      </c>
      <c r="C16" s="101">
        <v>2.6390130677189091E-2</v>
      </c>
      <c r="D16" s="101">
        <v>2.6390130677189091E-2</v>
      </c>
      <c r="E16" s="101">
        <v>2.6390130677189091E-2</v>
      </c>
      <c r="F16" s="101">
        <v>2.6390130677189091E-2</v>
      </c>
    </row>
    <row r="17" spans="1:8" ht="15.75" customHeight="1" x14ac:dyDescent="0.25">
      <c r="B17" s="19" t="s">
        <v>90</v>
      </c>
      <c r="C17" s="101">
        <v>6.6708176145966061E-3</v>
      </c>
      <c r="D17" s="101">
        <v>6.6708176145966061E-3</v>
      </c>
      <c r="E17" s="101">
        <v>6.6708176145966061E-3</v>
      </c>
      <c r="F17" s="101">
        <v>6.6708176145966061E-3</v>
      </c>
    </row>
    <row r="18" spans="1:8" ht="15.75" customHeight="1" x14ac:dyDescent="0.25">
      <c r="B18" s="19" t="s">
        <v>91</v>
      </c>
      <c r="C18" s="101">
        <v>8.4191652621648683E-2</v>
      </c>
      <c r="D18" s="101">
        <v>8.4191652621648683E-2</v>
      </c>
      <c r="E18" s="101">
        <v>8.4191652621648683E-2</v>
      </c>
      <c r="F18" s="101">
        <v>8.4191652621648683E-2</v>
      </c>
    </row>
    <row r="19" spans="1:8" ht="15.75" customHeight="1" x14ac:dyDescent="0.25">
      <c r="B19" s="19" t="s">
        <v>92</v>
      </c>
      <c r="C19" s="101">
        <v>6.8330843258333274E-2</v>
      </c>
      <c r="D19" s="101">
        <v>6.8330843258333274E-2</v>
      </c>
      <c r="E19" s="101">
        <v>6.8330843258333274E-2</v>
      </c>
      <c r="F19" s="101">
        <v>6.8330843258333274E-2</v>
      </c>
    </row>
    <row r="20" spans="1:8" ht="15.75" customHeight="1" x14ac:dyDescent="0.25">
      <c r="B20" s="19" t="s">
        <v>93</v>
      </c>
      <c r="C20" s="101">
        <v>1.250400620514191E-2</v>
      </c>
      <c r="D20" s="101">
        <v>1.250400620514191E-2</v>
      </c>
      <c r="E20" s="101">
        <v>1.250400620514191E-2</v>
      </c>
      <c r="F20" s="101">
        <v>1.250400620514191E-2</v>
      </c>
    </row>
    <row r="21" spans="1:8" ht="15.75" customHeight="1" x14ac:dyDescent="0.25">
      <c r="B21" s="19" t="s">
        <v>94</v>
      </c>
      <c r="C21" s="101">
        <v>0.1655459558925296</v>
      </c>
      <c r="D21" s="101">
        <v>0.1655459558925296</v>
      </c>
      <c r="E21" s="101">
        <v>0.1655459558925296</v>
      </c>
      <c r="F21" s="101">
        <v>0.1655459558925296</v>
      </c>
    </row>
    <row r="22" spans="1:8" ht="15.75" customHeight="1" x14ac:dyDescent="0.25">
      <c r="B22" s="19" t="s">
        <v>95</v>
      </c>
      <c r="C22" s="101">
        <v>0.21903383257052109</v>
      </c>
      <c r="D22" s="101">
        <v>0.21903383257052109</v>
      </c>
      <c r="E22" s="101">
        <v>0.21903383257052109</v>
      </c>
      <c r="F22" s="101">
        <v>0.21903383257052109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8.7620265000000017E-2</v>
      </c>
    </row>
    <row r="27" spans="1:8" ht="15.75" customHeight="1" x14ac:dyDescent="0.25">
      <c r="B27" s="19" t="s">
        <v>102</v>
      </c>
      <c r="C27" s="101">
        <v>8.4936790000000005E-3</v>
      </c>
    </row>
    <row r="28" spans="1:8" ht="15.75" customHeight="1" x14ac:dyDescent="0.25">
      <c r="B28" s="19" t="s">
        <v>103</v>
      </c>
      <c r="C28" s="101">
        <v>0.15420750799999999</v>
      </c>
    </row>
    <row r="29" spans="1:8" ht="15.75" customHeight="1" x14ac:dyDescent="0.25">
      <c r="B29" s="19" t="s">
        <v>104</v>
      </c>
      <c r="C29" s="101">
        <v>0.168404365</v>
      </c>
    </row>
    <row r="30" spans="1:8" ht="15.75" customHeight="1" x14ac:dyDescent="0.25">
      <c r="B30" s="19" t="s">
        <v>2</v>
      </c>
      <c r="C30" s="101">
        <v>0.105568509</v>
      </c>
    </row>
    <row r="31" spans="1:8" ht="15.75" customHeight="1" x14ac:dyDescent="0.25">
      <c r="B31" s="19" t="s">
        <v>105</v>
      </c>
      <c r="C31" s="101">
        <v>0.10981025899999999</v>
      </c>
    </row>
    <row r="32" spans="1:8" ht="15.75" customHeight="1" x14ac:dyDescent="0.25">
      <c r="B32" s="19" t="s">
        <v>106</v>
      </c>
      <c r="C32" s="101">
        <v>1.8832593000000002E-2</v>
      </c>
    </row>
    <row r="33" spans="2:3" ht="15.75" customHeight="1" x14ac:dyDescent="0.25">
      <c r="B33" s="19" t="s">
        <v>107</v>
      </c>
      <c r="C33" s="101">
        <v>8.4520607999999997E-2</v>
      </c>
    </row>
    <row r="34" spans="2:3" ht="15.75" customHeight="1" x14ac:dyDescent="0.25">
      <c r="B34" s="19" t="s">
        <v>108</v>
      </c>
      <c r="C34" s="101">
        <v>0.26254221300000002</v>
      </c>
    </row>
    <row r="35" spans="2:3" ht="15.75" customHeight="1" x14ac:dyDescent="0.25">
      <c r="B35" s="27" t="s">
        <v>41</v>
      </c>
      <c r="C35" s="48">
        <f>SUM(C26:C34)</f>
        <v>0.99999999900000003</v>
      </c>
    </row>
  </sheetData>
  <sheetProtection algorithmName="SHA-512" hashValue="OY4O2lbEPcUBXLtLK6m2P7ucJiiAHBzWMGpAcFBSgdyOf/kjAHJkVIFVQ6MOq2yR7TRVVXMJuAB0eZD8oSWl/w==" saltValue="iMB5jcvSgzUVLxCERFRii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0.44451771354283154</v>
      </c>
      <c r="D2" s="52">
        <f>IFERROR(1-_xlfn.NORM.DIST(_xlfn.NORM.INV(SUM(D4:D5), 0, 1) + 1, 0, 1, TRUE), "")</f>
        <v>0.44451771354283154</v>
      </c>
      <c r="E2" s="52">
        <f>IFERROR(1-_xlfn.NORM.DIST(_xlfn.NORM.INV(SUM(E4:E5), 0, 1) + 1, 0, 1, TRUE), "")</f>
        <v>0.34864384608921117</v>
      </c>
      <c r="F2" s="52">
        <f>IFERROR(1-_xlfn.NORM.DIST(_xlfn.NORM.INV(SUM(F4:F5), 0, 1) + 1, 0, 1, TRUE), "")</f>
        <v>0.17995639145896147</v>
      </c>
      <c r="G2" s="52">
        <f>IFERROR(1-_xlfn.NORM.DIST(_xlfn.NORM.INV(SUM(G4:G5), 0, 1) + 1, 0, 1, TRUE), "")</f>
        <v>0.17038300794971728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0.36071870074288248</v>
      </c>
      <c r="D3" s="52">
        <f>IFERROR(_xlfn.NORM.DIST(_xlfn.NORM.INV(SUM(D4:D5), 0, 1) + 1, 0, 1, TRUE) - SUM(D4:D5), "")</f>
        <v>0.36071870074288248</v>
      </c>
      <c r="E3" s="52">
        <f>IFERROR(_xlfn.NORM.DIST(_xlfn.NORM.INV(SUM(E4:E5), 0, 1) + 1, 0, 1, TRUE) - SUM(E4:E5), "")</f>
        <v>0.38076153010126584</v>
      </c>
      <c r="F3" s="52">
        <f>IFERROR(_xlfn.NORM.DIST(_xlfn.NORM.INV(SUM(F4:F5), 0, 1) + 1, 0, 1, TRUE) - SUM(F4:F5), "")</f>
        <v>0.35370171806484851</v>
      </c>
      <c r="G3" s="52">
        <f>IFERROR(_xlfn.NORM.DIST(_xlfn.NORM.INV(SUM(G4:G5), 0, 1) + 1, 0, 1, TRUE) - SUM(G4:G5), "")</f>
        <v>0.34849873728837771</v>
      </c>
    </row>
    <row r="4" spans="1:15" ht="15.75" customHeight="1" x14ac:dyDescent="0.25">
      <c r="B4" s="5" t="s">
        <v>114</v>
      </c>
      <c r="C4" s="45">
        <v>0.113393635714286</v>
      </c>
      <c r="D4" s="53">
        <v>0.113393635714286</v>
      </c>
      <c r="E4" s="53">
        <v>0.16521329047618999</v>
      </c>
      <c r="F4" s="53">
        <v>0.25580331428571401</v>
      </c>
      <c r="G4" s="53">
        <v>0.26141645714285699</v>
      </c>
    </row>
    <row r="5" spans="1:15" ht="15.75" customHeight="1" x14ac:dyDescent="0.25">
      <c r="B5" s="5" t="s">
        <v>115</v>
      </c>
      <c r="C5" s="45">
        <v>8.136995000000001E-2</v>
      </c>
      <c r="D5" s="53">
        <v>8.136995000000001E-2</v>
      </c>
      <c r="E5" s="53">
        <v>0.10538133333333299</v>
      </c>
      <c r="F5" s="53">
        <v>0.210538576190476</v>
      </c>
      <c r="G5" s="53">
        <v>0.21970179761904801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0.6109569956403027</v>
      </c>
      <c r="D8" s="52">
        <f>IFERROR(1-_xlfn.NORM.DIST(_xlfn.NORM.INV(SUM(D10:D11), 0, 1) + 1, 0, 1, TRUE), "")</f>
        <v>0.6109569956403027</v>
      </c>
      <c r="E8" s="52">
        <f>IFERROR(1-_xlfn.NORM.DIST(_xlfn.NORM.INV(SUM(E10:E11), 0, 1) + 1, 0, 1, TRUE), "")</f>
        <v>0.58939751230095949</v>
      </c>
      <c r="F8" s="52">
        <f>IFERROR(1-_xlfn.NORM.DIST(_xlfn.NORM.INV(SUM(F10:F11), 0, 1) + 1, 0, 1, TRUE), "")</f>
        <v>0.63333615294728807</v>
      </c>
      <c r="G8" s="52">
        <f>IFERROR(1-_xlfn.NORM.DIST(_xlfn.NORM.INV(SUM(G10:G11), 0, 1) + 1, 0, 1, TRUE), "")</f>
        <v>0.73754048279180073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0.28908908240847775</v>
      </c>
      <c r="D9" s="52">
        <f>IFERROR(_xlfn.NORM.DIST(_xlfn.NORM.INV(SUM(D10:D11), 0, 1) + 1, 0, 1, TRUE) - SUM(D10:D11), "")</f>
        <v>0.28908908240847775</v>
      </c>
      <c r="E9" s="52">
        <f>IFERROR(_xlfn.NORM.DIST(_xlfn.NORM.INV(SUM(E10:E11), 0, 1) + 1, 0, 1, TRUE) - SUM(E10:E11), "")</f>
        <v>0.3005022901380649</v>
      </c>
      <c r="F9" s="52">
        <f>IFERROR(_xlfn.NORM.DIST(_xlfn.NORM.INV(SUM(F10:F11), 0, 1) + 1, 0, 1, TRUE) - SUM(F10:F11), "")</f>
        <v>0.2766552860771021</v>
      </c>
      <c r="G9" s="52">
        <f>IFERROR(_xlfn.NORM.DIST(_xlfn.NORM.INV(SUM(G10:G11), 0, 1) + 1, 0, 1, TRUE) - SUM(G10:G11), "")</f>
        <v>0.21151682452527237</v>
      </c>
    </row>
    <row r="10" spans="1:15" ht="15.75" customHeight="1" x14ac:dyDescent="0.25">
      <c r="B10" s="5" t="s">
        <v>119</v>
      </c>
      <c r="C10" s="45">
        <v>5.8169595121951197E-2</v>
      </c>
      <c r="D10" s="53">
        <v>5.8169595121951197E-2</v>
      </c>
      <c r="E10" s="53">
        <v>7.0832097560975596E-2</v>
      </c>
      <c r="F10" s="53">
        <v>5.9730256097561003E-2</v>
      </c>
      <c r="G10" s="53">
        <v>3.3807034146341501E-2</v>
      </c>
    </row>
    <row r="11" spans="1:15" ht="15.75" customHeight="1" x14ac:dyDescent="0.25">
      <c r="B11" s="5" t="s">
        <v>120</v>
      </c>
      <c r="C11" s="45">
        <v>4.1784326829268303E-2</v>
      </c>
      <c r="D11" s="53">
        <v>4.1784326829268303E-2</v>
      </c>
      <c r="E11" s="53">
        <v>3.92681E-2</v>
      </c>
      <c r="F11" s="53">
        <v>3.0278304878048799E-2</v>
      </c>
      <c r="G11" s="53">
        <v>1.7135658536585399E-2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0.69576059900000009</v>
      </c>
      <c r="D14" s="54">
        <v>0.66532394163700004</v>
      </c>
      <c r="E14" s="54">
        <v>0.66532394163700004</v>
      </c>
      <c r="F14" s="54">
        <v>0.35589304969399999</v>
      </c>
      <c r="G14" s="54">
        <v>0.35589304969399999</v>
      </c>
      <c r="H14" s="45">
        <v>0.40699999999999997</v>
      </c>
      <c r="I14" s="55">
        <v>0.40699999999999997</v>
      </c>
      <c r="J14" s="55">
        <v>0.40699999999999997</v>
      </c>
      <c r="K14" s="55">
        <v>0.40699999999999997</v>
      </c>
      <c r="L14" s="45">
        <v>0.37799999999999989</v>
      </c>
      <c r="M14" s="55">
        <v>0.37799999999999989</v>
      </c>
      <c r="N14" s="55">
        <v>0.37799999999999989</v>
      </c>
      <c r="O14" s="55">
        <v>0.37799999999999989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0.34904848154572105</v>
      </c>
      <c r="D15" s="52">
        <f t="shared" si="0"/>
        <v>0.33377904971650851</v>
      </c>
      <c r="E15" s="52">
        <f t="shared" si="0"/>
        <v>0.33377904971650851</v>
      </c>
      <c r="F15" s="52">
        <f t="shared" si="0"/>
        <v>0.17854406927743621</v>
      </c>
      <c r="G15" s="52">
        <f t="shared" si="0"/>
        <v>0.17854406927743621</v>
      </c>
      <c r="H15" s="52">
        <f t="shared" si="0"/>
        <v>0.20418335299999998</v>
      </c>
      <c r="I15" s="52">
        <f t="shared" si="0"/>
        <v>0.20418335299999998</v>
      </c>
      <c r="J15" s="52">
        <f t="shared" si="0"/>
        <v>0.20418335299999998</v>
      </c>
      <c r="K15" s="52">
        <f t="shared" si="0"/>
        <v>0.20418335299999998</v>
      </c>
      <c r="L15" s="52">
        <f t="shared" si="0"/>
        <v>0.18963466199999995</v>
      </c>
      <c r="M15" s="52">
        <f t="shared" si="0"/>
        <v>0.18963466199999995</v>
      </c>
      <c r="N15" s="52">
        <f t="shared" si="0"/>
        <v>0.18963466199999995</v>
      </c>
      <c r="O15" s="52">
        <f t="shared" si="0"/>
        <v>0.18963466199999995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rJDbU7s2wSyQYaqw6PknmUVmRLtmHxW5ev20q2jnBPmeP7Qzmser/E6VvKw2ECYpoyCWh4RMGB2Rl0jJaKt2zA==" saltValue="WePkYXljsA7oP2SBmQGOC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0.79400000000000004</v>
      </c>
      <c r="D2" s="53">
        <v>0.25800000000000001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0.183</v>
      </c>
      <c r="D3" s="53">
        <v>0.53900000000000003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2.3E-2</v>
      </c>
      <c r="D4" s="53">
        <v>0.20200000000000001</v>
      </c>
      <c r="E4" s="53">
        <v>0.97900000000000009</v>
      </c>
      <c r="F4" s="53">
        <v>0.77599999999999991</v>
      </c>
      <c r="G4" s="53">
        <v>0</v>
      </c>
    </row>
    <row r="5" spans="1:7" x14ac:dyDescent="0.25">
      <c r="B5" s="3" t="s">
        <v>132</v>
      </c>
      <c r="C5" s="52">
        <v>0</v>
      </c>
      <c r="D5" s="52">
        <v>1E-3</v>
      </c>
      <c r="E5" s="52">
        <f>1-SUM(E2:E4)</f>
        <v>2.0999999999999908E-2</v>
      </c>
      <c r="F5" s="52">
        <f>1-SUM(F2:F4)</f>
        <v>0.22400000000000009</v>
      </c>
      <c r="G5" s="52">
        <f>1-SUM(G2:G4)</f>
        <v>1</v>
      </c>
    </row>
  </sheetData>
  <sheetProtection algorithmName="SHA-512" hashValue="xvBowRQjJemm6nE5QROJDYjfSohp5q8Hk3rxehzbREb5V9dmzRCH8f9CMx/3sktS+vEy98cT49inNmncsBSQ5w==" saltValue="jOu82zx0g6fJ34NFV+HQT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n+ItxpT4+qyE5VQfCgzlol+S30suQUx82RPSeYSohdVXnIMVj2rMR/CN8kSSNhrTN7VLZHWMyj/cyRlW7g0l5Q==" saltValue="OtnV6tbe2brd47kUmXiYE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hNFw/lEpAoH58J0oAx4BkHLg0SxO+K/UTkTnVV2EB4Sbh4jEFBdFnD/h3MECieEZcVR6PPjakWO5o5Zssru8lg==" saltValue="J+vpPplIjtfNIq4DBAgoI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NQKAFnQGBnMCsZAaJdMAWUNIcAOEqdjWsvNt3xyZbRdpVhCmb8U6hpM7lqECUWTosEHkIPf/j6SsqWiSKkDFRw==" saltValue="i1fypSEvnjQgpX0sDBpD4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tiurT49XcFOZgVXkWWKKs+S67hZnZBeo0wBeDtv70QsEGmXKFzEBAxiH2+nEvpWyKNVdlOtf32yVVfY0eOgo6w==" saltValue="5g2B+ZbsdpDgnONLjvLr2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49.266516263145533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0.17454155599999999</v>
      </c>
      <c r="C3" s="98">
        <v>0.95</v>
      </c>
      <c r="D3" s="56">
        <v>39.683720380903551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277.01994750756228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0.76214099246628997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</v>
      </c>
      <c r="C10" s="98">
        <v>0.95</v>
      </c>
      <c r="D10" s="56">
        <v>12.81601982469946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12.81601982469946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12.81601982469946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12.81601982469946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</v>
      </c>
      <c r="C14" s="98">
        <v>0.95</v>
      </c>
      <c r="D14" s="56">
        <v>12.81601982469946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12.81601982469946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0.99</v>
      </c>
      <c r="C16" s="98">
        <v>0.95</v>
      </c>
      <c r="D16" s="56">
        <v>0.51560582851631831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4.23121776E-2</v>
      </c>
      <c r="C18" s="98">
        <v>0.95</v>
      </c>
      <c r="D18" s="56">
        <v>6.4276517687842469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0.1193997</v>
      </c>
      <c r="C19" s="98">
        <v>0.95</v>
      </c>
      <c r="D19" s="56">
        <v>6.4276517687842469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0.51764500000000002</v>
      </c>
      <c r="C21" s="98">
        <v>0.95</v>
      </c>
      <c r="D21" s="56">
        <v>6.3700694345543054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22.013507436034541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4.1567379002909028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0.32062773119999999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18.37373470672004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0.25143555359999997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93.648037947344875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0.78</v>
      </c>
      <c r="C31" s="98">
        <v>0.95</v>
      </c>
      <c r="D31" s="56">
        <v>0.27944402791567008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1.1023285790628059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0.78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0.42499999999999999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0.434</v>
      </c>
      <c r="C38" s="98">
        <v>0.95</v>
      </c>
      <c r="D38" s="56">
        <v>4.1510025254524336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9A0nyALtFAaB3I6f1o/5mVTNZORFw6uXVhoI+bpT2NBzGUXvD93xid+gCA5Qncmzi6SpdTf25T9tZLFfoBhS9g==" saltValue="fd79+rbjldCC0yarp28rX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lCde/jqFw46IA0v6xhFQq4LD6DuDO2fptTUlumRVAXnTmne8XgXwlIMI8ZOXbb/nf7MCNymlxiOP/Ppz3nraZw==" saltValue="ZMHec6nAd2kU2Kr+kFvr9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D8iP2xojslSfuCjncW8Z1JJkAMXKQpWPwJP+TOHwNAvcUiNUkigDexnVQWhZReaA3MIq/qP+kR5cncK845xvwQ==" saltValue="+sn3MYDdXBEc5FLoaCe5z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209</v>
      </c>
      <c r="B3" s="21">
        <f>frac_mam_1month * 2.6</f>
        <v>0.1512409473170731</v>
      </c>
      <c r="C3" s="21">
        <f>frac_mam_1_5months * 2.6</f>
        <v>0.1512409473170731</v>
      </c>
      <c r="D3" s="21">
        <f>frac_mam_6_11months * 2.6</f>
        <v>0.18416345365853656</v>
      </c>
      <c r="E3" s="21">
        <f>frac_mam_12_23months * 2.6</f>
        <v>0.15529866585365862</v>
      </c>
      <c r="F3" s="21">
        <f>frac_mam_24_59months * 2.6</f>
        <v>8.7898288780487902E-2</v>
      </c>
    </row>
    <row r="4" spans="1:6" ht="15.75" customHeight="1" x14ac:dyDescent="0.25">
      <c r="A4" s="3" t="s">
        <v>208</v>
      </c>
      <c r="B4" s="21">
        <f>frac_sam_1month * 2.6</f>
        <v>0.10863924975609759</v>
      </c>
      <c r="C4" s="21">
        <f>frac_sam_1_5months * 2.6</f>
        <v>0.10863924975609759</v>
      </c>
      <c r="D4" s="21">
        <f>frac_sam_6_11months * 2.6</f>
        <v>0.10209706</v>
      </c>
      <c r="E4" s="21">
        <f>frac_sam_12_23months * 2.6</f>
        <v>7.8723592682926877E-2</v>
      </c>
      <c r="F4" s="21">
        <f>frac_sam_24_59months * 2.6</f>
        <v>4.4552712195122038E-2</v>
      </c>
    </row>
  </sheetData>
  <sheetProtection algorithmName="SHA-512" hashValue="8UBQ0L8ldtAdmGZpigc/guRND7Ez5pBFPPL0r1csPjlehjgdSHI5W9IFZNBAopc83EeC63dPCbSRueV94dZK1A==" saltValue="lT1ldRnGzKBIctIKqGF7o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0.45200000000000001</v>
      </c>
      <c r="E2" s="60">
        <f>food_insecure</f>
        <v>0.45200000000000001</v>
      </c>
      <c r="F2" s="60">
        <f>food_insecure</f>
        <v>0.45200000000000001</v>
      </c>
      <c r="G2" s="60">
        <f>food_insecure</f>
        <v>0.45200000000000001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0.45200000000000001</v>
      </c>
      <c r="F5" s="60">
        <f>food_insecure</f>
        <v>0.45200000000000001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0.45200000000000001</v>
      </c>
      <c r="F8" s="60">
        <f>food_insecure</f>
        <v>0.45200000000000001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0.45200000000000001</v>
      </c>
      <c r="F9" s="60">
        <f>food_insecure</f>
        <v>0.45200000000000001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0.45200000000000001</v>
      </c>
      <c r="I15" s="60">
        <f>food_insecure</f>
        <v>0.45200000000000001</v>
      </c>
      <c r="J15" s="60">
        <f>food_insecure</f>
        <v>0.45200000000000001</v>
      </c>
      <c r="K15" s="60">
        <f>food_insecure</f>
        <v>0.45200000000000001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0.16</v>
      </c>
      <c r="I19" s="60">
        <f>frac_malaria_risk</f>
        <v>0.16</v>
      </c>
      <c r="J19" s="60">
        <f>frac_malaria_risk</f>
        <v>0.16</v>
      </c>
      <c r="K19" s="60">
        <f>frac_malaria_risk</f>
        <v>0.16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0.19400000000000001</v>
      </c>
      <c r="M24" s="60">
        <f>famplan_unmet_need</f>
        <v>0.19400000000000001</v>
      </c>
      <c r="N24" s="60">
        <f>famplan_unmet_need</f>
        <v>0.19400000000000001</v>
      </c>
      <c r="O24" s="60">
        <f>famplan_unmet_need</f>
        <v>0.19400000000000001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0.34281003516082764</v>
      </c>
      <c r="M25" s="60">
        <f>(1-food_insecure)*(0.49)+food_insecure*(0.7)</f>
        <v>0.58492000000000011</v>
      </c>
      <c r="N25" s="60">
        <f>(1-food_insecure)*(0.49)+food_insecure*(0.7)</f>
        <v>0.58492000000000011</v>
      </c>
      <c r="O25" s="60">
        <f>(1-food_insecure)*(0.49)+food_insecure*(0.7)</f>
        <v>0.58492000000000011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0.14691858649749753</v>
      </c>
      <c r="M26" s="60">
        <f>(1-food_insecure)*(0.21)+food_insecure*(0.3)</f>
        <v>0.25068000000000001</v>
      </c>
      <c r="N26" s="60">
        <f>(1-food_insecure)*(0.21)+food_insecure*(0.3)</f>
        <v>0.25068000000000001</v>
      </c>
      <c r="O26" s="60">
        <f>(1-food_insecure)*(0.21)+food_insecure*(0.3)</f>
        <v>0.25068000000000001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9.6351586166381828E-2</v>
      </c>
      <c r="M27" s="60">
        <f>(1-food_insecure)*(0.3)</f>
        <v>0.16440000000000002</v>
      </c>
      <c r="N27" s="60">
        <f>(1-food_insecure)*(0.3)</f>
        <v>0.16440000000000002</v>
      </c>
      <c r="O27" s="60">
        <f>(1-food_insecure)*(0.3)</f>
        <v>0.16440000000000002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0.41391979217529307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0.16</v>
      </c>
      <c r="D34" s="60">
        <f t="shared" si="3"/>
        <v>0.16</v>
      </c>
      <c r="E34" s="60">
        <f t="shared" si="3"/>
        <v>0.16</v>
      </c>
      <c r="F34" s="60">
        <f t="shared" si="3"/>
        <v>0.16</v>
      </c>
      <c r="G34" s="60">
        <f t="shared" si="3"/>
        <v>0.16</v>
      </c>
      <c r="H34" s="60">
        <f t="shared" si="3"/>
        <v>0.16</v>
      </c>
      <c r="I34" s="60">
        <f t="shared" si="3"/>
        <v>0.16</v>
      </c>
      <c r="J34" s="60">
        <f t="shared" si="3"/>
        <v>0.16</v>
      </c>
      <c r="K34" s="60">
        <f t="shared" si="3"/>
        <v>0.16</v>
      </c>
      <c r="L34" s="60">
        <f t="shared" si="3"/>
        <v>0.16</v>
      </c>
      <c r="M34" s="60">
        <f t="shared" si="3"/>
        <v>0.16</v>
      </c>
      <c r="N34" s="60">
        <f t="shared" si="3"/>
        <v>0.16</v>
      </c>
      <c r="O34" s="60">
        <f t="shared" si="3"/>
        <v>0.16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naQtgz7vUEIy8dAEc1rVy9QE96VW4Gdu/tE9JjnblzJ1OyG+lZQkJosmjwLz7gnXFnP9fIihOEYQEGg7UFpibg==" saltValue="GBBAo1r70gBCR5mblVFef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gb6chsoVROcE63PfGN/vgVwEQVi8lhtHemUNt07WVyW76YRiaUoRErWUh1xmq4SCGdYDQQqj+DTTidm4pecOMA==" saltValue="7Ti/N2DrnrLsNmNxYAl9l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Xf+esHRhkvjYiua1QHZNrfn80hBqUtKbAvoiM2rvAnCLhbeosbKCGUDsxPKgwas2hAdLHONIvcZ50f237PRGJw==" saltValue="/SzWqLNLFnVmXQjAewSVR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NvwgehDT4oY5jY2IfsZo678BonDxQnx9L7XEQSZEz5Vmu14q8eEFa7TIUu+uRpKCMOz//oalpihFC76+jZ2Glw==" saltValue="K7lNrNEtdvvz1VCsBh+lu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vdOJ66DdcWg0LGLpcZu5L+xcqomyzuPPk1Uj9Tuy0Eqx+TDfbJP4X9sZcxhFhRjVPB+gvmO71N2TmpmZ/AxoLA==" saltValue="UaO+wTTw2YnMCwsRRmLNl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7dmyH6fJd9fnDxmbplTs57YrM08hI+R51GAqXER+sxURFRL2aYqaTI3lf7A9igKl0ifC1Bos1+7GKgyjjWrttA==" saltValue="E6g7IUPVuNIWclg1i1hon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+X3fZjb+gTd32dxqJ1a9t5/7Ui0cLMo7jOo3yE5zSWQPDHrTtKMHM5vQLFxX1D1TyXvXvU/xE2c8TFwbevV2hQ==" saltValue="jfoT7g93A7c1LUXyybtivA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YnYxR/xW7OCh5uTX5XKVQskWMIehIqSZ63GNksFtO2kjGXiUt5gYrj05xs/KNLm1CC5+EBh8UaBcbKFmGQKLoA==" saltValue="gn4Dt6G42G9pf85Jbuq+m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jtt8gqxD7RAA9M6FbtjZY3AqVHLWR4HMpE5jlHh0zJX0uGE161n/T1m4SCMEXppWDUEbbPJbtFFDTzfOVf0kLw==" saltValue="1Yc/jf5flRcVNxcgjrVt7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193Hw71yuRhtZsCsMa5WOkOYjDVvJnFOBkpEKj9E2t9Y0hUzp6SBIbhm9k095bmvNKYv7npiuW/03j/vh4ZP3A==" saltValue="I/IocKBPPQTU2/lsBtYM9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WHCCQgN/WmV2oowR56rbcVaisl9NtTg6vAmNVi0lmFeY6PiwB4WIOhvGoSqpssM665fMZlxxZv7HNoMyOJrfgA==" saltValue="tmtl5ly0pvKwbUVgSIhqG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XhBz8DaGXqc50cpytKrpzGpO/E5iKNYr9PtSVSzm3dh2a7xAurngTXkHayWHi+vji2CDTWR2D1TB6RwRh4xvVw==" saltValue="W2VENhRSLFyKaMYZ/nlz8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SXbiFg/PbAyHA/w68MLSmVTzgoo1FdJhOKUS/gkxsTgcK6hzuNtlgNrc2CrEbGuXlz9obbzApLggOMRiG08llw==" saltValue="4qkZzF+5FL9P/J4ms8Lye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LWQXnnrxUDpJpbjcLhGZKOct10LExjxIvEwLJ/31l8h2O4ldohCiKbXxuqn6B8aZbT8vO/8Ck4s89Fb0BnO8ZA==" saltValue="2068BLH/PLQVVMh/yVFa1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R0fKNf9NCWt2CSNA/0uSBF1wgT8Rn1yKfcyYuejmZjZQbdTr3115/Xw8eYPFkXPnUiw6K7jxRZrzsi0sdacjXw==" saltValue="n7y/cVGF4mV8h3E7TCVvN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2024-05-17T00:55:21Z</dcterms:modified>
</cp:coreProperties>
</file>