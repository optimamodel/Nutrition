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C50484AA-1B83-4939-97E1-EAA205D2364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6" i="2"/>
  <c r="A34" i="2"/>
  <c r="A31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40" i="2" l="1"/>
  <c r="A23" i="2"/>
  <c r="A24" i="2"/>
  <c r="A22" i="2"/>
  <c r="A25" i="2"/>
  <c r="I4" i="2"/>
  <c r="A26" i="2"/>
  <c r="I6" i="2"/>
  <c r="I12" i="2"/>
  <c r="A35" i="2"/>
  <c r="I7" i="2"/>
  <c r="I13" i="2"/>
  <c r="A37" i="2"/>
  <c r="I3" i="2"/>
  <c r="I2" i="2"/>
  <c r="I8" i="2"/>
  <c r="A19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<sst xmlns="http://schemas.openxmlformats.org/spreadsheetml/2006/main" count="2169" uniqueCount="369">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</sst>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503774.5703125</v>
      </c>
    </row>
    <row r="8" spans="1:3" ht="15" customHeight="1" x14ac:dyDescent="0.25">
      <c r="B8" s="5" t="s">
        <v>37</v>
      </c>
      <c r="C8" s="44">
        <v>0.45200000000000001</v>
      </c>
    </row>
    <row r="9" spans="1:3" ht="15" customHeight="1" x14ac:dyDescent="0.25">
      <c r="B9" s="5" t="s">
        <v>38</v>
      </c>
      <c r="C9" s="45">
        <v>0.16</v>
      </c>
    </row>
    <row r="10" spans="1:3" ht="15" customHeight="1" x14ac:dyDescent="0.25">
      <c r="B10" s="5" t="s">
        <v>39</v>
      </c>
      <c r="C10" s="45">
        <v>0.41391979217529301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0.12809999999999999</v>
      </c>
    </row>
    <row r="24" spans="1:3" ht="15" customHeight="1" x14ac:dyDescent="0.25">
      <c r="B24" s="15" t="s">
        <v>51</v>
      </c>
      <c r="C24" s="45">
        <v>0.52129999999999999</v>
      </c>
    </row>
    <row r="25" spans="1:3" ht="15" customHeight="1" x14ac:dyDescent="0.25">
      <c r="B25" s="15" t="s">
        <v>52</v>
      </c>
      <c r="C25" s="45">
        <v>0.2964</v>
      </c>
    </row>
    <row r="26" spans="1:3" ht="15" customHeight="1" x14ac:dyDescent="0.25">
      <c r="B26" s="15" t="s">
        <v>53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0.391186912619995</v>
      </c>
    </row>
    <row r="30" spans="1:3" ht="14.25" customHeight="1" x14ac:dyDescent="0.25">
      <c r="B30" s="25" t="s">
        <v>56</v>
      </c>
      <c r="C30" s="97">
        <v>2.27253385251939E-2</v>
      </c>
    </row>
    <row r="31" spans="1:3" ht="14.25" customHeight="1" x14ac:dyDescent="0.25">
      <c r="B31" s="25" t="s">
        <v>57</v>
      </c>
      <c r="C31" s="97">
        <v>4.1775369773239798E-2</v>
      </c>
    </row>
    <row r="32" spans="1:3" ht="14.25" customHeight="1" x14ac:dyDescent="0.25">
      <c r="B32" s="25" t="s">
        <v>58</v>
      </c>
      <c r="C32" s="97">
        <v>0.54431237908157204</v>
      </c>
    </row>
    <row r="33" spans="1:5" ht="13.25" customHeight="1" x14ac:dyDescent="0.25">
      <c r="B33" s="27" t="s">
        <v>59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17.335930000000001</v>
      </c>
    </row>
    <row r="38" spans="1:5" ht="15" customHeight="1" x14ac:dyDescent="0.25">
      <c r="B38" s="11" t="s">
        <v>63</v>
      </c>
      <c r="C38" s="43">
        <v>28.94961</v>
      </c>
      <c r="D38" s="12"/>
      <c r="E38" s="13"/>
    </row>
    <row r="39" spans="1:5" ht="15" customHeight="1" x14ac:dyDescent="0.25">
      <c r="B39" s="11" t="s">
        <v>64</v>
      </c>
      <c r="C39" s="43">
        <v>38.091560000000001</v>
      </c>
      <c r="D39" s="12"/>
      <c r="E39" s="12"/>
    </row>
    <row r="40" spans="1:5" ht="15" customHeight="1" x14ac:dyDescent="0.25">
      <c r="B40" s="11" t="s">
        <v>65</v>
      </c>
      <c r="C40" s="98">
        <v>3.22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71</v>
      </c>
      <c r="C47" s="45">
        <v>7.3457800000000004E-2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0.50167899999999999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0.10321427</v>
      </c>
    </row>
    <row r="63" spans="1:4" ht="15.75" customHeight="1" x14ac:dyDescent="0.3">
      <c r="A63" s="4"/>
    </row>
  </sheetData>
  <sheetProtection algorithmName="SHA-512" hashValue="CcAY/MgqmF76a3CNKWRGdQ5roNH1vNGJ7IGyX6esu+kyQvnt50ifCahnpW6jE8pmJJnJich7F2A7AJ/tVZWPlA==" saltValue="xKXcScuRfPMeIBheVth1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29390</v>
      </c>
      <c r="C2" s="49">
        <v>64769.000000000007</v>
      </c>
      <c r="D2" s="49">
        <v>112139</v>
      </c>
      <c r="E2" s="49">
        <v>95303</v>
      </c>
      <c r="F2" s="49">
        <v>64841.000000000007</v>
      </c>
      <c r="G2" s="17">
        <f t="shared" ref="G2:G13" si="0">C2+D2+E2+F2</f>
        <v>337052</v>
      </c>
      <c r="H2" s="17">
        <f t="shared" ref="H2:H13" si="1">(B2 + stillbirth*B2/(1000-stillbirth))/(1-abortion)</f>
        <v>33945.525912786943</v>
      </c>
      <c r="I2" s="17">
        <f t="shared" ref="I2:I13" si="2">G2-H2</f>
        <v>303106.47408721305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29208</v>
      </c>
      <c r="C3" s="50">
        <v>65058.000000000007</v>
      </c>
      <c r="D3" s="50">
        <v>112722</v>
      </c>
      <c r="E3" s="50">
        <v>96395.000000000015</v>
      </c>
      <c r="F3" s="50">
        <v>67577.5</v>
      </c>
      <c r="G3" s="17">
        <f t="shared" si="0"/>
        <v>341752.5</v>
      </c>
      <c r="H3" s="17">
        <f t="shared" si="1"/>
        <v>33735.315442690749</v>
      </c>
      <c r="I3" s="17">
        <f t="shared" si="2"/>
        <v>308017.18455730926</v>
      </c>
    </row>
    <row r="4" spans="1:9" ht="15.75" customHeight="1" x14ac:dyDescent="0.25">
      <c r="A4" s="5">
        <f t="shared" si="3"/>
        <v>2026</v>
      </c>
      <c r="B4" s="49">
        <v>29062</v>
      </c>
      <c r="C4" s="50">
        <v>65274.5</v>
      </c>
      <c r="D4" s="50">
        <v>113794</v>
      </c>
      <c r="E4" s="50">
        <v>97106.5</v>
      </c>
      <c r="F4" s="50">
        <v>70493</v>
      </c>
      <c r="G4" s="17">
        <f t="shared" si="0"/>
        <v>346668</v>
      </c>
      <c r="H4" s="17">
        <f t="shared" si="1"/>
        <v>33566.685065580612</v>
      </c>
      <c r="I4" s="17">
        <f t="shared" si="2"/>
        <v>313101.31493441941</v>
      </c>
    </row>
    <row r="5" spans="1:9" ht="15.75" customHeight="1" x14ac:dyDescent="0.25">
      <c r="A5" s="5">
        <f t="shared" si="3"/>
        <v>2027</v>
      </c>
      <c r="B5" s="49">
        <v>28909</v>
      </c>
      <c r="C5" s="50">
        <v>65500.5</v>
      </c>
      <c r="D5" s="50">
        <v>115317</v>
      </c>
      <c r="E5" s="50">
        <v>97354</v>
      </c>
      <c r="F5" s="50">
        <v>73423</v>
      </c>
      <c r="G5" s="17">
        <f t="shared" si="0"/>
        <v>351594.5</v>
      </c>
      <c r="H5" s="17">
        <f t="shared" si="1"/>
        <v>33389.969670389852</v>
      </c>
      <c r="I5" s="17">
        <f t="shared" si="2"/>
        <v>318204.53032961016</v>
      </c>
    </row>
    <row r="6" spans="1:9" ht="15.75" customHeight="1" x14ac:dyDescent="0.25">
      <c r="A6" s="5">
        <f t="shared" si="3"/>
        <v>2028</v>
      </c>
      <c r="B6" s="49">
        <v>28769</v>
      </c>
      <c r="C6" s="50">
        <v>65782.5</v>
      </c>
      <c r="D6" s="50">
        <v>116786</v>
      </c>
      <c r="E6" s="50">
        <v>97634.999999999985</v>
      </c>
      <c r="F6" s="50">
        <v>76060.499999999985</v>
      </c>
      <c r="G6" s="17">
        <f t="shared" si="0"/>
        <v>356264</v>
      </c>
      <c r="H6" s="17">
        <f t="shared" si="1"/>
        <v>33228.269308777395</v>
      </c>
      <c r="I6" s="17">
        <f t="shared" si="2"/>
        <v>323035.73069122259</v>
      </c>
    </row>
    <row r="7" spans="1:9" ht="15.75" customHeight="1" x14ac:dyDescent="0.25">
      <c r="A7" s="5">
        <f t="shared" si="3"/>
        <v>2029</v>
      </c>
      <c r="B7" s="49">
        <v>28636</v>
      </c>
      <c r="C7" s="50">
        <v>66165.5</v>
      </c>
      <c r="D7" s="50">
        <v>117697.5</v>
      </c>
      <c r="E7" s="50">
        <v>98043.5</v>
      </c>
      <c r="F7" s="50">
        <v>78548.499999999985</v>
      </c>
      <c r="G7" s="17">
        <f t="shared" si="0"/>
        <v>360455</v>
      </c>
      <c r="H7" s="17">
        <f t="shared" si="1"/>
        <v>33074.653965245561</v>
      </c>
      <c r="I7" s="17">
        <f t="shared" si="2"/>
        <v>327380.34603475442</v>
      </c>
    </row>
    <row r="8" spans="1:9" ht="15.75" customHeight="1" x14ac:dyDescent="0.25">
      <c r="A8" s="5">
        <f t="shared" si="3"/>
        <v>2030</v>
      </c>
      <c r="B8" s="49">
        <v>28481</v>
      </c>
      <c r="C8" s="50">
        <v>66569.5</v>
      </c>
      <c r="D8" s="50">
        <v>118293</v>
      </c>
      <c r="E8" s="50">
        <v>98689.5</v>
      </c>
      <c r="F8" s="50">
        <v>80898.500000000015</v>
      </c>
      <c r="G8" s="17">
        <f t="shared" si="0"/>
        <v>364450.5</v>
      </c>
      <c r="H8" s="17">
        <f t="shared" si="1"/>
        <v>32895.62856488891</v>
      </c>
      <c r="I8" s="17">
        <f t="shared" si="2"/>
        <v>331554.8714351111</v>
      </c>
    </row>
    <row r="9" spans="1:9" ht="15.75" customHeight="1" x14ac:dyDescent="0.25">
      <c r="A9" s="5">
        <f t="shared" si="3"/>
        <v>2031</v>
      </c>
      <c r="B9" s="49">
        <v>28383</v>
      </c>
      <c r="C9" s="50">
        <v>66736</v>
      </c>
      <c r="D9" s="50">
        <v>119049.5</v>
      </c>
      <c r="E9" s="50">
        <v>99338.5</v>
      </c>
      <c r="F9" s="50">
        <v>82958</v>
      </c>
      <c r="G9" s="17">
        <f t="shared" si="0"/>
        <v>368082</v>
      </c>
      <c r="H9" s="17">
        <f t="shared" si="1"/>
        <v>32782.438311760183</v>
      </c>
      <c r="I9" s="17">
        <f t="shared" si="2"/>
        <v>335299.5616882398</v>
      </c>
    </row>
    <row r="10" spans="1:9" ht="15.75" customHeight="1" x14ac:dyDescent="0.25">
      <c r="A10" s="5">
        <f t="shared" si="3"/>
        <v>2032</v>
      </c>
      <c r="B10" s="49">
        <v>28202</v>
      </c>
      <c r="C10" s="50">
        <v>66691.5</v>
      </c>
      <c r="D10" s="50">
        <v>120135.5</v>
      </c>
      <c r="E10" s="50">
        <v>99797</v>
      </c>
      <c r="F10" s="50">
        <v>84535.5</v>
      </c>
      <c r="G10" s="17">
        <f t="shared" si="0"/>
        <v>371159.5</v>
      </c>
      <c r="H10" s="17">
        <f t="shared" si="1"/>
        <v>32573.382844246935</v>
      </c>
      <c r="I10" s="17">
        <f t="shared" si="2"/>
        <v>338586.11715575308</v>
      </c>
    </row>
    <row r="11" spans="1:9" ht="15.75" customHeight="1" x14ac:dyDescent="0.25">
      <c r="A11" s="5">
        <f t="shared" si="3"/>
        <v>2033</v>
      </c>
      <c r="B11" s="49">
        <v>28053</v>
      </c>
      <c r="C11" s="50">
        <v>66612.5</v>
      </c>
      <c r="D11" s="50">
        <v>121376</v>
      </c>
      <c r="E11" s="50">
        <v>100312</v>
      </c>
      <c r="F11" s="50">
        <v>85878</v>
      </c>
      <c r="G11" s="17">
        <f t="shared" si="0"/>
        <v>374178.5</v>
      </c>
      <c r="H11" s="17">
        <f t="shared" si="1"/>
        <v>32401.287459387964</v>
      </c>
      <c r="I11" s="17">
        <f t="shared" si="2"/>
        <v>341777.21254061203</v>
      </c>
    </row>
    <row r="12" spans="1:9" ht="15.75" customHeight="1" x14ac:dyDescent="0.25">
      <c r="A12" s="5">
        <f t="shared" si="3"/>
        <v>2034</v>
      </c>
      <c r="B12" s="49">
        <v>27921</v>
      </c>
      <c r="C12" s="50">
        <v>66546</v>
      </c>
      <c r="D12" s="50">
        <v>122433</v>
      </c>
      <c r="E12" s="50">
        <v>100901.5</v>
      </c>
      <c r="F12" s="50">
        <v>87165.5</v>
      </c>
      <c r="G12" s="17">
        <f t="shared" si="0"/>
        <v>377046</v>
      </c>
      <c r="H12" s="17">
        <f t="shared" si="1"/>
        <v>32248.827118439072</v>
      </c>
      <c r="I12" s="17">
        <f t="shared" si="2"/>
        <v>344797.17288156092</v>
      </c>
    </row>
    <row r="13" spans="1:9" ht="15.75" customHeight="1" x14ac:dyDescent="0.25">
      <c r="A13" s="5">
        <f t="shared" si="3"/>
        <v>2035</v>
      </c>
      <c r="B13" s="49">
        <v>27785</v>
      </c>
      <c r="C13" s="50">
        <v>66539</v>
      </c>
      <c r="D13" s="50">
        <v>123168.5</v>
      </c>
      <c r="E13" s="50">
        <v>101629.5</v>
      </c>
      <c r="F13" s="50">
        <v>88319.5</v>
      </c>
      <c r="G13" s="17">
        <f t="shared" si="0"/>
        <v>379656.5</v>
      </c>
      <c r="H13" s="17">
        <f t="shared" si="1"/>
        <v>32091.746767158395</v>
      </c>
      <c r="I13" s="17">
        <f t="shared" si="2"/>
        <v>347564.75323284161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js3k3t+K/jTgw/MHL/+4onVBTNONITCVZ9T/6lcPmfTPwvWAISpQniYlNLfeCgv+fF9Otn1icaLSEVb9zZqdQ==" saltValue="BhqBc66SLL35ddCs22xQ7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9.54159904584009E-3</v>
      </c>
    </row>
    <row r="4" spans="1:8" ht="15.75" customHeight="1" x14ac:dyDescent="0.25">
      <c r="B4" s="19" t="s">
        <v>97</v>
      </c>
      <c r="C4" s="99">
        <v>6.4930893506910725E-2</v>
      </c>
    </row>
    <row r="5" spans="1:8" ht="15.75" customHeight="1" x14ac:dyDescent="0.25">
      <c r="B5" s="19" t="s">
        <v>98</v>
      </c>
      <c r="C5" s="99">
        <v>8.333079166692095E-2</v>
      </c>
    </row>
    <row r="6" spans="1:8" ht="15.75" customHeight="1" x14ac:dyDescent="0.25">
      <c r="B6" s="19" t="s">
        <v>99</v>
      </c>
      <c r="C6" s="99">
        <v>0.24122667587733301</v>
      </c>
    </row>
    <row r="7" spans="1:8" ht="15.75" customHeight="1" x14ac:dyDescent="0.25">
      <c r="B7" s="19" t="s">
        <v>100</v>
      </c>
      <c r="C7" s="99">
        <v>0.41004985899501339</v>
      </c>
    </row>
    <row r="8" spans="1:8" ht="15.75" customHeight="1" x14ac:dyDescent="0.25">
      <c r="B8" s="19" t="s">
        <v>101</v>
      </c>
      <c r="C8" s="99">
        <v>1.193399880660011E-3</v>
      </c>
    </row>
    <row r="9" spans="1:8" ht="15.75" customHeight="1" x14ac:dyDescent="0.25">
      <c r="B9" s="19" t="s">
        <v>102</v>
      </c>
      <c r="C9" s="99">
        <v>8.1527291847270894E-2</v>
      </c>
    </row>
    <row r="10" spans="1:8" ht="15.75" customHeight="1" x14ac:dyDescent="0.25">
      <c r="B10" s="19" t="s">
        <v>103</v>
      </c>
      <c r="C10" s="99">
        <v>0.108199489180051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106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107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108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109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110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111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112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113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8.7620265000000017E-2</v>
      </c>
    </row>
    <row r="27" spans="1:8" ht="15.75" customHeight="1" x14ac:dyDescent="0.25">
      <c r="B27" s="19" t="s">
        <v>120</v>
      </c>
      <c r="C27" s="99">
        <v>8.4936790000000005E-3</v>
      </c>
    </row>
    <row r="28" spans="1:8" ht="15.75" customHeight="1" x14ac:dyDescent="0.25">
      <c r="B28" s="19" t="s">
        <v>121</v>
      </c>
      <c r="C28" s="99">
        <v>0.15420750799999999</v>
      </c>
    </row>
    <row r="29" spans="1:8" ht="15.75" customHeight="1" x14ac:dyDescent="0.25">
      <c r="B29" s="19" t="s">
        <v>122</v>
      </c>
      <c r="C29" s="99">
        <v>0.168404365</v>
      </c>
    </row>
    <row r="30" spans="1:8" ht="15.75" customHeight="1" x14ac:dyDescent="0.25">
      <c r="B30" s="19" t="s">
        <v>2</v>
      </c>
      <c r="C30" s="99">
        <v>0.105568509</v>
      </c>
    </row>
    <row r="31" spans="1:8" ht="15.75" customHeight="1" x14ac:dyDescent="0.25">
      <c r="B31" s="19" t="s">
        <v>123</v>
      </c>
      <c r="C31" s="99">
        <v>0.10981025899999999</v>
      </c>
    </row>
    <row r="32" spans="1:8" ht="15.75" customHeight="1" x14ac:dyDescent="0.25">
      <c r="B32" s="19" t="s">
        <v>124</v>
      </c>
      <c r="C32" s="99">
        <v>1.8832593000000002E-2</v>
      </c>
    </row>
    <row r="33" spans="2:3" ht="15.75" customHeight="1" x14ac:dyDescent="0.25">
      <c r="B33" s="19" t="s">
        <v>125</v>
      </c>
      <c r="C33" s="99">
        <v>8.4520607999999997E-2</v>
      </c>
    </row>
    <row r="34" spans="2:3" ht="15.75" customHeight="1" x14ac:dyDescent="0.25">
      <c r="B34" s="19" t="s">
        <v>126</v>
      </c>
      <c r="C34" s="99">
        <v>0.26254221300000002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6Kw4q2MwDp6ijgz3dWZA24q6OsXdpDc5gDX1CxqlI2gzXcO1r2qxTirU7enDw/J0wf+no5mZuFFYF82H9+bi7A==" saltValue="iAC/h/9RLR80MW1763t0v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132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133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137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tDLmxtzU2+vbBPDUD5i8Hth+V9FRieKroD9mTO2oxFNPjnEMbxo0piyQmUcSACWsuy5fTp3j3Ye4OHBUQ9/cg==" saltValue="s7/V1F6WOYFYHGliauhJ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T7kKCG7+0mi0CEMiUKlRewReG7E15Hbp03SE8V33DJoW4orXTHeuC92rlTNRFBE2EjhrDyN29/oYeSO2toM6Uw==" saltValue="MrxZcgKtt9q00SgFGFVsk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jugkk+XkMAiCU9SqKMxBGQoyhNzhvAIEyqkrcTtPHk6X9/ZoaqDVJ8PKDbr4yKExYln2kNvy8v+hAlBmuhBog==" saltValue="XvOkcymtykrRbaUugrJVA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3986.88663743798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0.42570000000000002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0.49709999999999999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1.4239665E-2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95134.833559999999</v>
      </c>
      <c r="C22" s="107">
        <v>94259.775829999999</v>
      </c>
      <c r="D22" s="107">
        <v>93879.668690000006</v>
      </c>
      <c r="E22" s="107">
        <v>92820.057270000005</v>
      </c>
      <c r="F22" s="107">
        <v>91141.117509999996</v>
      </c>
      <c r="G22" s="107">
        <v>88761.198319999996</v>
      </c>
      <c r="H22" s="107">
        <v>85250.484360000002</v>
      </c>
      <c r="I22" s="107">
        <v>80547.380600000004</v>
      </c>
      <c r="J22" s="107">
        <v>74689.384040000004</v>
      </c>
      <c r="K22" s="107">
        <v>67846.72378</v>
      </c>
      <c r="L22" s="107">
        <v>59866.411999999997</v>
      </c>
      <c r="M22" s="107">
        <v>51696.86146</v>
      </c>
      <c r="N22" s="107">
        <v>43200.699979999998</v>
      </c>
      <c r="O22" s="107">
        <v>34421.725429999999</v>
      </c>
    </row>
  </sheetData>
  <sheetProtection algorithmName="SHA-512" hashValue="pUd08u1gVC7uMHvmY/ycrtVkGnwGCHfmO+X8KgylqMWM8vXzPp7smoFJZa0Heqyf+6QU2KpKRquaRnDbL9EjXw==" saltValue="JzGG1tG5wa4AXbMmX1qn5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+WU3TeVs+lJs6vZPA9uCRFHu9e/N/DfrFgxBcYrd1lE8Z3WDeBLibZ4WzqRjLqnUAoAjH1sXSteL2iSXfm9gg==" saltValue="DNWi6bR1If3rTWjDbhPND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wWoDC2TwhOTHaTX3iupmRe2GhhQY/C/qlTNA3HBYWbilw4MA5RCkUl/p6xjHCw/5QcYIs+WfBnoeIR3bcd9n+g==" saltValue="W8JLvBX8DdC/drtmtoAj0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12.81601982469946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12.81601982469946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12.81601982469946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12.81601982469946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12.81601982469946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1E-3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0.25800000000000001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0.25800000000000001</v>
      </c>
      <c r="C19" s="96">
        <v>0.95</v>
      </c>
      <c r="D19" s="56">
        <v>6.4276517687842469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0.70900000000000007</v>
      </c>
      <c r="C23" s="96">
        <v>0.95</v>
      </c>
      <c r="D23" s="56">
        <v>4.1567379002909028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0.24025928639999999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0.434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0.42499999999999999</v>
      </c>
      <c r="C29" s="96">
        <v>0.95</v>
      </c>
      <c r="D29" s="56">
        <v>93.648037947344875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0.78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0.26800000000000002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0.51764500000000002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XpLqvxlm678j16HxYKTfj05uVKl+Sqc15xUKwM3OM1jdgE2VUg7HsLcdaA+K9hKGdf+k+TuvaL8KYCAL84UE0w==" saltValue="/1I6Rc2oKuap5AiCknAy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OqW58rdxpfveVB0olmTUY2cbBdjq7mxgMYW9pfAvJhMiS5/aYqBjYfOXoGCSSLJwCOfQhTOF55pxUtn5v5WXg==" saltValue="6mUKDdPL+JBNPyjFyNwF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nHJzz1t7RWGovaROeQ6Nt4TQ7A1SO1MukDPGBHjNhbV2eXs/JQ7yzIr77eq1+GcxrOMQVswvj4Sl+rZCpeH/g==" saltValue="HzPoKIG9nhTnVnygUnAi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4LPiOzB1BhM80YQQkiwNaAe5UXs7DJdzQ2GXtqNebGI2m1V+Ln19nmaqnNBKD6FSHqg5TlPEIcM84nmompkQWg==" saltValue="wFBQbYThlI9aaq3kDjS/A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HgVuerK5q6EquTuH23WFt6awZGELWeNjm2mDB6STkGjfWB7P25LqpqhxQPtLp04zZ51AKLegqe9S5CbjGkvXg==" saltValue="QAXElHnQ/Vbeg88X4SdvZ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pfn/yWsO7QvXbAhwJhTroXjUYhckD71yrPEK0sSn3ZO/BWB9IkPxgGq+VAaPW1h54UT2QjnLxXCtXDKy0N3jg==" saltValue="uq4rB2HmF3IqBiiiG+jxA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QiM49/jxwtMeVOORA6aT5/8pe23e4atU+K1Q8R6Ocvq2DahukkbrW0Rs29L3ILKtLjALcBA8/WKucDfk2oMBw==" saltValue="Jgu1Q18BPG9oSEvbfSbXB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XW6+tlUez8UDiln+LLeo4OrCNHIhNmajeJ+YIlgt+CLrJWHq1tOMkfXBRx1sI9mgrNY8petV2umEIn/rg/LPQ==" saltValue="cJqy274GoiX9K0rgay/8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I893dO57+ldF6+Rso8Z8d2GdyW3OeEOIOqFhksjkjQKz7lhpN83Ie1OHBwUGyGWVvR3rRbKkcI0qvWK7LYN2Q==" saltValue="csWagSEn/Tn35s89L+4nb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0Q5Ikbru16rWjsnoJP08La3oy04JY7jWNQsUNCHVLT1nLcWwJuXfaUGW4DuVT9WT5nqi2El8+G2arfIX7HvXsw==" saltValue="7aZ8lX1LKX7nEtLjDjci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gHxQxwbJX2GYZXA9uMl6LJD1XqnhrFN5TR7OMQVlMPNUjwkvafpqE7+63HJ/SMhfyaKZRn+9XWaVRavkcBP+g==" saltValue="xelBF63GVZ4h1a/jWLhjH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Gcqo0HGo60cCqPRs1U2mfNjVDusyL8CcZ2S+IQFe+cfmCNQ3l314PdaM3/ZzEH6BzscB5Tpdxv+6N+FNv7zCw==" saltValue="d0UVOFd1r/yAn8Ny6ZJH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L8yRVhRorCvd4jUiUYA8O/lAhKzaHU1AqaLGB3aeXjlkhR1N+28J2J206U6VsZR4PSdVSiO8a/zlOIdvxG7jMg==" saltValue="imzfNzAUGIs+nLyIZo22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Dy32F6J3od3lC6Qmz8OXDo1GF49O6/WvmrO9oxOaXMiNZiDgo+fkrk9zNubY6ySSqvRNWt/BXQMFuW0t4Y6Rg==" saltValue="xO+5xoURoHsTKrbXuiUm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M/D1x7bHqrk9ivj4KmEFx7t7eUL8xsdv+JJI3imVbVNR9rgaxifTxLuCq0NNXmRZH1KpcDuDFyLonopViGREA==" saltValue="adr0PwiVKvYdZ+ObWRCu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sMkK7tEYt3E0sbjuPc/vQk3hyYMjcebeue/bAtIVh8ouB2BfQuXe66kYzJBAgt4XjIqqqYfysscECTnV6FYXg==" saltValue="6VCbNJzuDyGOtuMRoYeM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mcXGN0j9O/efGFurzydvJSsXCEjyZ+wyzvobaxRgt92FbfP0lDaVfNZiLAPwDftVGTqCrJHwGgcgVcGqCH0iQ==" saltValue="gu1/AdbZ4UML0k7c1jjp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Nn5eej2OMyJ5fDYytDcqC+u2ZkKmSbb0+eC9wT9vj8wgODz38geNUs1GnOV4LIRownFnKWx+iyjgV3PBSyScQ==" saltValue="Z0puGVz86AwsJ78M3zaJ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W/zO1Dy8If8rtolKvDpa/yvQqVp2qUmRfQtRtBWJThuOhBsxJXH3hUSOr8RBHYvb0oTSntIct4fm88h+XPzjXQ==" saltValue="0ofW5whiNMT+Tjfuxg+v2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