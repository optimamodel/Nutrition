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D7D43044-6701-44FA-AACC-CB9CC525A0D0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4" i="2"/>
  <c r="A31" i="2"/>
  <c r="A26" i="2"/>
  <c r="A23" i="2"/>
  <c r="H13" i="2"/>
  <c r="G13" i="2"/>
  <c r="H12" i="2"/>
  <c r="G12" i="2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I11" i="2" l="1"/>
  <c r="I6" i="2"/>
  <c r="I12" i="2"/>
  <c r="A35" i="2"/>
  <c r="A36" i="2"/>
  <c r="I7" i="2"/>
  <c r="I13" i="2"/>
  <c r="A37" i="2"/>
  <c r="A19" i="2"/>
  <c r="A22" i="2"/>
  <c r="I39" i="2"/>
  <c r="A24" i="2"/>
  <c r="A40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<sst xmlns="http://schemas.openxmlformats.org/spreadsheetml/2006/main" count="2169" uniqueCount="369">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</sst>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261374.5</v>
      </c>
    </row>
    <row r="8" spans="1:3" ht="15" customHeight="1" x14ac:dyDescent="0.25">
      <c r="B8" s="5" t="s">
        <v>37</v>
      </c>
      <c r="C8" s="44">
        <v>1.4E-2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0.84452529907226603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0.109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0.1542</v>
      </c>
    </row>
    <row r="24" spans="1:3" ht="15" customHeight="1" x14ac:dyDescent="0.25">
      <c r="B24" s="15" t="s">
        <v>51</v>
      </c>
      <c r="C24" s="45">
        <v>0.504</v>
      </c>
    </row>
    <row r="25" spans="1:3" ht="15" customHeight="1" x14ac:dyDescent="0.25">
      <c r="B25" s="15" t="s">
        <v>52</v>
      </c>
      <c r="C25" s="45">
        <v>0.31219999999999998</v>
      </c>
    </row>
    <row r="26" spans="1:3" ht="15" customHeight="1" x14ac:dyDescent="0.25">
      <c r="B26" s="15" t="s">
        <v>53</v>
      </c>
      <c r="C26" s="45">
        <v>2.9600000000000001E-2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0.3567553</v>
      </c>
    </row>
    <row r="30" spans="1:3" ht="14.25" customHeight="1" x14ac:dyDescent="0.25">
      <c r="B30" s="25" t="s">
        <v>56</v>
      </c>
      <c r="C30" s="97">
        <v>6.59106E-2</v>
      </c>
    </row>
    <row r="31" spans="1:3" ht="14.25" customHeight="1" x14ac:dyDescent="0.25">
      <c r="B31" s="25" t="s">
        <v>57</v>
      </c>
      <c r="C31" s="97">
        <v>9.2620400000000006E-2</v>
      </c>
    </row>
    <row r="32" spans="1:3" ht="14.25" customHeight="1" x14ac:dyDescent="0.25">
      <c r="B32" s="25" t="s">
        <v>58</v>
      </c>
      <c r="C32" s="97">
        <v>0.48471370000000003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5.3631900000000003</v>
      </c>
    </row>
    <row r="38" spans="1:5" ht="15" customHeight="1" x14ac:dyDescent="0.25">
      <c r="B38" s="11" t="s">
        <v>63</v>
      </c>
      <c r="C38" s="43">
        <v>6.2443299999999997</v>
      </c>
      <c r="D38" s="12"/>
      <c r="E38" s="13"/>
    </row>
    <row r="39" spans="1:5" ht="15" customHeight="1" x14ac:dyDescent="0.25">
      <c r="B39" s="11" t="s">
        <v>64</v>
      </c>
      <c r="C39" s="43">
        <v>7.6475099999999996</v>
      </c>
      <c r="D39" s="12"/>
      <c r="E39" s="12"/>
    </row>
    <row r="40" spans="1:5" ht="15" customHeight="1" x14ac:dyDescent="0.25">
      <c r="B40" s="11" t="s">
        <v>65</v>
      </c>
      <c r="C40" s="98">
        <v>0.22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4.2240700000000002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7.2145000000000004E-3</v>
      </c>
      <c r="D45" s="12"/>
    </row>
    <row r="46" spans="1:5" ht="15.75" customHeight="1" x14ac:dyDescent="0.25">
      <c r="B46" s="11" t="s">
        <v>70</v>
      </c>
      <c r="C46" s="45">
        <v>7.7518500000000004E-2</v>
      </c>
      <c r="D46" s="12"/>
    </row>
    <row r="47" spans="1:5" ht="15.75" customHeight="1" x14ac:dyDescent="0.25">
      <c r="B47" s="11" t="s">
        <v>71</v>
      </c>
      <c r="C47" s="45">
        <v>7.41401E-2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0.54813400000000001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7.4772848999999905E-2</v>
      </c>
    </row>
    <row r="63" spans="1:4" ht="15.75" customHeight="1" x14ac:dyDescent="0.3">
      <c r="A63" s="4"/>
    </row>
  </sheetData>
  <sheetProtection algorithmName="SHA-512" hashValue="AB5ZjJ+XjZFOOXGVFMiAfwPBYKBf+vVepvqOYCbZDMvNscdiSpgP3haMSm5P9BDhuGmjfp7FgHqMgcOlU3jWyw==" saltValue="6br3o1Kbh20Z6RxX5V1t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51253</v>
      </c>
      <c r="C2" s="49">
        <v>177157.5</v>
      </c>
      <c r="D2" s="49">
        <v>381603.50000000006</v>
      </c>
      <c r="E2" s="49">
        <v>408299</v>
      </c>
      <c r="F2" s="49">
        <v>360690.50000000006</v>
      </c>
      <c r="G2" s="17">
        <f t="shared" ref="G2:G13" si="0">C2+D2+E2+F2</f>
        <v>1327750.5</v>
      </c>
      <c r="H2" s="17">
        <f t="shared" ref="H2:H13" si="1">(B2 + stillbirth*B2/(1000-stillbirth))/(1-abortion)</f>
        <v>58489.107539027835</v>
      </c>
      <c r="I2" s="17">
        <f t="shared" ref="I2:I13" si="2">G2-H2</f>
        <v>1269261.3924609721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50630</v>
      </c>
      <c r="C3" s="50">
        <v>176844.5</v>
      </c>
      <c r="D3" s="50">
        <v>376889.5</v>
      </c>
      <c r="E3" s="50">
        <v>407532.5</v>
      </c>
      <c r="F3" s="50">
        <v>368448.49999999994</v>
      </c>
      <c r="G3" s="17">
        <f t="shared" si="0"/>
        <v>1329715</v>
      </c>
      <c r="H3" s="17">
        <f t="shared" si="1"/>
        <v>57778.149858563971</v>
      </c>
      <c r="I3" s="17">
        <f t="shared" si="2"/>
        <v>1271936.8501414361</v>
      </c>
    </row>
    <row r="4" spans="1:9" ht="15.75" customHeight="1" x14ac:dyDescent="0.25">
      <c r="A4" s="5">
        <f t="shared" si="3"/>
        <v>2026</v>
      </c>
      <c r="B4" s="49">
        <v>50203</v>
      </c>
      <c r="C4" s="50">
        <v>176360.5</v>
      </c>
      <c r="D4" s="50">
        <v>372304.5</v>
      </c>
      <c r="E4" s="50">
        <v>405885</v>
      </c>
      <c r="F4" s="50">
        <v>376030</v>
      </c>
      <c r="G4" s="17">
        <f t="shared" si="0"/>
        <v>1330580</v>
      </c>
      <c r="H4" s="17">
        <f t="shared" si="1"/>
        <v>57290.864257347173</v>
      </c>
      <c r="I4" s="17">
        <f t="shared" si="2"/>
        <v>1273289.1357426529</v>
      </c>
    </row>
    <row r="5" spans="1:9" ht="15.75" customHeight="1" x14ac:dyDescent="0.25">
      <c r="A5" s="5">
        <f t="shared" si="3"/>
        <v>2027</v>
      </c>
      <c r="B5" s="49">
        <v>49849</v>
      </c>
      <c r="C5" s="50">
        <v>176570</v>
      </c>
      <c r="D5" s="50">
        <v>368005</v>
      </c>
      <c r="E5" s="50">
        <v>403641</v>
      </c>
      <c r="F5" s="50">
        <v>382946.5</v>
      </c>
      <c r="G5" s="17">
        <f t="shared" si="0"/>
        <v>1331162.5</v>
      </c>
      <c r="H5" s="17">
        <f t="shared" si="1"/>
        <v>56886.885093809113</v>
      </c>
      <c r="I5" s="17">
        <f t="shared" si="2"/>
        <v>1274275.6149061909</v>
      </c>
    </row>
    <row r="6" spans="1:9" ht="15.75" customHeight="1" x14ac:dyDescent="0.25">
      <c r="A6" s="5">
        <f t="shared" si="3"/>
        <v>2028</v>
      </c>
      <c r="B6" s="49">
        <v>49455</v>
      </c>
      <c r="C6" s="50">
        <v>175226</v>
      </c>
      <c r="D6" s="50">
        <v>364832.5</v>
      </c>
      <c r="E6" s="50">
        <v>401175.5</v>
      </c>
      <c r="F6" s="50">
        <v>389026.5</v>
      </c>
      <c r="G6" s="17">
        <f t="shared" si="0"/>
        <v>1330260.5</v>
      </c>
      <c r="H6" s="17">
        <f t="shared" si="1"/>
        <v>56437.258567159421</v>
      </c>
      <c r="I6" s="17">
        <f t="shared" si="2"/>
        <v>1273823.2414328405</v>
      </c>
    </row>
    <row r="7" spans="1:9" ht="15.75" customHeight="1" x14ac:dyDescent="0.25">
      <c r="A7" s="5">
        <f t="shared" si="3"/>
        <v>2029</v>
      </c>
      <c r="B7" s="49">
        <v>49193</v>
      </c>
      <c r="C7" s="50">
        <v>173185</v>
      </c>
      <c r="D7" s="50">
        <v>362025.49999999994</v>
      </c>
      <c r="E7" s="50">
        <v>398878.00000000006</v>
      </c>
      <c r="F7" s="50">
        <v>394063.5</v>
      </c>
      <c r="G7" s="17">
        <f t="shared" si="0"/>
        <v>1328152</v>
      </c>
      <c r="H7" s="17">
        <f t="shared" si="1"/>
        <v>56138.268338778151</v>
      </c>
      <c r="I7" s="17">
        <f t="shared" si="2"/>
        <v>1272013.7316612219</v>
      </c>
    </row>
    <row r="8" spans="1:9" ht="15.75" customHeight="1" x14ac:dyDescent="0.25">
      <c r="A8" s="5">
        <f t="shared" si="3"/>
        <v>2030</v>
      </c>
      <c r="B8" s="49">
        <v>48914</v>
      </c>
      <c r="C8" s="50">
        <v>172528</v>
      </c>
      <c r="D8" s="50">
        <v>358210.5</v>
      </c>
      <c r="E8" s="50">
        <v>396707</v>
      </c>
      <c r="F8" s="50">
        <v>398188.5</v>
      </c>
      <c r="G8" s="17">
        <f t="shared" si="0"/>
        <v>1325634</v>
      </c>
      <c r="H8" s="17">
        <f t="shared" si="1"/>
        <v>55819.877981074431</v>
      </c>
      <c r="I8" s="17">
        <f t="shared" si="2"/>
        <v>1269814.1220189256</v>
      </c>
    </row>
    <row r="9" spans="1:9" ht="15.75" customHeight="1" x14ac:dyDescent="0.25">
      <c r="A9" s="5">
        <f t="shared" si="3"/>
        <v>2031</v>
      </c>
      <c r="B9" s="49">
        <v>48739</v>
      </c>
      <c r="C9" s="50">
        <v>171897.5</v>
      </c>
      <c r="D9" s="50">
        <v>354596</v>
      </c>
      <c r="E9" s="50">
        <v>394228.5</v>
      </c>
      <c r="F9" s="50">
        <v>401422</v>
      </c>
      <c r="G9" s="17">
        <f t="shared" si="0"/>
        <v>1322144</v>
      </c>
      <c r="H9" s="17">
        <f t="shared" si="1"/>
        <v>55620.170767460986</v>
      </c>
      <c r="I9" s="17">
        <f t="shared" si="2"/>
        <v>1266523.8292325391</v>
      </c>
    </row>
    <row r="10" spans="1:9" ht="15.75" customHeight="1" x14ac:dyDescent="0.25">
      <c r="A10" s="5">
        <f t="shared" si="3"/>
        <v>2032</v>
      </c>
      <c r="B10" s="49">
        <v>48589</v>
      </c>
      <c r="C10" s="50">
        <v>170071</v>
      </c>
      <c r="D10" s="50">
        <v>352854.00000000006</v>
      </c>
      <c r="E10" s="50">
        <v>390657</v>
      </c>
      <c r="F10" s="50">
        <v>403608</v>
      </c>
      <c r="G10" s="17">
        <f t="shared" si="0"/>
        <v>1317190</v>
      </c>
      <c r="H10" s="17">
        <f t="shared" si="1"/>
        <v>55448.993155792312</v>
      </c>
      <c r="I10" s="17">
        <f t="shared" si="2"/>
        <v>1261741.0068442076</v>
      </c>
    </row>
    <row r="11" spans="1:9" ht="15.75" customHeight="1" x14ac:dyDescent="0.25">
      <c r="A11" s="5">
        <f t="shared" si="3"/>
        <v>2033</v>
      </c>
      <c r="B11" s="49">
        <v>48413</v>
      </c>
      <c r="C11" s="50">
        <v>168597</v>
      </c>
      <c r="D11" s="50">
        <v>351623.00000000006</v>
      </c>
      <c r="E11" s="50">
        <v>386017</v>
      </c>
      <c r="F11" s="50">
        <v>404846</v>
      </c>
      <c r="G11" s="17">
        <f t="shared" si="0"/>
        <v>1311083</v>
      </c>
      <c r="H11" s="17">
        <f t="shared" si="1"/>
        <v>55248.14475810108</v>
      </c>
      <c r="I11" s="17">
        <f t="shared" si="2"/>
        <v>1255834.8552418989</v>
      </c>
    </row>
    <row r="12" spans="1:9" ht="15.75" customHeight="1" x14ac:dyDescent="0.25">
      <c r="A12" s="5">
        <f t="shared" si="3"/>
        <v>2034</v>
      </c>
      <c r="B12" s="49">
        <v>48147</v>
      </c>
      <c r="C12" s="50">
        <v>166357.5</v>
      </c>
      <c r="D12" s="50">
        <v>350564</v>
      </c>
      <c r="E12" s="50">
        <v>381014</v>
      </c>
      <c r="F12" s="50">
        <v>405136.49999999994</v>
      </c>
      <c r="G12" s="17">
        <f t="shared" si="0"/>
        <v>1303072</v>
      </c>
      <c r="H12" s="17">
        <f t="shared" si="1"/>
        <v>54944.589793408646</v>
      </c>
      <c r="I12" s="17">
        <f t="shared" si="2"/>
        <v>1248127.4102065912</v>
      </c>
    </row>
    <row r="13" spans="1:9" ht="15.75" customHeight="1" x14ac:dyDescent="0.25">
      <c r="A13" s="5">
        <f t="shared" si="3"/>
        <v>2035</v>
      </c>
      <c r="B13" s="49">
        <v>47899</v>
      </c>
      <c r="C13" s="50">
        <v>161320.5</v>
      </c>
      <c r="D13" s="50">
        <v>349623</v>
      </c>
      <c r="E13" s="50">
        <v>376371.99999999994</v>
      </c>
      <c r="F13" s="50">
        <v>404446</v>
      </c>
      <c r="G13" s="17">
        <f t="shared" si="0"/>
        <v>1291761.5</v>
      </c>
      <c r="H13" s="17">
        <f t="shared" si="1"/>
        <v>54661.576142116442</v>
      </c>
      <c r="I13" s="17">
        <f t="shared" si="2"/>
        <v>1237099.9238578836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NGV/YtvD3qy9WAfOYyAU9m46BI7KwaUpRYj8faTBSlOgyBRRCWmJRg3EDDUQnTIXpzUmkM49bv23EZlIXWodA==" saltValue="E1DemiOzdbjWj03qN3Rku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2.2469799999999981E-2</v>
      </c>
    </row>
    <row r="5" spans="1:8" ht="15.75" customHeight="1" x14ac:dyDescent="0.25">
      <c r="B5" s="19" t="s">
        <v>98</v>
      </c>
      <c r="C5" s="99">
        <v>2.4460900000000049E-2</v>
      </c>
    </row>
    <row r="6" spans="1:8" ht="15.75" customHeight="1" x14ac:dyDescent="0.25">
      <c r="B6" s="19" t="s">
        <v>99</v>
      </c>
      <c r="C6" s="99">
        <v>0.10187679999999991</v>
      </c>
    </row>
    <row r="7" spans="1:8" ht="15.75" customHeight="1" x14ac:dyDescent="0.25">
      <c r="B7" s="19" t="s">
        <v>100</v>
      </c>
      <c r="C7" s="99">
        <v>0.41340200000000021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0.39500150000000001</v>
      </c>
    </row>
    <row r="10" spans="1:8" ht="15.75" customHeight="1" x14ac:dyDescent="0.25">
      <c r="B10" s="19" t="s">
        <v>103</v>
      </c>
      <c r="C10" s="99">
        <v>4.2788999999999952E-2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6.6684069736894405E-2</v>
      </c>
      <c r="D14" s="55">
        <v>6.6684069736894405E-2</v>
      </c>
      <c r="E14" s="55">
        <v>6.6684069736894405E-2</v>
      </c>
      <c r="F14" s="55">
        <v>6.6684069736894405E-2</v>
      </c>
    </row>
    <row r="15" spans="1:8" ht="15.75" customHeight="1" x14ac:dyDescent="0.25">
      <c r="B15" s="19" t="s">
        <v>106</v>
      </c>
      <c r="C15" s="99">
        <v>0.1594063741512792</v>
      </c>
      <c r="D15" s="99">
        <v>0.1594063741512792</v>
      </c>
      <c r="E15" s="99">
        <v>0.1594063741512792</v>
      </c>
      <c r="F15" s="99">
        <v>0.1594063741512792</v>
      </c>
    </row>
    <row r="16" spans="1:8" ht="15.75" customHeight="1" x14ac:dyDescent="0.25">
      <c r="B16" s="19" t="s">
        <v>107</v>
      </c>
      <c r="C16" s="99">
        <v>4.5121886732581648E-2</v>
      </c>
      <c r="D16" s="99">
        <v>4.5121886732581648E-2</v>
      </c>
      <c r="E16" s="99">
        <v>4.5121886732581648E-2</v>
      </c>
      <c r="F16" s="99">
        <v>4.5121886732581648E-2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3.5873226357410631E-3</v>
      </c>
      <c r="D19" s="99">
        <v>3.5873226357410631E-3</v>
      </c>
      <c r="E19" s="99">
        <v>3.5873226357410631E-3</v>
      </c>
      <c r="F19" s="99">
        <v>3.5873226357410631E-3</v>
      </c>
    </row>
    <row r="20" spans="1:8" ht="15.75" customHeight="1" x14ac:dyDescent="0.25">
      <c r="B20" s="19" t="s">
        <v>111</v>
      </c>
      <c r="C20" s="99">
        <v>0.42885433690608749</v>
      </c>
      <c r="D20" s="99">
        <v>0.42885433690608749</v>
      </c>
      <c r="E20" s="99">
        <v>0.42885433690608749</v>
      </c>
      <c r="F20" s="99">
        <v>0.42885433690608749</v>
      </c>
    </row>
    <row r="21" spans="1:8" ht="15.75" customHeight="1" x14ac:dyDescent="0.25">
      <c r="B21" s="19" t="s">
        <v>112</v>
      </c>
      <c r="C21" s="99">
        <v>0.21280453826937559</v>
      </c>
      <c r="D21" s="99">
        <v>0.21280453826937559</v>
      </c>
      <c r="E21" s="99">
        <v>0.21280453826937559</v>
      </c>
      <c r="F21" s="99">
        <v>0.21280453826937559</v>
      </c>
    </row>
    <row r="22" spans="1:8" ht="15.75" customHeight="1" x14ac:dyDescent="0.25">
      <c r="B22" s="19" t="s">
        <v>113</v>
      </c>
      <c r="C22" s="99">
        <v>8.354147156804044E-2</v>
      </c>
      <c r="D22" s="99">
        <v>8.354147156804044E-2</v>
      </c>
      <c r="E22" s="99">
        <v>8.354147156804044E-2</v>
      </c>
      <c r="F22" s="99">
        <v>8.354147156804044E-2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4.3847376999999993E-2</v>
      </c>
    </row>
    <row r="27" spans="1:8" ht="15.75" customHeight="1" x14ac:dyDescent="0.25">
      <c r="B27" s="19" t="s">
        <v>120</v>
      </c>
      <c r="C27" s="99">
        <v>3.4044087000000001E-2</v>
      </c>
    </row>
    <row r="28" spans="1:8" ht="15.75" customHeight="1" x14ac:dyDescent="0.25">
      <c r="B28" s="19" t="s">
        <v>121</v>
      </c>
      <c r="C28" s="99">
        <v>4.3283602999999997E-2</v>
      </c>
    </row>
    <row r="29" spans="1:8" ht="15.75" customHeight="1" x14ac:dyDescent="0.25">
      <c r="B29" s="19" t="s">
        <v>122</v>
      </c>
      <c r="C29" s="99">
        <v>0.177569167</v>
      </c>
    </row>
    <row r="30" spans="1:8" ht="15.75" customHeight="1" x14ac:dyDescent="0.25">
      <c r="B30" s="19" t="s">
        <v>2</v>
      </c>
      <c r="C30" s="99">
        <v>3.1893660999999997E-2</v>
      </c>
    </row>
    <row r="31" spans="1:8" ht="15.75" customHeight="1" x14ac:dyDescent="0.25">
      <c r="B31" s="19" t="s">
        <v>123</v>
      </c>
      <c r="C31" s="99">
        <v>9.3503550000000005E-2</v>
      </c>
    </row>
    <row r="32" spans="1:8" ht="15.75" customHeight="1" x14ac:dyDescent="0.25">
      <c r="B32" s="19" t="s">
        <v>124</v>
      </c>
      <c r="C32" s="99">
        <v>7.8392814000000005E-2</v>
      </c>
    </row>
    <row r="33" spans="2:3" ht="15.75" customHeight="1" x14ac:dyDescent="0.25">
      <c r="B33" s="19" t="s">
        <v>125</v>
      </c>
      <c r="C33" s="99">
        <v>0.15751110600000001</v>
      </c>
    </row>
    <row r="34" spans="2:3" ht="15.75" customHeight="1" x14ac:dyDescent="0.25">
      <c r="B34" s="19" t="s">
        <v>126</v>
      </c>
      <c r="C34" s="99">
        <v>0.33995463500000001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pfeyMofCNq+gIXkONlOi9bWeT0OuUmfm0oLXeNlx17L6F9n+aJdySWp6YYffY4YHkxBHJ7G/9WiCKRgV6SH0PQ==" saltValue="yEwo/ylXjjqV+/vDaTPa8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0.93833849674838177</v>
      </c>
      <c r="D2" s="52">
        <f>IFERROR(1-_xlfn.NORM.DIST(_xlfn.NORM.INV(SUM(D4:D5), 0, 1) + 1, 0, 1, TRUE), "")</f>
        <v>0.93833849674838177</v>
      </c>
      <c r="E2" s="52">
        <f>IFERROR(1-_xlfn.NORM.DIST(_xlfn.NORM.INV(SUM(E4:E5), 0, 1) + 1, 0, 1, TRUE), "")</f>
        <v>0.97657306715428949</v>
      </c>
      <c r="F2" s="52">
        <f>IFERROR(1-_xlfn.NORM.DIST(_xlfn.NORM.INV(SUM(F4:F5), 0, 1) + 1, 0, 1, TRUE), "")</f>
        <v>0.76771311952628396</v>
      </c>
      <c r="G2" s="52">
        <f>IFERROR(1-_xlfn.NORM.DIST(_xlfn.NORM.INV(SUM(G4:G5), 0, 1) + 1, 0, 1, TRUE), "")</f>
        <v>0.76772716564738364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5.6134303251618188E-2</v>
      </c>
      <c r="D3" s="52">
        <f>IFERROR(_xlfn.NORM.DIST(_xlfn.NORM.INV(SUM(D4:D5), 0, 1) + 1, 0, 1, TRUE) - SUM(D4:D5), "")</f>
        <v>5.6134303251618188E-2</v>
      </c>
      <c r="E3" s="52">
        <f>IFERROR(_xlfn.NORM.DIST(_xlfn.NORM.INV(SUM(E4:E5), 0, 1) + 1, 0, 1, TRUE) - SUM(E4:E5), "")</f>
        <v>2.2021132845710556E-2</v>
      </c>
      <c r="F3" s="52">
        <f>IFERROR(_xlfn.NORM.DIST(_xlfn.NORM.INV(SUM(F4:F5), 0, 1) + 1, 0, 1, TRUE) - SUM(F4:F5), "")</f>
        <v>0.190590980473716</v>
      </c>
      <c r="G3" s="52">
        <f>IFERROR(_xlfn.NORM.DIST(_xlfn.NORM.INV(SUM(G4:G5), 0, 1) + 1, 0, 1, TRUE) - SUM(G4:G5), "")</f>
        <v>0.19058103435261639</v>
      </c>
    </row>
    <row r="4" spans="1:15" ht="15.75" customHeight="1" x14ac:dyDescent="0.25">
      <c r="B4" s="5" t="s">
        <v>132</v>
      </c>
      <c r="C4" s="45">
        <v>5.5271999999999986E-3</v>
      </c>
      <c r="D4" s="53">
        <v>5.5271999999999986E-3</v>
      </c>
      <c r="E4" s="53">
        <v>0</v>
      </c>
      <c r="F4" s="53">
        <v>3.6424100000000001E-2</v>
      </c>
      <c r="G4" s="53">
        <v>3.7740099999999999E-2</v>
      </c>
    </row>
    <row r="5" spans="1:15" ht="15.75" customHeight="1" x14ac:dyDescent="0.25">
      <c r="B5" s="5" t="s">
        <v>133</v>
      </c>
      <c r="C5" s="45">
        <v>0</v>
      </c>
      <c r="D5" s="53">
        <v>0</v>
      </c>
      <c r="E5" s="53">
        <v>1.4058E-3</v>
      </c>
      <c r="F5" s="53">
        <v>5.2718000000000001E-3</v>
      </c>
      <c r="G5" s="53">
        <v>3.9516999999999998E-3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0.86844675866203558</v>
      </c>
      <c r="D8" s="52">
        <f>IFERROR(1-_xlfn.NORM.DIST(_xlfn.NORM.INV(SUM(D10:D11), 0, 1) + 1, 0, 1, TRUE), "")</f>
        <v>0.86844675866203558</v>
      </c>
      <c r="E8" s="52">
        <f>IFERROR(1-_xlfn.NORM.DIST(_xlfn.NORM.INV(SUM(E10:E11), 0, 1) + 1, 0, 1, TRUE), "")</f>
        <v>0.94854474794398136</v>
      </c>
      <c r="F8" s="52">
        <f>IFERROR(1-_xlfn.NORM.DIST(_xlfn.NORM.INV(SUM(F10:F11), 0, 1) + 1, 0, 1, TRUE), "")</f>
        <v>0.83838136775660943</v>
      </c>
      <c r="G8" s="52">
        <f>IFERROR(1-_xlfn.NORM.DIST(_xlfn.NORM.INV(SUM(G10:G11), 0, 1) + 1, 0, 1, TRUE), "")</f>
        <v>0.85944426429782506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0.1145113413379644</v>
      </c>
      <c r="D9" s="52">
        <f>IFERROR(_xlfn.NORM.DIST(_xlfn.NORM.INV(SUM(D10:D11), 0, 1) + 1, 0, 1, TRUE) - SUM(D10:D11), "")</f>
        <v>0.1145113413379644</v>
      </c>
      <c r="E9" s="52">
        <f>IFERROR(_xlfn.NORM.DIST(_xlfn.NORM.INV(SUM(E10:E11), 0, 1) + 1, 0, 1, TRUE) - SUM(E10:E11), "")</f>
        <v>4.7197352056018639E-2</v>
      </c>
      <c r="F9" s="52">
        <f>IFERROR(_xlfn.NORM.DIST(_xlfn.NORM.INV(SUM(F10:F11), 0, 1) + 1, 0, 1, TRUE) - SUM(F10:F11), "")</f>
        <v>0.13820323224339057</v>
      </c>
      <c r="G9" s="52">
        <f>IFERROR(_xlfn.NORM.DIST(_xlfn.NORM.INV(SUM(G10:G11), 0, 1) + 1, 0, 1, TRUE) - SUM(G10:G11), "")</f>
        <v>0.12169303570217489</v>
      </c>
    </row>
    <row r="10" spans="1:15" ht="15.75" customHeight="1" x14ac:dyDescent="0.25">
      <c r="B10" s="5" t="s">
        <v>137</v>
      </c>
      <c r="C10" s="45">
        <v>1.52268E-2</v>
      </c>
      <c r="D10" s="53">
        <v>1.52268E-2</v>
      </c>
      <c r="E10" s="53">
        <v>4.2579000000000002E-3</v>
      </c>
      <c r="F10" s="53">
        <v>1.9031300000000001E-2</v>
      </c>
      <c r="G10" s="53">
        <v>1.83561E-2</v>
      </c>
    </row>
    <row r="11" spans="1:15" ht="15.75" customHeight="1" x14ac:dyDescent="0.25">
      <c r="B11" s="5" t="s">
        <v>138</v>
      </c>
      <c r="C11" s="45">
        <v>1.8151E-3</v>
      </c>
      <c r="D11" s="53">
        <v>1.8151E-3</v>
      </c>
      <c r="E11" s="53">
        <v>0</v>
      </c>
      <c r="F11" s="53">
        <v>4.3841000000000001E-3</v>
      </c>
      <c r="G11" s="53">
        <v>5.0659999999999995E-4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0.11872693625</v>
      </c>
      <c r="D14" s="54">
        <v>0.10841147821200001</v>
      </c>
      <c r="E14" s="54">
        <v>0.10841147821200001</v>
      </c>
      <c r="F14" s="54">
        <v>0.15067343412</v>
      </c>
      <c r="G14" s="54">
        <v>0.15067343412</v>
      </c>
      <c r="H14" s="45">
        <v>0.247</v>
      </c>
      <c r="I14" s="55">
        <v>0.247</v>
      </c>
      <c r="J14" s="55">
        <v>0.247</v>
      </c>
      <c r="K14" s="55">
        <v>0.247</v>
      </c>
      <c r="L14" s="45">
        <v>0.14599999999999999</v>
      </c>
      <c r="M14" s="55">
        <v>0.14599999999999999</v>
      </c>
      <c r="N14" s="55">
        <v>0.14599999999999999</v>
      </c>
      <c r="O14" s="55">
        <v>0.14599999999999999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6.5078270474457495E-2</v>
      </c>
      <c r="D15" s="52">
        <f t="shared" si="0"/>
        <v>5.9424017198256414E-2</v>
      </c>
      <c r="E15" s="52">
        <f t="shared" si="0"/>
        <v>5.9424017198256414E-2</v>
      </c>
      <c r="F15" s="52">
        <f t="shared" si="0"/>
        <v>8.2589232137932081E-2</v>
      </c>
      <c r="G15" s="52">
        <f t="shared" si="0"/>
        <v>8.2589232137932081E-2</v>
      </c>
      <c r="H15" s="52">
        <f t="shared" si="0"/>
        <v>0.13538909800000001</v>
      </c>
      <c r="I15" s="52">
        <f t="shared" si="0"/>
        <v>0.13538909800000001</v>
      </c>
      <c r="J15" s="52">
        <f t="shared" si="0"/>
        <v>0.13538909800000001</v>
      </c>
      <c r="K15" s="52">
        <f t="shared" si="0"/>
        <v>0.13538909800000001</v>
      </c>
      <c r="L15" s="52">
        <f t="shared" si="0"/>
        <v>8.0027563999999995E-2</v>
      </c>
      <c r="M15" s="52">
        <f t="shared" si="0"/>
        <v>8.0027563999999995E-2</v>
      </c>
      <c r="N15" s="52">
        <f t="shared" si="0"/>
        <v>8.0027563999999995E-2</v>
      </c>
      <c r="O15" s="52">
        <f t="shared" si="0"/>
        <v>8.0027563999999995E-2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LVTOM+h+TaeeQFDqqobjFhhvX407lFInMf8boQuflOPk4pLVvkbLagphbmpZiI1HoqPH3fEZ/I0uRG0pU0hqw==" saltValue="itZ/t2LUNu0HwvfFBeuC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0.43854949999999998</v>
      </c>
      <c r="D2" s="53">
        <v>0.224714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8.4648000000000001E-2</v>
      </c>
      <c r="D3" s="53">
        <v>0.1454685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0.37770900000000002</v>
      </c>
      <c r="D4" s="53">
        <v>0.45987929999999999</v>
      </c>
      <c r="E4" s="53">
        <v>0.60442529999999994</v>
      </c>
      <c r="F4" s="53">
        <v>0.4598352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9.9093499999999946E-2</v>
      </c>
      <c r="D5" s="52">
        <f t="shared" si="0"/>
        <v>0.16993820000000004</v>
      </c>
      <c r="E5" s="52">
        <f>1-SUM(E2:E4)</f>
        <v>0.39557470000000006</v>
      </c>
      <c r="F5" s="52">
        <f>1-SUM(F2:F4)</f>
        <v>0.5401648</v>
      </c>
      <c r="G5" s="52">
        <f>1-SUM(G2:G4)</f>
        <v>1</v>
      </c>
    </row>
  </sheetData>
  <sheetProtection algorithmName="SHA-512" hashValue="DX75RoY6gO9STRktpccxGL6Sxc/X8amtnX4PnOOjsi1ShyNATWwIx3mRpaRRcGN3TLgEpmQsXzLdVvmIuZvu7w==" saltValue="hNkGoHYvx0Onr8x8sqWZa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2a1z78iMQIKWwhtx28Q90NRZjYjQfJPRnDS1T+Ci/DpjY2e3WwrhNCHWziIp6wiNtRTgEt0fz70wTZHo00chvg==" saltValue="QN1D5I8noHL/72MvvoKBX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1336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0.54178999999999999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0.57020000000000004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1.509245483611216E-2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99132.361789999995</v>
      </c>
      <c r="C22" s="107">
        <v>99061.074739999996</v>
      </c>
      <c r="D22" s="107">
        <v>98963.693530000004</v>
      </c>
      <c r="E22" s="107">
        <v>98680.141059999994</v>
      </c>
      <c r="F22" s="107">
        <v>98153.974589999998</v>
      </c>
      <c r="G22" s="107">
        <v>97602.533230000001</v>
      </c>
      <c r="H22" s="107">
        <v>97055.202059999996</v>
      </c>
      <c r="I22" s="107">
        <v>96371.584029999998</v>
      </c>
      <c r="J22" s="107">
        <v>95510.859769999995</v>
      </c>
      <c r="K22" s="107">
        <v>94373.673190000001</v>
      </c>
      <c r="L22" s="107">
        <v>92900.478180000006</v>
      </c>
      <c r="M22" s="107">
        <v>90724.925860000003</v>
      </c>
      <c r="N22" s="107">
        <v>86989.060370000007</v>
      </c>
      <c r="O22" s="107">
        <v>82557.495339999994</v>
      </c>
    </row>
  </sheetData>
  <sheetProtection algorithmName="SHA-512" hashValue="F0DCRhqpce3A0eqsABkBPfpX8mTaIz8D1wHtV7jT6vSjPuXnDPq+SNAAysKXwfkjn7ie/Z4EGq6T3N5ZwuSYRQ==" saltValue="GDda6Y0EuzuY+xP+IPwES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UGpF5OLY7kagE2d0m8USMdsPoNPyDfHDCNE/subGmWicsWCcxdQf1E31L/h7GA+PQDBFSh2xkCfXYvyrUx07cA==" saltValue="yoOmU4UATSJTyvZKzAvRK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6UTrFvZqwgA19Chu7pyj8NZIzMn7QGn28rRkQC3Cmg5umIh4wqRc/6xAmwMxP87cDNHWuFSD5Sk+7Fr+BNSprA==" saltValue="egZ5ijMk1PtVj7dvijx5Q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14.11049898909264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14.11049898909264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14.11049898909264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14.11049898909264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14.11049898909264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14.11049898909264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0.31415611111111102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0.224714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0.224714</v>
      </c>
      <c r="C19" s="96">
        <v>0.95</v>
      </c>
      <c r="D19" s="56">
        <v>27.02885669161574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4.9657873780366408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0.93597991376873002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0.56282260000000006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0.75648280000000001</v>
      </c>
      <c r="C29" s="96">
        <v>0.95</v>
      </c>
      <c r="D29" s="56">
        <v>225.46212730893359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0.85956929999999998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0.20890819999999999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3.2008099999999998E-2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0.99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4.8103300000000002E-2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ndVk7kO8Qcrfr9T5vrzWEj03uQEXviPvjNgQRYXEC4lZIUBlMtuzX3TRqgi3Qt/zcl3TAwaxJjIxhW/R7e4HnQ==" saltValue="rVFgFJklv9owQm9gWUPV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FhlLtQEhNQqRKtmVTPgCFJGvMGvOcNWZhyR6QwToRwp9kLQn00uwGRxG5mvDKDb+yQy6I4+4fJYIZ75MwAgIQQ==" saltValue="gsGsZ+Hn4aXLqMvWIH7F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9jbji9oROaFhVDvuPuTNTJtMVY0hoJSgb+wo6ha4kpJSnCELcNnOl90IdbR/1u1mA8qrhw7PXuNFwrHjOQt+tA==" saltValue="1H++a4EjdzlmS0dXlOEy2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3.9589680000000002E-2</v>
      </c>
      <c r="C3" s="21">
        <f>frac_mam_1_5months * 2.6</f>
        <v>3.9589680000000002E-2</v>
      </c>
      <c r="D3" s="21">
        <f>frac_mam_6_11months * 2.6</f>
        <v>1.107054E-2</v>
      </c>
      <c r="E3" s="21">
        <f>frac_mam_12_23months * 2.6</f>
        <v>4.9481380000000005E-2</v>
      </c>
      <c r="F3" s="21">
        <f>frac_mam_24_59months * 2.6</f>
        <v>4.7725860000000002E-2</v>
      </c>
    </row>
    <row r="4" spans="1:6" ht="15.75" customHeight="1" x14ac:dyDescent="0.25">
      <c r="A4" s="3" t="s">
        <v>237</v>
      </c>
      <c r="B4" s="21">
        <f>frac_sam_1month * 2.6</f>
        <v>4.7192600000000003E-3</v>
      </c>
      <c r="C4" s="21">
        <f>frac_sam_1_5months * 2.6</f>
        <v>4.7192600000000003E-3</v>
      </c>
      <c r="D4" s="21">
        <f>frac_sam_6_11months * 2.6</f>
        <v>0</v>
      </c>
      <c r="E4" s="21">
        <f>frac_sam_12_23months * 2.6</f>
        <v>1.1398660000000001E-2</v>
      </c>
      <c r="F4" s="21">
        <f>frac_sam_24_59months * 2.6</f>
        <v>1.3171599999999999E-3</v>
      </c>
    </row>
  </sheetData>
  <sheetProtection algorithmName="SHA-512" hashValue="CJwnt7NbsX4vZmWTJv2LN3TyBLkSWohR1aCYIpFLYl5XZLCSj8U1t8niT68HLs/95y6A10e4RzrRNYYT3+zJOg==" saltValue="2iyqPa5P3XCMxJUfqs2qY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1.4E-2</v>
      </c>
      <c r="F2" s="60">
        <f>food_insecure</f>
        <v>1.4E-2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1.4E-2</v>
      </c>
      <c r="F5" s="60">
        <f>food_insecure</f>
        <v>1.4E-2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1.4E-2</v>
      </c>
      <c r="F8" s="60">
        <f>food_insecure</f>
        <v>1.4E-2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1.4E-2</v>
      </c>
      <c r="F9" s="60">
        <f>food_insecure</f>
        <v>1.4E-2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1.4E-2</v>
      </c>
      <c r="I15" s="60">
        <f t="shared" si="0"/>
        <v>1.4E-2</v>
      </c>
      <c r="J15" s="60">
        <f t="shared" si="0"/>
        <v>1.4E-2</v>
      </c>
      <c r="K15" s="60">
        <f t="shared" si="0"/>
        <v>1.4E-2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1.4E-2</v>
      </c>
      <c r="I16" s="60">
        <f t="shared" si="0"/>
        <v>1.4E-2</v>
      </c>
      <c r="J16" s="60">
        <f t="shared" si="0"/>
        <v>1.4E-2</v>
      </c>
      <c r="K16" s="60">
        <f t="shared" si="0"/>
        <v>1.4E-2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0.109</v>
      </c>
      <c r="M24" s="60">
        <f>famplan_unmet_need</f>
        <v>0.109</v>
      </c>
      <c r="N24" s="60">
        <f>famplan_unmet_need</f>
        <v>0.109</v>
      </c>
      <c r="O24" s="60">
        <f>famplan_unmet_need</f>
        <v>0.109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7.6639699075317175E-2</v>
      </c>
      <c r="M25" s="60">
        <f>(1-food_insecure)*(0.49)+food_insecure*(0.7)</f>
        <v>0.49293999999999993</v>
      </c>
      <c r="N25" s="60">
        <f>(1-food_insecure)*(0.49)+food_insecure*(0.7)</f>
        <v>0.49293999999999993</v>
      </c>
      <c r="O25" s="60">
        <f>(1-food_insecure)*(0.49)+food_insecure*(0.7)</f>
        <v>0.49293999999999993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3.284558531799308E-2</v>
      </c>
      <c r="M26" s="60">
        <f>(1-food_insecure)*(0.21)+food_insecure*(0.3)</f>
        <v>0.21126</v>
      </c>
      <c r="N26" s="60">
        <f>(1-food_insecure)*(0.21)+food_insecure*(0.3)</f>
        <v>0.21126</v>
      </c>
      <c r="O26" s="60">
        <f>(1-food_insecure)*(0.21)+food_insecure*(0.3)</f>
        <v>0.21126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4.5989416534423712E-2</v>
      </c>
      <c r="M27" s="60">
        <f>(1-food_insecure)*(0.3)</f>
        <v>0.29580000000000001</v>
      </c>
      <c r="N27" s="60">
        <f>(1-food_insecure)*(0.3)</f>
        <v>0.29580000000000001</v>
      </c>
      <c r="O27" s="60">
        <f>(1-food_insecure)*(0.3)</f>
        <v>0.29580000000000001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0.84452529907226603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ST3wCNd/VsZXD6/9qxL82QKv4Rx+yX8IZiXL9xqb1iUpD7XPRcHX9l8mMtkKNGQ7ecuv59rKtUYBVyWQWFlcA==" saltValue="JvjdHPEugJO4cjY5h6BJV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FeTvT7AKuS45zVaOu5r7K4WUner7pPaEqD3PJvC0XSj6HdcOfenic+pGPv4xSfaionhEZJpDuVQA15ZdlkEUNA==" saltValue="H6NzKXW1N9uIvF5xp2Z1c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s4X5nJGIYPTBSUtK5q71e5t0J0ZxPXALpKCM3DBkOYuYyqXAbtuqBYyuTVpSQyYaKfGuGoFH0vJ4ktphyqa9Lw==" saltValue="7tV2uJsdqwEr8b6Mv6kkv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nOrFa+KkWZyEfXqEmjicpnYUfsG8CcIzLX+a0VPC/qRBjk7t7vap9/w0b+FMUbMQCOEhpthcgn1ZdCt4vdcKg==" saltValue="dFVWovGaXVkz5nCza6YVq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3v+xF2qHsTrw3UI97LrsPckAQxnmQ499mjpeTBvYw1lP4RVps9C60tQwRaNVK0WzX530U2uWILMdaVFwA+FaGw==" saltValue="nGGzEm669VO9slly6XXCX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JnKfJjLAc2cYwLSfW5ZAbKQ0pwNuO3E9sCPVpolzOZT1frVnHaZAePlr+SH++16RmxjHqiT3fLRMo+YCUFxpnw==" saltValue="thh3zFNfVT6JzuIF1eXyz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tORVuGg12fzqqg2yIBinL4aEP0yhj5343pycbHje7SeHj6OaxiyutpAe4nDtZuvCEMyz4TTJKOCn6ur9W69Hg==" saltValue="zxTLgSd4euw3wkWHyf5EN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CGyvN4Tilqq9gTX11YzJ3hksX1FGq+ykvE4OwDwqr5XRUrwjAolRIy56UPSC8u7Qf98Qw0wY08HmShj91RdnGw==" saltValue="xm7SsKhDCJMI5t/D0+qZ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InaGGtOevqRmh1WzJujmphKk4FaNrIwYSm6SFDhEawHduMFA1UN8Dtj+HOt9kbhrBS1TqcO9FLTv77GZZttHoQ==" saltValue="VLiiAVEpH78gNYEEn5Z5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dk8j4sivabukN7Pz/QGJa6CUrbCWhylR6UaKqEHboiC8BXhU7b8mXvph8SXYbyCIdp8g0UF1mRlYieSOUxrAlQ==" saltValue="Rr7ylDj2H6fQ7FagUC8i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rmJ3b6yI9V0buvU9ByJhpcTqEUNIkwGpBve2sPrrkus6A/YuRHl1BgILdFoayXOLXzx+2K6o7P5sPIIr2QtVg==" saltValue="wJ67faFaG5q8rsdUiJwg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Ndl0AKncoMa/joQAiVkR5OEvvjInpCfwoWT6agNdEYWOy0GEH8URu0fD+/NpGUJ3Xezyl4y/q/Vzg81BbwNmA==" saltValue="2E2ipvyr69p6IgRDbZcO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2/yv8UTrdIGgoFcPYQXhzC52phmAyp0vQkSCFMeqEqgECFTboNZYNFDOdRQa8e9VHdvwnQOJLJF16Cy8udeSIA==" saltValue="HfsMG/H2lxvRn2G59VtsG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z+SWfl3UeCUvYGVzDlki+YGF5jMiLxfICPFmwV/u3wUd+iaaVFGzARvsxcsZxTeRpSTBHmhtuxDdowY+gMVmRQ==" saltValue="YyOSYlnramxKBGxDAsHd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STqFIDM1WQwrOposPii0Io2aNNNL6nCxd70JS8c3y/BkUF2H+PG2zUV7olFnsRhHecskwNT3ZsLjkzx+3mWt5g==" saltValue="12TjqZ2O1sLHR7JCKMaeX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2026-04-29T05:14:41Z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