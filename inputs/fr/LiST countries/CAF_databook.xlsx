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2DA0153-E1F1-4BB4-B623-BA430F7214B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26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<sst xmlns="http://schemas.openxmlformats.org/spreadsheetml/2006/main" count="2159" uniqueCount="368">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</sst>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989276</v>
      </c>
    </row>
    <row r="8" spans="1:3" ht="15" customHeight="1" x14ac:dyDescent="0.25">
      <c r="B8" s="5" t="s">
        <v>37</v>
      </c>
      <c r="C8" s="44">
        <v>0.81299999999999994</v>
      </c>
    </row>
    <row r="9" spans="1:3" ht="15" customHeight="1" x14ac:dyDescent="0.25">
      <c r="B9" s="5" t="s">
        <v>38</v>
      </c>
      <c r="C9" s="45">
        <v>0.99900000000000011</v>
      </c>
    </row>
    <row r="10" spans="1:3" ht="15" customHeight="1" x14ac:dyDescent="0.25">
      <c r="B10" s="5" t="s">
        <v>39</v>
      </c>
      <c r="C10" s="45">
        <v>9.7085699999999997E-2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0.10979999999999999</v>
      </c>
    </row>
    <row r="24" spans="1:3" ht="15" customHeight="1" x14ac:dyDescent="0.25">
      <c r="B24" s="15" t="s">
        <v>51</v>
      </c>
      <c r="C24" s="45">
        <v>0.4572</v>
      </c>
    </row>
    <row r="25" spans="1:3" ht="15" customHeight="1" x14ac:dyDescent="0.25">
      <c r="B25" s="15" t="s">
        <v>52</v>
      </c>
      <c r="C25" s="45">
        <v>0.30830000000000002</v>
      </c>
    </row>
    <row r="26" spans="1:3" ht="15" customHeight="1" x14ac:dyDescent="0.25">
      <c r="B26" s="15" t="s">
        <v>53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0.21836491512919801</v>
      </c>
    </row>
    <row r="30" spans="1:3" ht="14.25" customHeight="1" x14ac:dyDescent="0.25">
      <c r="B30" s="25" t="s">
        <v>56</v>
      </c>
      <c r="C30" s="99">
        <v>7.7568108542825601E-2</v>
      </c>
    </row>
    <row r="31" spans="1:3" ht="14.25" customHeight="1" x14ac:dyDescent="0.25">
      <c r="B31" s="25" t="s">
        <v>57</v>
      </c>
      <c r="C31" s="99">
        <v>0.12339958874324899</v>
      </c>
    </row>
    <row r="32" spans="1:3" ht="14.25" customHeight="1" x14ac:dyDescent="0.25">
      <c r="B32" s="25" t="s">
        <v>58</v>
      </c>
      <c r="C32" s="99">
        <v>0.58066738758472702</v>
      </c>
    </row>
    <row r="33" spans="1:5" ht="13.25" customHeight="1" x14ac:dyDescent="0.25">
      <c r="B33" s="27" t="s">
        <v>59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31.912410000000001</v>
      </c>
    </row>
    <row r="38" spans="1:5" ht="15" customHeight="1" x14ac:dyDescent="0.25">
      <c r="B38" s="11" t="s">
        <v>63</v>
      </c>
      <c r="C38" s="43">
        <v>75.422229999999999</v>
      </c>
      <c r="D38" s="12"/>
      <c r="E38" s="13"/>
    </row>
    <row r="39" spans="1:5" ht="15" customHeight="1" x14ac:dyDescent="0.25">
      <c r="B39" s="11" t="s">
        <v>64</v>
      </c>
      <c r="C39" s="43">
        <v>99.916079999999994</v>
      </c>
      <c r="D39" s="12"/>
      <c r="E39" s="12"/>
    </row>
    <row r="40" spans="1:5" ht="15" customHeight="1" x14ac:dyDescent="0.25">
      <c r="B40" s="11" t="s">
        <v>65</v>
      </c>
      <c r="C40" s="100">
        <v>8.35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7.9225000000000007E-3</v>
      </c>
      <c r="D45" s="12"/>
    </row>
    <row r="46" spans="1:5" ht="15.75" customHeight="1" x14ac:dyDescent="0.25">
      <c r="B46" s="11" t="s">
        <v>70</v>
      </c>
      <c r="C46" s="45">
        <v>8.512610000000001E-2</v>
      </c>
      <c r="D46" s="12"/>
    </row>
    <row r="47" spans="1:5" ht="15.75" customHeight="1" x14ac:dyDescent="0.25">
      <c r="B47" s="11" t="s">
        <v>71</v>
      </c>
      <c r="C47" s="45">
        <v>7.3466500000000004E-2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3.3</v>
      </c>
      <c r="D51" s="12"/>
    </row>
    <row r="52" spans="1:4" ht="15" customHeight="1" x14ac:dyDescent="0.25">
      <c r="B52" s="11" t="s">
        <v>75</v>
      </c>
      <c r="C52" s="100">
        <v>3.3</v>
      </c>
    </row>
    <row r="53" spans="1:4" ht="15.75" customHeight="1" x14ac:dyDescent="0.25">
      <c r="B53" s="11" t="s">
        <v>76</v>
      </c>
      <c r="C53" s="100">
        <v>3.3</v>
      </c>
    </row>
    <row r="54" spans="1:4" ht="15.75" customHeight="1" x14ac:dyDescent="0.25">
      <c r="B54" s="11" t="s">
        <v>77</v>
      </c>
      <c r="C54" s="100">
        <v>3.3</v>
      </c>
    </row>
    <row r="55" spans="1:4" ht="15.75" customHeight="1" x14ac:dyDescent="0.25">
      <c r="B55" s="11" t="s">
        <v>78</v>
      </c>
      <c r="C55" s="100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0.44318700000000011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7vQkjAdlsNf4mPDfROlucRyq+J097PS/JmAE2NKoGUh9MBvxIuMnBaO1gIyx6OGaOjcM7sgqBiDzdxtV6o9ftw==" saltValue="HYzPHlhSrroBENQ0u0Ov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246241</v>
      </c>
      <c r="C2" s="49">
        <v>327881</v>
      </c>
      <c r="D2" s="49">
        <v>497611.5</v>
      </c>
      <c r="E2" s="49">
        <v>266345</v>
      </c>
      <c r="F2" s="49">
        <v>147504.00000000003</v>
      </c>
      <c r="G2" s="17">
        <f t="shared" ref="G2:G13" si="0">C2+D2+E2+F2</f>
        <v>1239341.5</v>
      </c>
      <c r="H2" s="17">
        <f t="shared" ref="H2:H13" si="1">(B2 + stillbirth*B2/(1000-stillbirth))/(1-abortion)</f>
        <v>287370.79033611249</v>
      </c>
      <c r="I2" s="17">
        <f t="shared" ref="I2:I13" si="2">G2-H2</f>
        <v>951970.70966388751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250088</v>
      </c>
      <c r="C3" s="50">
        <v>337497</v>
      </c>
      <c r="D3" s="50">
        <v>518433.50000000012</v>
      </c>
      <c r="E3" s="50">
        <v>281038.5</v>
      </c>
      <c r="F3" s="50">
        <v>153042</v>
      </c>
      <c r="G3" s="17">
        <f t="shared" si="0"/>
        <v>1290011</v>
      </c>
      <c r="H3" s="17">
        <f t="shared" si="1"/>
        <v>291860.35718494357</v>
      </c>
      <c r="I3" s="17">
        <f t="shared" si="2"/>
        <v>998150.64281505649</v>
      </c>
    </row>
    <row r="4" spans="1:9" ht="15.75" customHeight="1" x14ac:dyDescent="0.25">
      <c r="A4" s="5">
        <f t="shared" si="3"/>
        <v>2026</v>
      </c>
      <c r="B4" s="49">
        <v>254783</v>
      </c>
      <c r="C4" s="50">
        <v>350963</v>
      </c>
      <c r="D4" s="50">
        <v>538457</v>
      </c>
      <c r="E4" s="50">
        <v>296849</v>
      </c>
      <c r="F4" s="50">
        <v>159796</v>
      </c>
      <c r="G4" s="17">
        <f t="shared" si="0"/>
        <v>1346065</v>
      </c>
      <c r="H4" s="17">
        <f t="shared" si="1"/>
        <v>297339.56601136993</v>
      </c>
      <c r="I4" s="17">
        <f t="shared" si="2"/>
        <v>1048725.4339886301</v>
      </c>
    </row>
    <row r="5" spans="1:9" ht="15.75" customHeight="1" x14ac:dyDescent="0.25">
      <c r="A5" s="5">
        <f t="shared" si="3"/>
        <v>2027</v>
      </c>
      <c r="B5" s="49">
        <v>259894</v>
      </c>
      <c r="C5" s="50">
        <v>364779</v>
      </c>
      <c r="D5" s="50">
        <v>556640</v>
      </c>
      <c r="E5" s="50">
        <v>313321.5</v>
      </c>
      <c r="F5" s="50">
        <v>167596.5</v>
      </c>
      <c r="G5" s="17">
        <f t="shared" si="0"/>
        <v>1402337</v>
      </c>
      <c r="H5" s="17">
        <f t="shared" si="1"/>
        <v>303304.25958152226</v>
      </c>
      <c r="I5" s="17">
        <f t="shared" si="2"/>
        <v>1099032.7404184777</v>
      </c>
    </row>
    <row r="6" spans="1:9" ht="15.75" customHeight="1" x14ac:dyDescent="0.25">
      <c r="A6" s="5">
        <f t="shared" si="3"/>
        <v>2028</v>
      </c>
      <c r="B6" s="49">
        <v>265017</v>
      </c>
      <c r="C6" s="50">
        <v>377920</v>
      </c>
      <c r="D6" s="50">
        <v>573146.50000000012</v>
      </c>
      <c r="E6" s="50">
        <v>330598</v>
      </c>
      <c r="F6" s="50">
        <v>176371</v>
      </c>
      <c r="G6" s="17">
        <f t="shared" si="0"/>
        <v>1458035.5</v>
      </c>
      <c r="H6" s="17">
        <f t="shared" si="1"/>
        <v>309282.957519282</v>
      </c>
      <c r="I6" s="17">
        <f t="shared" si="2"/>
        <v>1148752.5424807179</v>
      </c>
    </row>
    <row r="7" spans="1:9" ht="15.75" customHeight="1" x14ac:dyDescent="0.25">
      <c r="A7" s="5">
        <f t="shared" si="3"/>
        <v>2029</v>
      </c>
      <c r="B7" s="49">
        <v>269576</v>
      </c>
      <c r="C7" s="50">
        <v>388995.5</v>
      </c>
      <c r="D7" s="50">
        <v>588243.5</v>
      </c>
      <c r="E7" s="50">
        <v>349533.5</v>
      </c>
      <c r="F7" s="50">
        <v>185435</v>
      </c>
      <c r="G7" s="17">
        <f t="shared" si="0"/>
        <v>1512207.5</v>
      </c>
      <c r="H7" s="17">
        <f t="shared" si="1"/>
        <v>314603.4501794902</v>
      </c>
      <c r="I7" s="17">
        <f t="shared" si="2"/>
        <v>1197604.0498205097</v>
      </c>
    </row>
    <row r="8" spans="1:9" ht="15.75" customHeight="1" x14ac:dyDescent="0.25">
      <c r="A8" s="5">
        <f t="shared" si="3"/>
        <v>2030</v>
      </c>
      <c r="B8" s="49">
        <v>273532</v>
      </c>
      <c r="C8" s="50">
        <v>393973</v>
      </c>
      <c r="D8" s="50">
        <v>605509.5</v>
      </c>
      <c r="E8" s="50">
        <v>370173</v>
      </c>
      <c r="F8" s="50">
        <v>194598.5</v>
      </c>
      <c r="G8" s="17">
        <f t="shared" si="0"/>
        <v>1564254</v>
      </c>
      <c r="H8" s="17">
        <f t="shared" si="1"/>
        <v>319220.22336742264</v>
      </c>
      <c r="I8" s="17">
        <f t="shared" si="2"/>
        <v>1245033.7766325774</v>
      </c>
    </row>
    <row r="9" spans="1:9" ht="15.75" customHeight="1" x14ac:dyDescent="0.25">
      <c r="A9" s="5">
        <f t="shared" si="3"/>
        <v>2031</v>
      </c>
      <c r="B9" s="49">
        <v>276644</v>
      </c>
      <c r="C9" s="50">
        <v>393747</v>
      </c>
      <c r="D9" s="50">
        <v>626455.99999999988</v>
      </c>
      <c r="E9" s="50">
        <v>391371.99999999994</v>
      </c>
      <c r="F9" s="50">
        <v>204215.50000000003</v>
      </c>
      <c r="G9" s="17">
        <f t="shared" si="0"/>
        <v>1615790.4999999998</v>
      </c>
      <c r="H9" s="17">
        <f t="shared" si="1"/>
        <v>322852.02270029561</v>
      </c>
      <c r="I9" s="17">
        <f t="shared" si="2"/>
        <v>1292938.4772997042</v>
      </c>
    </row>
    <row r="10" spans="1:9" ht="15.75" customHeight="1" x14ac:dyDescent="0.25">
      <c r="A10" s="5">
        <f t="shared" si="3"/>
        <v>2032</v>
      </c>
      <c r="B10" s="49">
        <v>279747</v>
      </c>
      <c r="C10" s="50">
        <v>393731</v>
      </c>
      <c r="D10" s="50">
        <v>647088.50000000012</v>
      </c>
      <c r="E10" s="50">
        <v>412420</v>
      </c>
      <c r="F10" s="50">
        <v>214439</v>
      </c>
      <c r="G10" s="17">
        <f t="shared" si="0"/>
        <v>1667678.5</v>
      </c>
      <c r="H10" s="17">
        <f t="shared" si="1"/>
        <v>326473.31875746307</v>
      </c>
      <c r="I10" s="17">
        <f t="shared" si="2"/>
        <v>1341205.181242537</v>
      </c>
    </row>
    <row r="11" spans="1:9" ht="15.75" customHeight="1" x14ac:dyDescent="0.25">
      <c r="A11" s="5">
        <f t="shared" si="3"/>
        <v>2033</v>
      </c>
      <c r="B11" s="49">
        <v>280486</v>
      </c>
      <c r="C11" s="50">
        <v>395362</v>
      </c>
      <c r="D11" s="50">
        <v>665567.5</v>
      </c>
      <c r="E11" s="50">
        <v>433588.49999999994</v>
      </c>
      <c r="F11" s="50">
        <v>225703.50000000003</v>
      </c>
      <c r="G11" s="17">
        <f t="shared" si="0"/>
        <v>1720221.5</v>
      </c>
      <c r="H11" s="17">
        <f t="shared" si="1"/>
        <v>327335.75439595699</v>
      </c>
      <c r="I11" s="17">
        <f t="shared" si="2"/>
        <v>1392885.7456040429</v>
      </c>
    </row>
    <row r="12" spans="1:9" ht="15.75" customHeight="1" x14ac:dyDescent="0.25">
      <c r="A12" s="5">
        <f t="shared" si="3"/>
        <v>2034</v>
      </c>
      <c r="B12" s="49">
        <v>281215</v>
      </c>
      <c r="C12" s="50">
        <v>398752.5</v>
      </c>
      <c r="D12" s="50">
        <v>682075</v>
      </c>
      <c r="E12" s="50">
        <v>454431.5</v>
      </c>
      <c r="F12" s="50">
        <v>238394</v>
      </c>
      <c r="G12" s="17">
        <f t="shared" si="0"/>
        <v>1773653</v>
      </c>
      <c r="H12" s="17">
        <f t="shared" si="1"/>
        <v>328186.51972811139</v>
      </c>
      <c r="I12" s="17">
        <f t="shared" si="2"/>
        <v>1445466.4802718887</v>
      </c>
    </row>
    <row r="13" spans="1:9" ht="15.75" customHeight="1" x14ac:dyDescent="0.25">
      <c r="A13" s="5">
        <f t="shared" si="3"/>
        <v>2035</v>
      </c>
      <c r="B13" s="49">
        <v>282229</v>
      </c>
      <c r="C13" s="50">
        <v>404888</v>
      </c>
      <c r="D13" s="50">
        <v>696427.5</v>
      </c>
      <c r="E13" s="50">
        <v>474470.5</v>
      </c>
      <c r="F13" s="50">
        <v>252272</v>
      </c>
      <c r="G13" s="17">
        <f t="shared" si="0"/>
        <v>1828058</v>
      </c>
      <c r="H13" s="17">
        <f t="shared" si="1"/>
        <v>329369.88879094337</v>
      </c>
      <c r="I13" s="17">
        <f t="shared" si="2"/>
        <v>1498688.1112090566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WQS+Xu0FWgc7PJQYlg1zG7pgCt94Yn9UyIwa/MYzAx2qYKgcTKvsctYUQAZIWm2dR2trFRKXDjnYTr/AO3EFg==" saltValue="dGV5SxVVdeTPwJTj5rep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2.688439731156032E-2</v>
      </c>
    </row>
    <row r="4" spans="1:8" ht="15.75" customHeight="1" x14ac:dyDescent="0.25">
      <c r="B4" s="19" t="s">
        <v>97</v>
      </c>
      <c r="C4" s="101">
        <v>7.0187992981200861E-2</v>
      </c>
    </row>
    <row r="5" spans="1:8" ht="15.75" customHeight="1" x14ac:dyDescent="0.25">
      <c r="B5" s="19" t="s">
        <v>98</v>
      </c>
      <c r="C5" s="101">
        <v>0.1133985886601412</v>
      </c>
    </row>
    <row r="6" spans="1:8" ht="15.75" customHeight="1" x14ac:dyDescent="0.25">
      <c r="B6" s="19" t="s">
        <v>99</v>
      </c>
      <c r="C6" s="101">
        <v>0.24461647553835281</v>
      </c>
    </row>
    <row r="7" spans="1:8" ht="15.75" customHeight="1" x14ac:dyDescent="0.25">
      <c r="B7" s="19" t="s">
        <v>100</v>
      </c>
      <c r="C7" s="101">
        <v>0.38315536168446312</v>
      </c>
    </row>
    <row r="8" spans="1:8" ht="15.75" customHeight="1" x14ac:dyDescent="0.25">
      <c r="B8" s="19" t="s">
        <v>101</v>
      </c>
      <c r="C8" s="101">
        <v>1.542919845708019E-2</v>
      </c>
    </row>
    <row r="9" spans="1:8" ht="15.75" customHeight="1" x14ac:dyDescent="0.25">
      <c r="B9" s="19" t="s">
        <v>102</v>
      </c>
      <c r="C9" s="101">
        <v>4.0559195944080341E-2</v>
      </c>
    </row>
    <row r="10" spans="1:8" ht="15.75" customHeight="1" x14ac:dyDescent="0.25">
      <c r="B10" s="19" t="s">
        <v>103</v>
      </c>
      <c r="C10" s="101">
        <v>0.1057687894231211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106</v>
      </c>
      <c r="C15" s="101">
        <v>0.18058363148629969</v>
      </c>
      <c r="D15" s="101">
        <v>0.18058363148629969</v>
      </c>
      <c r="E15" s="101">
        <v>0.18058363148629969</v>
      </c>
      <c r="F15" s="101">
        <v>0.18058363148629969</v>
      </c>
    </row>
    <row r="16" spans="1:8" ht="15.75" customHeight="1" x14ac:dyDescent="0.25">
      <c r="B16" s="19" t="s">
        <v>107</v>
      </c>
      <c r="C16" s="101">
        <v>3.6025281426369758E-2</v>
      </c>
      <c r="D16" s="101">
        <v>3.6025281426369758E-2</v>
      </c>
      <c r="E16" s="101">
        <v>3.6025281426369758E-2</v>
      </c>
      <c r="F16" s="101">
        <v>3.6025281426369758E-2</v>
      </c>
    </row>
    <row r="17" spans="1:8" ht="15.75" customHeight="1" x14ac:dyDescent="0.25">
      <c r="B17" s="19" t="s">
        <v>108</v>
      </c>
      <c r="C17" s="101">
        <v>0.13883744675015419</v>
      </c>
      <c r="D17" s="101">
        <v>0.13883744675015419</v>
      </c>
      <c r="E17" s="101">
        <v>0.13883744675015419</v>
      </c>
      <c r="F17" s="101">
        <v>0.13883744675015419</v>
      </c>
    </row>
    <row r="18" spans="1:8" ht="15.75" customHeight="1" x14ac:dyDescent="0.25">
      <c r="B18" s="19" t="s">
        <v>109</v>
      </c>
      <c r="C18" s="101">
        <v>0.33438557402862412</v>
      </c>
      <c r="D18" s="101">
        <v>0.33438557402862412</v>
      </c>
      <c r="E18" s="101">
        <v>0.33438557402862412</v>
      </c>
      <c r="F18" s="101">
        <v>0.33438557402862412</v>
      </c>
    </row>
    <row r="19" spans="1:8" ht="15.75" customHeight="1" x14ac:dyDescent="0.25">
      <c r="B19" s="19" t="s">
        <v>110</v>
      </c>
      <c r="C19" s="101">
        <v>1.1710238862437151E-2</v>
      </c>
      <c r="D19" s="101">
        <v>1.1710238862437151E-2</v>
      </c>
      <c r="E19" s="101">
        <v>1.1710238862437151E-2</v>
      </c>
      <c r="F19" s="101">
        <v>1.1710238862437151E-2</v>
      </c>
    </row>
    <row r="20" spans="1:8" ht="15.75" customHeight="1" x14ac:dyDescent="0.25">
      <c r="B20" s="19" t="s">
        <v>111</v>
      </c>
      <c r="C20" s="101">
        <v>2.6569035418279138E-2</v>
      </c>
      <c r="D20" s="101">
        <v>2.6569035418279138E-2</v>
      </c>
      <c r="E20" s="101">
        <v>2.6569035418279138E-2</v>
      </c>
      <c r="F20" s="101">
        <v>2.6569035418279138E-2</v>
      </c>
    </row>
    <row r="21" spans="1:8" ht="15.75" customHeight="1" x14ac:dyDescent="0.25">
      <c r="B21" s="19" t="s">
        <v>112</v>
      </c>
      <c r="C21" s="101">
        <v>3.1875099182273318E-2</v>
      </c>
      <c r="D21" s="101">
        <v>3.1875099182273318E-2</v>
      </c>
      <c r="E21" s="101">
        <v>3.1875099182273318E-2</v>
      </c>
      <c r="F21" s="101">
        <v>3.1875099182273318E-2</v>
      </c>
    </row>
    <row r="22" spans="1:8" ht="15.75" customHeight="1" x14ac:dyDescent="0.25">
      <c r="B22" s="19" t="s">
        <v>113</v>
      </c>
      <c r="C22" s="101">
        <v>0.1069243589112856</v>
      </c>
      <c r="D22" s="101">
        <v>0.1069243589112856</v>
      </c>
      <c r="E22" s="101">
        <v>0.1069243589112856</v>
      </c>
      <c r="F22" s="101">
        <v>0.1069243589112856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8.640991000000002E-2</v>
      </c>
    </row>
    <row r="27" spans="1:8" ht="15.75" customHeight="1" x14ac:dyDescent="0.25">
      <c r="B27" s="19" t="s">
        <v>120</v>
      </c>
      <c r="C27" s="101">
        <v>8.5227879999999999E-3</v>
      </c>
    </row>
    <row r="28" spans="1:8" ht="15.75" customHeight="1" x14ac:dyDescent="0.25">
      <c r="B28" s="19" t="s">
        <v>121</v>
      </c>
      <c r="C28" s="101">
        <v>0.151297399</v>
      </c>
    </row>
    <row r="29" spans="1:8" ht="15.75" customHeight="1" x14ac:dyDescent="0.25">
      <c r="B29" s="19" t="s">
        <v>122</v>
      </c>
      <c r="C29" s="101">
        <v>0.16589246799999999</v>
      </c>
    </row>
    <row r="30" spans="1:8" ht="15.75" customHeight="1" x14ac:dyDescent="0.25">
      <c r="B30" s="19" t="s">
        <v>2</v>
      </c>
      <c r="C30" s="101">
        <v>0.10344083900000001</v>
      </c>
    </row>
    <row r="31" spans="1:8" ht="15.75" customHeight="1" x14ac:dyDescent="0.25">
      <c r="B31" s="19" t="s">
        <v>123</v>
      </c>
      <c r="C31" s="101">
        <v>0.10754699400000001</v>
      </c>
    </row>
    <row r="32" spans="1:8" ht="15.75" customHeight="1" x14ac:dyDescent="0.25">
      <c r="B32" s="19" t="s">
        <v>124</v>
      </c>
      <c r="C32" s="101">
        <v>1.8445415E-2</v>
      </c>
    </row>
    <row r="33" spans="2:3" ht="15.75" customHeight="1" x14ac:dyDescent="0.25">
      <c r="B33" s="19" t="s">
        <v>125</v>
      </c>
      <c r="C33" s="101">
        <v>8.3029338999999994E-2</v>
      </c>
    </row>
    <row r="34" spans="2:3" ht="15.75" customHeight="1" x14ac:dyDescent="0.25">
      <c r="B34" s="19" t="s">
        <v>126</v>
      </c>
      <c r="C34" s="101">
        <v>0.27541484799999999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CBZawbiprrfaA9YoVTxuPwUqAxpeUJEKz4RdwRE74E9YarEOXyuGgXTWbuSd7kmNvWNJHtoGSjFLVoIZQ0bRvA==" saltValue="DS8f8FmZ6C1x6wr3tDywK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132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133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137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138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CyiYj1uCJIrs6oRN+80ohooQZGM4za/+uUA9Iqyk5xtk+/U9Cka9S7pCowPFXJwwrZj1WaSdIRq5LO0DFUiOw==" saltValue="51MUiJLngbL8dQHSUZH5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2.1199799999999991E-2</v>
      </c>
      <c r="D5" s="52">
        <f t="shared" si="0"/>
        <v>2.5683300000000076E-2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q3n8Xg0NlF3zXjTfHnth84oBhs3zX7S8rK9TAMJch9JebeUKkGU1oSMCf7/BAQNoTKvZzHaFNwF2dbPE1r1GLA==" saltValue="8z6G/6W7IZpUz9FyF/CW8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daGhUslRKeNsTdzvtRqrr0JxX3HWELiDmkbotW4IXWP2SL2ldDwIEATdrA5/xI3lqI7O9VJHNt+BImol8yj3w==" saltValue="nft8HNhKoRYI3vpFBwZbG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427.05809619126899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0.35212000000000004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0.63761999999999996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2.1123610453508E-2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88744.602750000005</v>
      </c>
      <c r="C22" s="109">
        <v>87961.954259999999</v>
      </c>
      <c r="D22" s="109">
        <v>87480.419760000004</v>
      </c>
      <c r="E22" s="109">
        <v>86254.013609999995</v>
      </c>
      <c r="F22" s="109">
        <v>84646.125079999998</v>
      </c>
      <c r="G22" s="109">
        <v>82633.285010000007</v>
      </c>
      <c r="H22" s="109">
        <v>79966.870699999999</v>
      </c>
      <c r="I22" s="109">
        <v>76224.121530000004</v>
      </c>
      <c r="J22" s="109">
        <v>71084.183069999999</v>
      </c>
      <c r="K22" s="109">
        <v>64485.75649</v>
      </c>
      <c r="L22" s="109">
        <v>56647.373330000002</v>
      </c>
      <c r="M22" s="109">
        <v>47689.856030000003</v>
      </c>
      <c r="N22" s="109">
        <v>38011.801740000003</v>
      </c>
      <c r="O22" s="109">
        <v>28261.021949999998</v>
      </c>
    </row>
  </sheetData>
  <sheetProtection algorithmName="SHA-512" hashValue="8Mkz6uUo0niGukIzjsXUuJIxebF2y6vWPjv1NFB/QLEEozis7jFyLLxBAlS3+E70Lnu4a4zow2cVjowJSYf63w==" saltValue="pxhqi4C7VzTd62pM2zhfj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mvkFfhER9rfKWQFMLoGUOPE5UIb6y4JitHKvLVXg5rBQupW5uY/ccewcvQtgSFPZLhvrb7eZJ8pE6WviVlLqPQ==" saltValue="J9aHp8EDPOV+LcE4Hulj3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G2sa1+7A98coMrf0dsG0K5myD3iN+sJ6QzBsLj9jtbbPskawmGXEAxcystfVKAF8+jSN+2X0cUNdVDjF7FYYsw==" saltValue="pHOTXe6rq1MpE5+b7WJMI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18.025735670419653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18.025735670419653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5.2668836507008754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0.56149571024496792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0.23003335421429147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17.30460856515991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17.30460856515991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17.30460856515991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17.30460856515991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17.30460856515991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17.30460856515991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0.59670389999999995</v>
      </c>
      <c r="C16" s="98">
        <v>0.95</v>
      </c>
      <c r="D16" s="56">
        <v>2.8407188685968858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0.27800000000000002</v>
      </c>
      <c r="C18" s="98">
        <v>0.95</v>
      </c>
      <c r="D18" s="56">
        <v>5.2668836507008754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0.3043807</v>
      </c>
      <c r="C19" s="98">
        <v>0.95</v>
      </c>
      <c r="D19" s="56">
        <v>7.2861200073283072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2.1939130069251829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5.2668836507008754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0.60746149999999999</v>
      </c>
      <c r="C23" s="98">
        <v>0.95</v>
      </c>
      <c r="D23" s="56">
        <v>5.6236363581689766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0.35289840412538298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3.8681355531509101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13.457928721749347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0.2339136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9.1486800000000007E-2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44.783843336315748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0.17560000000000001</v>
      </c>
      <c r="C31" s="98">
        <v>0.95</v>
      </c>
      <c r="D31" s="56">
        <v>126.62714253872848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0.46</v>
      </c>
      <c r="C32" s="98">
        <v>0.95</v>
      </c>
      <c r="D32" s="56">
        <v>0.46210405728622134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0.22176409999999999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0.46673049999999999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3.8961999999999998E-3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0.13799710000000001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0.12971460000000001</v>
      </c>
      <c r="C38" s="98">
        <v>0.95</v>
      </c>
      <c r="D38" s="56">
        <v>4.0706758054007581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hc/bfXIat6sArU41bjojduEJg8xrVMyUDDBE22kY5QNixjzKfumgKyVf40+XW4awwc7lHa7TCp9BerstYLBGrg==" saltValue="Y/pnoFg0Mn2Qa46miOXN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2YcsF/KjKLnCIs6afHGlgQZuDPjyz1fgIT0m9bgLzIXE5MuMJ1HeiGqYNwtGDQwIBDxIC8Xb388OVv9Cn9isw==" saltValue="axJxWzv2AnOQHBfz7EUs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/GvhjZf1LUPsftDb/tjo5vOyI2Knpvtwo0BWLCFqssLQ8S1m6pwDjU8IJwfU0mbOZ0hMJZHxzWfewPkRyYOzA==" saltValue="0UQ2uM0hmXzE0kHBNQojw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237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sheetProtection algorithmName="SHA-512" hashValue="1k6PqtX/NxjyYMhbX3L8L0ys3I2o1/Mjgre7Lzy3Ep5c47PpLfx2PZF7UUjEHFSU9CpgE3Pi74fLvtdFd4lKGw==" saltValue="rKk193P/LD/7h6/gq34Xb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0.81299999999999994</v>
      </c>
      <c r="F2" s="60">
        <f>food_insecure</f>
        <v>0.81299999999999994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0.81299999999999994</v>
      </c>
      <c r="F5" s="60">
        <f>food_insecure</f>
        <v>0.81299999999999994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0.81299999999999994</v>
      </c>
      <c r="F8" s="60">
        <f>food_insecure</f>
        <v>0.81299999999999994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0.81299999999999994</v>
      </c>
      <c r="F9" s="60">
        <f>food_insecure</f>
        <v>0.81299999999999994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0.81299999999999994</v>
      </c>
      <c r="I15" s="60">
        <f t="shared" si="0"/>
        <v>0.81299999999999994</v>
      </c>
      <c r="J15" s="60">
        <f t="shared" si="0"/>
        <v>0.81299999999999994</v>
      </c>
      <c r="K15" s="60">
        <f t="shared" si="0"/>
        <v>0.81299999999999994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0.81299999999999994</v>
      </c>
      <c r="I16" s="60">
        <f t="shared" si="0"/>
        <v>0.81299999999999994</v>
      </c>
      <c r="J16" s="60">
        <f t="shared" si="0"/>
        <v>0.81299999999999994</v>
      </c>
      <c r="K16" s="60">
        <f t="shared" si="0"/>
        <v>0.81299999999999994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0.5965825654389999</v>
      </c>
      <c r="M25" s="60">
        <f>(1-food_insecure)*(0.49)+food_insecure*(0.7)</f>
        <v>0.66072999999999993</v>
      </c>
      <c r="N25" s="60">
        <f>(1-food_insecure)*(0.49)+food_insecure*(0.7)</f>
        <v>0.66072999999999993</v>
      </c>
      <c r="O25" s="60">
        <f>(1-food_insecure)*(0.49)+food_insecure*(0.7)</f>
        <v>0.66072999999999993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0.25567824233100001</v>
      </c>
      <c r="M26" s="60">
        <f>(1-food_insecure)*(0.21)+food_insecure*(0.3)</f>
        <v>0.28316999999999998</v>
      </c>
      <c r="N26" s="60">
        <f>(1-food_insecure)*(0.21)+food_insecure*(0.3)</f>
        <v>0.28316999999999998</v>
      </c>
      <c r="O26" s="60">
        <f>(1-food_insecure)*(0.21)+food_insecure*(0.3)</f>
        <v>0.28316999999999998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5.0653492230000013E-2</v>
      </c>
      <c r="M27" s="60">
        <f>(1-food_insecure)*(0.3)</f>
        <v>5.6100000000000018E-2</v>
      </c>
      <c r="N27" s="60">
        <f>(1-food_insecure)*(0.3)</f>
        <v>5.6100000000000018E-2</v>
      </c>
      <c r="O27" s="60">
        <f>(1-food_insecure)*(0.3)</f>
        <v>5.6100000000000018E-2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9.7085699999999997E-2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4xf2QmHTqoo2MBI9M/fTM+RSHzxGMrdqbSfLpHcFabxhq4UX1jkRGt+B/v0ga7jc7KplPObWXVVrX2BWi0jjQ==" saltValue="wfBIf2EVSwkEA64diZejU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5kijNPKMy3KnX1v1a4jEHlLcOm0BwexbU6KaMSlOG/kTEgAV32ZS5cCO94ymijh6nkrEqr745RIerzcT5s+bDg==" saltValue="le44Mxf/m+uY/0pfETWqd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cNUlgAB/9FAqfIcaySFHGg58oqjB9egH6YCMwuNlUn3ZDUUDkzGfAps/qG9q7P8VzUBB6jzLJJ83knyTK3mPA==" saltValue="EXU9oVCM7UbyEOwxKCql3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UnC9fIAZugyeyvTHStbmWwmbxEbGe3dc/CXkJal31GLjTv9ah1WsWR0ecTXO9lwA4Lq7pbt56tbQUaX5AVSyA==" saltValue="tKJG4eNwEzY3Oc3ZEkvBt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sOR6xh6MCM7rlYOfWRIc0tlngRbfRdtcVu5KMPoaCEVcUs0HIl899cXibhnW9KYO5azVluz5e6sCCH77ABotSQ==" saltValue="6z1F98gDG1xWG7w8HV+on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73L+zuSTs1tQQRzU4NDYyP6/t3743ok8WK1chgf8T+mN+1rviJe3B/2ehDAzrPZsXdglpECfEj4+bgOR361L5g==" saltValue="Tyz4BOsbFjlKXdHVvHej8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zWTAXmnLnaESZpG+AyE2miOn11fbuFTXVe1LOO/4797IwvBssIzb/RjqSLs6ST2VOSTmcFr4JyTDFb63UhTBQ==" saltValue="EQqSqzUuJ49yzPBBKiTbt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EJM4xqau6SQNx0BxChpFF/lL5Czlo9/SXH6Z5psSqtBl+2dE0rz3q7J3CLsd/lExaEeX+Tlv28Iizju8xiXHA==" saltValue="uhaIMhzPSKzmw7iIfhcD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WWdXezfkbEA2pykJvBKTTRhiYTID1ZZtHfF41hCu/WscKFuRNQ1vffg8pKIGgAB2GpVvituUizX9X0u/1p8S4A==" saltValue="QeoKYLKvn2j3OseecgwU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xtMC+XYR7nZVKLZRTtZa7QmK1TSAlBsA5cSrtsChcSwgHl89uXVYJmWeddgdrTFH8PgelQfhpm4DKiYyR5JbA==" saltValue="kA+Yc27UKN+iBT3i0Z4J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pRe73YJEynfU+YfQ0nmT4Kc4DBK5xmxcHCTknAQ1i3HZNZgIfAZDCvIejfSh6lwxnjAdPgs7jpnFnwj48gWEg==" saltValue="TiQYcunY/BB28sTZEJdC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oJTA2qrlvaygCEcmfmrzWOQM4KF/uz3bK1oLbPZ4VH1ac4o7YzqG9tOhtXcOCZEJ0+9LLNR+jGgeNZyXsO8Lg==" saltValue="TfcvRVYDD1pXBauHuUED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dH+4gimA1nZyUGRjs46fui0KV9hcZnw+G9P3z5G93f/uJCDb0XgP5HJptQJKjnGHgRdx3ee1gvfSlLI4CmlRg==" saltValue="AYCmwUlL8gGWnUdik5fV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Z9GYfRG04N+/EgdxWheauDUZLcwH8+F5vU+0Ma/d00zJUfFXCebjb6pQDKa1eelNzn7dfKgRsM8i/knHiUQSw==" saltValue="yg8uiCFnaGhFp1iLwqsc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A5zMPvxAKALdqVLvpjCbTV1iZHvBjp0W3NvQ10Yvs9zv12EGrKV5GSbX8bzdy46VhXHuWzkwOmxy/a9tYe+ag==" saltValue="EHhC7PgpgDx9dIyAy1/9L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2025-07-04T03:26:19Z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