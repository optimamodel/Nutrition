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Modelling projects\Nutrition\inputs\fr\LiST countries\"/>
    </mc:Choice>
  </mc:AlternateContent>
  <xr:revisionPtr revIDLastSave="0" documentId="8_{9CFD642D-67CB-4A82-9087-142B4CE0CEAD}" xr6:coauthVersionLast="47" xr6:coauthVersionMax="47" xr10:uidLastSave="{00000000-0000-0000-0000-000000000000}"/>
  <bookViews>
    <workbookView xWindow="-110" yWindow="-110" windowWidth="19420" windowHeight="1030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M60" i="25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I38" i="2" s="1"/>
  <c r="H13" i="2"/>
  <c r="G13" i="2"/>
  <c r="H12" i="2"/>
  <c r="G12" i="2"/>
  <c r="H11" i="2"/>
  <c r="G11" i="2"/>
  <c r="I11" i="2" s="1"/>
  <c r="H10" i="2"/>
  <c r="G10" i="2"/>
  <c r="H9" i="2"/>
  <c r="G9" i="2"/>
  <c r="H8" i="2"/>
  <c r="G8" i="2"/>
  <c r="I8" i="2" s="1"/>
  <c r="H7" i="2"/>
  <c r="G7" i="2"/>
  <c r="H6" i="2"/>
  <c r="G6" i="2"/>
  <c r="H5" i="2"/>
  <c r="G5" i="2"/>
  <c r="H4" i="2"/>
  <c r="G4" i="2"/>
  <c r="H3" i="2"/>
  <c r="G3" i="2"/>
  <c r="H2" i="2"/>
  <c r="G2" i="2"/>
  <c r="I2" i="2" s="1"/>
  <c r="A2" i="2"/>
  <c r="A39" i="2" s="1"/>
  <c r="C33" i="1"/>
  <c r="C20" i="1"/>
  <c r="A36" i="2" l="1"/>
  <c r="I39" i="2"/>
  <c r="A26" i="2"/>
  <c r="I6" i="2"/>
  <c r="I12" i="2"/>
  <c r="A35" i="2"/>
  <c r="I7" i="2"/>
  <c r="I13" i="2"/>
  <c r="A37" i="2"/>
  <c r="I3" i="2"/>
  <c r="I9" i="2"/>
  <c r="A23" i="2"/>
  <c r="A22" i="2"/>
  <c r="A24" i="2"/>
  <c r="A40" i="2"/>
  <c r="A19" i="2"/>
  <c r="I4" i="2"/>
  <c r="A25" i="2"/>
  <c r="A31" i="2"/>
  <c r="A34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<sst xmlns="http://schemas.openxmlformats.org/spreadsheetml/2006/main" count="2169" uniqueCount="369">
  <si>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</si>
  <si>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</si>
  <si>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</si>
  <si>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</si>
  <si>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</si>
  <si>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</si>
  <si>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</si>
  <si>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</si>
  <si>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</si>
  <si>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</si>
  <si>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</si>
  <si>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</si>
  <si>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</si>
  <si>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</si>
  <si>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</si>
  <si>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</si>
  <si>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</si>
  <si>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</si>
  <si>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</si>
  <si>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</si>
  <si>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</si>
  <si>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</si>
  <si>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</si>
  <si>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</si>
  <si>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</si>
  <si>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</si>
  <si>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</si>
  <si>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</si>
  <si>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</si>
  <si>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</si>
  <si>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</si>
  <si>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</si>
  <si>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</si>
  <si>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</si>
  <si>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</si>
  <si>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</si>
  <si>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</si>
  <si>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</si>
  <si>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</si>
  <si>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</si>
  <si>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</si>
  <si>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</si>
  <si>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</si>
  <si>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</si>
  <si>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</si>
  <si>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</si>
  <si>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</si>
  <si>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</si>
  <si>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</si>
  <si>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</si>
  <si>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</si>
  <si>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</si>
  <si>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</si>
  <si>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</si>
  <si>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</si>
  <si>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</si>
  <si>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</si>
  <si>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</si>
  <si>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</si>
  <si>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</si>
  <si>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</si>
  <si>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</si>
  <si>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</si>
  <si>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</si>
  <si>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</si>
  <si>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</si>
  <si>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</si>
  <si>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</si>
  <si>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</si>
  <si>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</si>
  <si>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</si>
  <si>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</si>
  <si>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</si>
  <si>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</si>
  <si>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</si>
  <si>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</si>
  <si>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</si>
  <si>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</si>
  <si>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</si>
  <si>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</si>
  <si>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</si>
  <si>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</si>
  <si>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</si>
  <si>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</si>
  <si>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</si>
  <si>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</si>
  <si>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</si>
  <si>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</si>
  <si>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</si>
  <si>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</si>
  <si>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</si>
  <si>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</si>
  <si>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</si>
  <si>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</si>
  <si>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</si>
  <si>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</si>
  <si>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</si>
  <si>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</si>
  <si>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</si>
  <si>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</si>
  <si>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</si>
  <si>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</si>
  <si>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</si>
  <si>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</si>
  <si>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</si>
  <si>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</si>
  <si>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</si>
  <si>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</si>
  <si>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</si>
  <si>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</si>
  <si>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</si>
  <si>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</si>
  <si>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</si>
  <si>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</si>
  <si>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</si>
  <si>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</si>
  <si>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</si>
  <si>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</si>
  <si>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</si>
  <si>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</si>
  <si>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</si>
  <si>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</si>
  <si>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</si>
  <si>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</si>
  <si>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</si>
  <si>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</si>
  <si>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</si>
  <si>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</si>
  <si>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</si>
  <si>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</si>
  <si>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</si>
  <si>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</si>
  <si>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</si>
  <si>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</si>
  <si>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</si>
  <si>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</si>
  <si>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</si>
  <si>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</si>
  <si>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</si>
  <si>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</si>
  <si>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</si>
  <si>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</si>
  <si>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</si>
  <si>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</si>
  <si>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</si>
  <si>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</si>
  <si>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</si>
  <si>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</si>
  <si>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</si>
  <si>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</si>
  <si>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</si>
  <si>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</si>
  <si>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</si>
  <si>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</si>
  <si>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</si>
  <si>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</si>
  <si>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</si>
  <si>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</si>
  <si>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</si>
  <si>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</si>
  <si>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</si>
  <si>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</si>
  <si>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</si>
  <si>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</si>
  <si>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</si>
  <si>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</si>
  <si>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</si>
  <si>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</si>
  <si>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</si>
  <si>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</si>
  <si>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</si>
  <si>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</si>
  <si>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</si>
  <si>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</si>
  <si>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</si>
  <si>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</si>
  <si>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</si>
  <si>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</si>
  <si>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</si>
  <si>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</si>
  <si>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</si>
  <si>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</si>
  <si>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</si>
  <si>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</si>
  <si>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</si>
  <si>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</si>
  <si>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</si>
  <si>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</si>
  <si>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</si>
  <si>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</si>
  <si>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</si>
  <si>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</si>
  <si>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</si>
  <si>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</si>
  <si>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</si>
  <si>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</si>
  <si>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</si>
  <si>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</si>
  <si>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</si>
  <si>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</si>
  <si>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</si>
  <si>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</si>
  <si>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</si>
  <si>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</si>
  <si>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</si>
  <si>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</si>
  <si>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</si>
  <si>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</si>
  <si>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</si>
  <si>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</si>
  <si>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</si>
  <si>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</si>
  <si>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</si>
  <si>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</si>
  <si>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</si>
  <si>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</si>
  <si>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</si>
  <si>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</si>
  <si>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</si>
  <si>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</si>
  <si>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</si>
  <si>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</si>
  <si>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</si>
  <si>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</si>
  <si>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</si>
  <si>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</si>
  <si>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</si>
  <si>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</si>
  <si>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</si>
  <si>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</si>
  <si>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</si>
  <si>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</si>
  <si>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</si>
  <si>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</si>
  <si>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</si>
  <si>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</si>
  <si>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</si>
  <si>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</si>
  <si>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</si>
  <si>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</si>
  <si>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</si>
  <si>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</si>
  <si>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</si>
  <si>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</si>
  <si>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</si>
  <si>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</si>
  <si>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</si>
  <si>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</si>
  <si>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</si>
  <si>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</si>
  <si>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</si>
  <si>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</si>
  <si>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</si>
  <si>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</si>
  <si>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</si>
  <si>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</si>
  <si>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</si>
  <si>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</si>
  <si>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</si>
  <si>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</si>
  <si>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</si>
  <si>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</si>
  <si>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</si>
  <si>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</si>
  <si>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</si>
  <si>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</si>
  <si>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</si>
  <si>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</si>
  <si>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</si>
  <si>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</si>
  <si>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</si>
  <si>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</si>
  <si>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</si>
  <si>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</si>
  <si>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</si>
  <si>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</si>
  <si>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</si>
  <si>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</si>
  <si>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</si>
  <si>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</si>
  <si>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</si>
  <si>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</si>
  <si>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</si>
  <si>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</si>
  <si>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</si>
  <si>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</si>
  <si>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</si>
  <si>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</si>
  <si>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</si>
  <si>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</si>
  <si>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</si>
  <si>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</si>
  <si>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</si>
  <si>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</si>
  <si>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</si>
  <si>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</si>
  <si>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</si>
  <si>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</si>
  <si>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</si>
  <si>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</si>
  <si>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</si>
  <si>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</si>
  <si>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</si>
  <si>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</si>
  <si>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</si>
  <si>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</si>
  <si>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</si>
  <si>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</si>
  <si>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</si>
  <si>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</si>
  <si>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</si>
  <si>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</si>
  <si>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</si>
  <si>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</si>
  <si>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</si>
  <si>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</si>
  <si>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</si>
  <si>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</si>
  <si>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</si>
  <si>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</si>
  <si>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</si>
  <si>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</si>
  <si>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</si>
  <si>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</si>
  <si>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</si>
  <si>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</si>
  <si>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</si>
  <si>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</si>
  <si>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</si>
  <si>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</si>
  <si>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</si>
  <si>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</si>
  <si>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</si>
  <si>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</si>
  <si>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</si>
  <si>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</si>
  <si>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</si>
  <si>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</si>
  <si>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</si>
  <si>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</si>
  <si>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</si>
  <si>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</si>
  <si>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</si>
  <si>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</si>
  <si>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</si>
  <si>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</si>
  <si>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</si>
  <si>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</si>
  <si>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</si>
  <si>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</si>
  <si>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</si>
  <si>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</si>
  <si>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</si>
  <si>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</si>
  <si>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</si>
  <si>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</si>
  <si>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</si>
  <si>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</si>
  <si>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</si>
  <si>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</si>
  <si>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</si>
  <si>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</si>
  <si>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</si>
  <si>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</si>
  <si>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</si>
  <si>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</si>
  <si>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</si>
  <si>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</si>
  <si>
    <t>Toutes les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</si>
</sst>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989276</v>
      </c>
    </row>
    <row r="8" spans="1:3" ht="15" customHeight="1" x14ac:dyDescent="0.25">
      <c r="B8" s="5" t="s">
        <v>37</v>
      </c>
      <c r="C8" s="44">
        <v>0.81299999999999994</v>
      </c>
    </row>
    <row r="9" spans="1:3" ht="15" customHeight="1" x14ac:dyDescent="0.25">
      <c r="B9" s="5" t="s">
        <v>38</v>
      </c>
      <c r="C9" s="45">
        <v>0.99900000000000011</v>
      </c>
    </row>
    <row r="10" spans="1:3" ht="15" customHeight="1" x14ac:dyDescent="0.25">
      <c r="B10" s="5" t="s">
        <v>39</v>
      </c>
      <c r="C10" s="45">
        <v>9.7085699999999997E-2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0.71299999999999997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0.10979999999999999</v>
      </c>
    </row>
    <row r="24" spans="1:3" ht="15" customHeight="1" x14ac:dyDescent="0.25">
      <c r="B24" s="15" t="s">
        <v>51</v>
      </c>
      <c r="C24" s="45">
        <v>0.4572</v>
      </c>
    </row>
    <row r="25" spans="1:3" ht="15" customHeight="1" x14ac:dyDescent="0.25">
      <c r="B25" s="15" t="s">
        <v>52</v>
      </c>
      <c r="C25" s="45">
        <v>0.30830000000000002</v>
      </c>
    </row>
    <row r="26" spans="1:3" ht="15" customHeight="1" x14ac:dyDescent="0.25">
      <c r="B26" s="15" t="s">
        <v>53</v>
      </c>
      <c r="C26" s="45">
        <v>0.12470000000000001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0.21836491512919801</v>
      </c>
    </row>
    <row r="30" spans="1:3" ht="14.25" customHeight="1" x14ac:dyDescent="0.25">
      <c r="B30" s="25" t="s">
        <v>56</v>
      </c>
      <c r="C30" s="97">
        <v>7.7568108542825601E-2</v>
      </c>
    </row>
    <row r="31" spans="1:3" ht="14.25" customHeight="1" x14ac:dyDescent="0.25">
      <c r="B31" s="25" t="s">
        <v>57</v>
      </c>
      <c r="C31" s="97">
        <v>0.12339958874324899</v>
      </c>
    </row>
    <row r="32" spans="1:3" ht="14.25" customHeight="1" x14ac:dyDescent="0.25">
      <c r="B32" s="25" t="s">
        <v>58</v>
      </c>
      <c r="C32" s="97">
        <v>0.58066738758472702</v>
      </c>
    </row>
    <row r="33" spans="1:5" ht="13.25" customHeight="1" x14ac:dyDescent="0.25">
      <c r="B33" s="27" t="s">
        <v>59</v>
      </c>
      <c r="C33" s="48">
        <f>SUM(C29:C32)</f>
        <v>0.99999999999999967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31.912410000000001</v>
      </c>
    </row>
    <row r="38" spans="1:5" ht="15" customHeight="1" x14ac:dyDescent="0.25">
      <c r="B38" s="11" t="s">
        <v>63</v>
      </c>
      <c r="C38" s="43">
        <v>75.422229999999999</v>
      </c>
      <c r="D38" s="12"/>
      <c r="E38" s="13"/>
    </row>
    <row r="39" spans="1:5" ht="15" customHeight="1" x14ac:dyDescent="0.25">
      <c r="B39" s="11" t="s">
        <v>64</v>
      </c>
      <c r="C39" s="43">
        <v>99.916079999999994</v>
      </c>
      <c r="D39" s="12"/>
      <c r="E39" s="12"/>
    </row>
    <row r="40" spans="1:5" ht="15" customHeight="1" x14ac:dyDescent="0.25">
      <c r="B40" s="11" t="s">
        <v>65</v>
      </c>
      <c r="C40" s="98">
        <v>8.35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26.277799999999999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7.9225000000000007E-3</v>
      </c>
      <c r="D45" s="12"/>
    </row>
    <row r="46" spans="1:5" ht="15.75" customHeight="1" x14ac:dyDescent="0.25">
      <c r="B46" s="11" t="s">
        <v>70</v>
      </c>
      <c r="C46" s="45">
        <v>8.512610000000001E-2</v>
      </c>
      <c r="D46" s="12"/>
    </row>
    <row r="47" spans="1:5" ht="15.75" customHeight="1" x14ac:dyDescent="0.25">
      <c r="B47" s="11" t="s">
        <v>71</v>
      </c>
      <c r="C47" s="45">
        <v>7.3466500000000004E-2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98">
        <v>3.3</v>
      </c>
      <c r="D51" s="12"/>
    </row>
    <row r="52" spans="1:4" ht="15" customHeight="1" x14ac:dyDescent="0.25">
      <c r="B52" s="11" t="s">
        <v>75</v>
      </c>
      <c r="C52" s="98">
        <v>3.3</v>
      </c>
    </row>
    <row r="53" spans="1:4" ht="15.75" customHeight="1" x14ac:dyDescent="0.25">
      <c r="B53" s="11" t="s">
        <v>76</v>
      </c>
      <c r="C53" s="98">
        <v>3.3</v>
      </c>
    </row>
    <row r="54" spans="1:4" ht="15.75" customHeight="1" x14ac:dyDescent="0.25">
      <c r="B54" s="11" t="s">
        <v>77</v>
      </c>
      <c r="C54" s="98">
        <v>3.3</v>
      </c>
    </row>
    <row r="55" spans="1:4" ht="15.75" customHeight="1" x14ac:dyDescent="0.25">
      <c r="B55" s="11" t="s">
        <v>78</v>
      </c>
      <c r="C55" s="98">
        <v>3.3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2.181818181818182E-2</v>
      </c>
    </row>
    <row r="59" spans="1:4" ht="15.75" customHeight="1" x14ac:dyDescent="0.25">
      <c r="B59" s="11" t="s">
        <v>81</v>
      </c>
      <c r="C59" s="45">
        <v>0.44318700000000011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0.14536402000000001</v>
      </c>
    </row>
    <row r="63" spans="1:4" ht="15.75" customHeight="1" x14ac:dyDescent="0.3">
      <c r="A63" s="4"/>
    </row>
  </sheetData>
  <sheetProtection algorithmName="SHA-512" hashValue="RQKjY3lNs3KL0xzLh7Bth2rge4BcQalq1TynNIHs5qtx1c4HWtSW1up/jGkDIKKtNUMoEh8J5/QnE2wfkAduMQ==" saltValue="dhOqGadJkbA9Qr4qLbGvq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246241</v>
      </c>
      <c r="C2" s="49">
        <v>327881</v>
      </c>
      <c r="D2" s="49">
        <v>497611.5</v>
      </c>
      <c r="E2" s="49">
        <v>266345</v>
      </c>
      <c r="F2" s="49">
        <v>147504.00000000003</v>
      </c>
      <c r="G2" s="17">
        <f t="shared" ref="G2:G13" si="0">C2+D2+E2+F2</f>
        <v>1239341.5</v>
      </c>
      <c r="H2" s="17">
        <f t="shared" ref="H2:H13" si="1">(B2 + stillbirth*B2/(1000-stillbirth))/(1-abortion)</f>
        <v>287370.79033611249</v>
      </c>
      <c r="I2" s="17">
        <f t="shared" ref="I2:I13" si="2">G2-H2</f>
        <v>951970.70966388751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250088</v>
      </c>
      <c r="C3" s="50">
        <v>337497</v>
      </c>
      <c r="D3" s="50">
        <v>518433.50000000012</v>
      </c>
      <c r="E3" s="50">
        <v>281038.5</v>
      </c>
      <c r="F3" s="50">
        <v>153042</v>
      </c>
      <c r="G3" s="17">
        <f t="shared" si="0"/>
        <v>1290011</v>
      </c>
      <c r="H3" s="17">
        <f t="shared" si="1"/>
        <v>291860.35718494357</v>
      </c>
      <c r="I3" s="17">
        <f t="shared" si="2"/>
        <v>998150.64281505649</v>
      </c>
    </row>
    <row r="4" spans="1:9" ht="15.75" customHeight="1" x14ac:dyDescent="0.25">
      <c r="A4" s="5">
        <f t="shared" si="3"/>
        <v>2026</v>
      </c>
      <c r="B4" s="49">
        <v>254783</v>
      </c>
      <c r="C4" s="50">
        <v>350963</v>
      </c>
      <c r="D4" s="50">
        <v>538457</v>
      </c>
      <c r="E4" s="50">
        <v>296849</v>
      </c>
      <c r="F4" s="50">
        <v>159796</v>
      </c>
      <c r="G4" s="17">
        <f t="shared" si="0"/>
        <v>1346065</v>
      </c>
      <c r="H4" s="17">
        <f t="shared" si="1"/>
        <v>297339.56601136993</v>
      </c>
      <c r="I4" s="17">
        <f t="shared" si="2"/>
        <v>1048725.4339886301</v>
      </c>
    </row>
    <row r="5" spans="1:9" ht="15.75" customHeight="1" x14ac:dyDescent="0.25">
      <c r="A5" s="5">
        <f t="shared" si="3"/>
        <v>2027</v>
      </c>
      <c r="B5" s="49">
        <v>259894</v>
      </c>
      <c r="C5" s="50">
        <v>364779</v>
      </c>
      <c r="D5" s="50">
        <v>556640</v>
      </c>
      <c r="E5" s="50">
        <v>313321.5</v>
      </c>
      <c r="F5" s="50">
        <v>167596.5</v>
      </c>
      <c r="G5" s="17">
        <f t="shared" si="0"/>
        <v>1402337</v>
      </c>
      <c r="H5" s="17">
        <f t="shared" si="1"/>
        <v>303304.25958152226</v>
      </c>
      <c r="I5" s="17">
        <f t="shared" si="2"/>
        <v>1099032.7404184777</v>
      </c>
    </row>
    <row r="6" spans="1:9" ht="15.75" customHeight="1" x14ac:dyDescent="0.25">
      <c r="A6" s="5">
        <f t="shared" si="3"/>
        <v>2028</v>
      </c>
      <c r="B6" s="49">
        <v>265017</v>
      </c>
      <c r="C6" s="50">
        <v>377920</v>
      </c>
      <c r="D6" s="50">
        <v>573146.50000000012</v>
      </c>
      <c r="E6" s="50">
        <v>330598</v>
      </c>
      <c r="F6" s="50">
        <v>176371</v>
      </c>
      <c r="G6" s="17">
        <f t="shared" si="0"/>
        <v>1458035.5</v>
      </c>
      <c r="H6" s="17">
        <f t="shared" si="1"/>
        <v>309282.957519282</v>
      </c>
      <c r="I6" s="17">
        <f t="shared" si="2"/>
        <v>1148752.5424807179</v>
      </c>
    </row>
    <row r="7" spans="1:9" ht="15.75" customHeight="1" x14ac:dyDescent="0.25">
      <c r="A7" s="5">
        <f t="shared" si="3"/>
        <v>2029</v>
      </c>
      <c r="B7" s="49">
        <v>269576</v>
      </c>
      <c r="C7" s="50">
        <v>388995.5</v>
      </c>
      <c r="D7" s="50">
        <v>588243.5</v>
      </c>
      <c r="E7" s="50">
        <v>349533.5</v>
      </c>
      <c r="F7" s="50">
        <v>185435</v>
      </c>
      <c r="G7" s="17">
        <f t="shared" si="0"/>
        <v>1512207.5</v>
      </c>
      <c r="H7" s="17">
        <f t="shared" si="1"/>
        <v>314603.4501794902</v>
      </c>
      <c r="I7" s="17">
        <f t="shared" si="2"/>
        <v>1197604.0498205097</v>
      </c>
    </row>
    <row r="8" spans="1:9" ht="15.75" customHeight="1" x14ac:dyDescent="0.25">
      <c r="A8" s="5">
        <f t="shared" si="3"/>
        <v>2030</v>
      </c>
      <c r="B8" s="49">
        <v>273532</v>
      </c>
      <c r="C8" s="50">
        <v>393973</v>
      </c>
      <c r="D8" s="50">
        <v>605509.5</v>
      </c>
      <c r="E8" s="50">
        <v>370173</v>
      </c>
      <c r="F8" s="50">
        <v>194598.5</v>
      </c>
      <c r="G8" s="17">
        <f t="shared" si="0"/>
        <v>1564254</v>
      </c>
      <c r="H8" s="17">
        <f t="shared" si="1"/>
        <v>319220.22336742264</v>
      </c>
      <c r="I8" s="17">
        <f t="shared" si="2"/>
        <v>1245033.7766325774</v>
      </c>
    </row>
    <row r="9" spans="1:9" ht="15.75" customHeight="1" x14ac:dyDescent="0.25">
      <c r="A9" s="5">
        <f t="shared" si="3"/>
        <v>2031</v>
      </c>
      <c r="B9" s="49">
        <v>276644</v>
      </c>
      <c r="C9" s="50">
        <v>393747</v>
      </c>
      <c r="D9" s="50">
        <v>626455.99999999988</v>
      </c>
      <c r="E9" s="50">
        <v>391371.99999999994</v>
      </c>
      <c r="F9" s="50">
        <v>204215.50000000003</v>
      </c>
      <c r="G9" s="17">
        <f t="shared" si="0"/>
        <v>1615790.4999999998</v>
      </c>
      <c r="H9" s="17">
        <f t="shared" si="1"/>
        <v>322852.02270029561</v>
      </c>
      <c r="I9" s="17">
        <f t="shared" si="2"/>
        <v>1292938.4772997042</v>
      </c>
    </row>
    <row r="10" spans="1:9" ht="15.75" customHeight="1" x14ac:dyDescent="0.25">
      <c r="A10" s="5">
        <f t="shared" si="3"/>
        <v>2032</v>
      </c>
      <c r="B10" s="49">
        <v>279747</v>
      </c>
      <c r="C10" s="50">
        <v>393731</v>
      </c>
      <c r="D10" s="50">
        <v>647088.50000000012</v>
      </c>
      <c r="E10" s="50">
        <v>412420</v>
      </c>
      <c r="F10" s="50">
        <v>214439</v>
      </c>
      <c r="G10" s="17">
        <f t="shared" si="0"/>
        <v>1667678.5</v>
      </c>
      <c r="H10" s="17">
        <f t="shared" si="1"/>
        <v>326473.31875746307</v>
      </c>
      <c r="I10" s="17">
        <f t="shared" si="2"/>
        <v>1341205.181242537</v>
      </c>
    </row>
    <row r="11" spans="1:9" ht="15.75" customHeight="1" x14ac:dyDescent="0.25">
      <c r="A11" s="5">
        <f t="shared" si="3"/>
        <v>2033</v>
      </c>
      <c r="B11" s="49">
        <v>280486</v>
      </c>
      <c r="C11" s="50">
        <v>395362</v>
      </c>
      <c r="D11" s="50">
        <v>665567.5</v>
      </c>
      <c r="E11" s="50">
        <v>433588.49999999994</v>
      </c>
      <c r="F11" s="50">
        <v>225703.50000000003</v>
      </c>
      <c r="G11" s="17">
        <f t="shared" si="0"/>
        <v>1720221.5</v>
      </c>
      <c r="H11" s="17">
        <f t="shared" si="1"/>
        <v>327335.75439595699</v>
      </c>
      <c r="I11" s="17">
        <f t="shared" si="2"/>
        <v>1392885.7456040429</v>
      </c>
    </row>
    <row r="12" spans="1:9" ht="15.75" customHeight="1" x14ac:dyDescent="0.25">
      <c r="A12" s="5">
        <f t="shared" si="3"/>
        <v>2034</v>
      </c>
      <c r="B12" s="49">
        <v>281215</v>
      </c>
      <c r="C12" s="50">
        <v>398752.5</v>
      </c>
      <c r="D12" s="50">
        <v>682075</v>
      </c>
      <c r="E12" s="50">
        <v>454431.5</v>
      </c>
      <c r="F12" s="50">
        <v>238394</v>
      </c>
      <c r="G12" s="17">
        <f t="shared" si="0"/>
        <v>1773653</v>
      </c>
      <c r="H12" s="17">
        <f t="shared" si="1"/>
        <v>328186.51972811139</v>
      </c>
      <c r="I12" s="17">
        <f t="shared" si="2"/>
        <v>1445466.4802718887</v>
      </c>
    </row>
    <row r="13" spans="1:9" ht="15.75" customHeight="1" x14ac:dyDescent="0.25">
      <c r="A13" s="5">
        <f t="shared" si="3"/>
        <v>2035</v>
      </c>
      <c r="B13" s="49">
        <v>282229</v>
      </c>
      <c r="C13" s="50">
        <v>404888</v>
      </c>
      <c r="D13" s="50">
        <v>696427.5</v>
      </c>
      <c r="E13" s="50">
        <v>474470.5</v>
      </c>
      <c r="F13" s="50">
        <v>252272</v>
      </c>
      <c r="G13" s="17">
        <f t="shared" si="0"/>
        <v>1828058</v>
      </c>
      <c r="H13" s="17">
        <f t="shared" si="1"/>
        <v>329369.88879094337</v>
      </c>
      <c r="I13" s="17">
        <f t="shared" si="2"/>
        <v>1498688.1112090566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FvFaGFGRZ5jTd+anvD7pXipYviliqAa9FRNo100qPXoJeUp1l9A8NS1S9IyNurUJjsmeRq5IWLf/IGAQXgXorw==" saltValue="yGEH4HbhKsQ3r3lqTosqh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8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2.688439731156032E-2</v>
      </c>
    </row>
    <row r="4" spans="1:8" ht="15.75" customHeight="1" x14ac:dyDescent="0.25">
      <c r="B4" s="19" t="s">
        <v>97</v>
      </c>
      <c r="C4" s="99">
        <v>7.0187992981200861E-2</v>
      </c>
    </row>
    <row r="5" spans="1:8" ht="15.75" customHeight="1" x14ac:dyDescent="0.25">
      <c r="B5" s="19" t="s">
        <v>98</v>
      </c>
      <c r="C5" s="99">
        <v>0.1133985886601412</v>
      </c>
    </row>
    <row r="6" spans="1:8" ht="15.75" customHeight="1" x14ac:dyDescent="0.25">
      <c r="B6" s="19" t="s">
        <v>99</v>
      </c>
      <c r="C6" s="99">
        <v>0.24461647553835281</v>
      </c>
    </row>
    <row r="7" spans="1:8" ht="15.75" customHeight="1" x14ac:dyDescent="0.25">
      <c r="B7" s="19" t="s">
        <v>100</v>
      </c>
      <c r="C7" s="99">
        <v>0.38315536168446312</v>
      </c>
    </row>
    <row r="8" spans="1:8" ht="15.75" customHeight="1" x14ac:dyDescent="0.25">
      <c r="B8" s="19" t="s">
        <v>101</v>
      </c>
      <c r="C8" s="99">
        <v>1.542919845708019E-2</v>
      </c>
    </row>
    <row r="9" spans="1:8" ht="15.75" customHeight="1" x14ac:dyDescent="0.25">
      <c r="B9" s="19" t="s">
        <v>102</v>
      </c>
      <c r="C9" s="99">
        <v>4.0559195944080341E-2</v>
      </c>
    </row>
    <row r="10" spans="1:8" ht="15.75" customHeight="1" x14ac:dyDescent="0.25">
      <c r="B10" s="19" t="s">
        <v>103</v>
      </c>
      <c r="C10" s="99">
        <v>0.1057687894231211</v>
      </c>
    </row>
    <row r="11" spans="1:8" ht="15.75" customHeight="1" x14ac:dyDescent="0.25">
      <c r="B11" s="27" t="s">
        <v>59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0" t="s">
        <v>114</v>
      </c>
      <c r="D13" s="100" t="s">
        <v>115</v>
      </c>
      <c r="E13" s="100" t="s">
        <v>116</v>
      </c>
      <c r="F13" s="100" t="s">
        <v>117</v>
      </c>
      <c r="G13" s="19"/>
    </row>
    <row r="14" spans="1:8" ht="15.75" customHeight="1" x14ac:dyDescent="0.25">
      <c r="B14" s="19" t="s">
        <v>105</v>
      </c>
      <c r="C14" s="55">
        <v>0.13308933393427699</v>
      </c>
      <c r="D14" s="55">
        <v>0.13308933393427699</v>
      </c>
      <c r="E14" s="55">
        <v>0.13308933393427699</v>
      </c>
      <c r="F14" s="55">
        <v>0.13308933393427699</v>
      </c>
    </row>
    <row r="15" spans="1:8" ht="15.75" customHeight="1" x14ac:dyDescent="0.25">
      <c r="B15" s="19" t="s">
        <v>106</v>
      </c>
      <c r="C15" s="99">
        <v>0.18058363148629969</v>
      </c>
      <c r="D15" s="99">
        <v>0.18058363148629969</v>
      </c>
      <c r="E15" s="99">
        <v>0.18058363148629969</v>
      </c>
      <c r="F15" s="99">
        <v>0.18058363148629969</v>
      </c>
    </row>
    <row r="16" spans="1:8" ht="15.75" customHeight="1" x14ac:dyDescent="0.25">
      <c r="B16" s="19" t="s">
        <v>107</v>
      </c>
      <c r="C16" s="99">
        <v>3.6025281426369758E-2</v>
      </c>
      <c r="D16" s="99">
        <v>3.6025281426369758E-2</v>
      </c>
      <c r="E16" s="99">
        <v>3.6025281426369758E-2</v>
      </c>
      <c r="F16" s="99">
        <v>3.6025281426369758E-2</v>
      </c>
    </row>
    <row r="17" spans="1:8" ht="15.75" customHeight="1" x14ac:dyDescent="0.25">
      <c r="B17" s="19" t="s">
        <v>108</v>
      </c>
      <c r="C17" s="99">
        <v>0.13883744675015419</v>
      </c>
      <c r="D17" s="99">
        <v>0.13883744675015419</v>
      </c>
      <c r="E17" s="99">
        <v>0.13883744675015419</v>
      </c>
      <c r="F17" s="99">
        <v>0.13883744675015419</v>
      </c>
    </row>
    <row r="18" spans="1:8" ht="15.75" customHeight="1" x14ac:dyDescent="0.25">
      <c r="B18" s="19" t="s">
        <v>109</v>
      </c>
      <c r="C18" s="99">
        <v>0.33438557402862412</v>
      </c>
      <c r="D18" s="99">
        <v>0.33438557402862412</v>
      </c>
      <c r="E18" s="99">
        <v>0.33438557402862412</v>
      </c>
      <c r="F18" s="99">
        <v>0.33438557402862412</v>
      </c>
    </row>
    <row r="19" spans="1:8" ht="15.75" customHeight="1" x14ac:dyDescent="0.25">
      <c r="B19" s="19" t="s">
        <v>110</v>
      </c>
      <c r="C19" s="99">
        <v>1.1710238862437151E-2</v>
      </c>
      <c r="D19" s="99">
        <v>1.1710238862437151E-2</v>
      </c>
      <c r="E19" s="99">
        <v>1.1710238862437151E-2</v>
      </c>
      <c r="F19" s="99">
        <v>1.1710238862437151E-2</v>
      </c>
    </row>
    <row r="20" spans="1:8" ht="15.75" customHeight="1" x14ac:dyDescent="0.25">
      <c r="B20" s="19" t="s">
        <v>111</v>
      </c>
      <c r="C20" s="99">
        <v>2.6569035418279138E-2</v>
      </c>
      <c r="D20" s="99">
        <v>2.6569035418279138E-2</v>
      </c>
      <c r="E20" s="99">
        <v>2.6569035418279138E-2</v>
      </c>
      <c r="F20" s="99">
        <v>2.6569035418279138E-2</v>
      </c>
    </row>
    <row r="21" spans="1:8" ht="15.75" customHeight="1" x14ac:dyDescent="0.25">
      <c r="B21" s="19" t="s">
        <v>112</v>
      </c>
      <c r="C21" s="99">
        <v>3.1875099182273318E-2</v>
      </c>
      <c r="D21" s="99">
        <v>3.1875099182273318E-2</v>
      </c>
      <c r="E21" s="99">
        <v>3.1875099182273318E-2</v>
      </c>
      <c r="F21" s="99">
        <v>3.1875099182273318E-2</v>
      </c>
    </row>
    <row r="22" spans="1:8" ht="15.75" customHeight="1" x14ac:dyDescent="0.25">
      <c r="B22" s="19" t="s">
        <v>113</v>
      </c>
      <c r="C22" s="99">
        <v>0.1069243589112856</v>
      </c>
      <c r="D22" s="99">
        <v>0.1069243589112856</v>
      </c>
      <c r="E22" s="99">
        <v>0.1069243589112856</v>
      </c>
      <c r="F22" s="99">
        <v>0.1069243589112856</v>
      </c>
    </row>
    <row r="23" spans="1:8" ht="15.75" customHeight="1" x14ac:dyDescent="0.25">
      <c r="B23" s="27" t="s">
        <v>59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8.640991000000002E-2</v>
      </c>
    </row>
    <row r="27" spans="1:8" ht="15.75" customHeight="1" x14ac:dyDescent="0.25">
      <c r="B27" s="19" t="s">
        <v>120</v>
      </c>
      <c r="C27" s="99">
        <v>8.5227879999999999E-3</v>
      </c>
    </row>
    <row r="28" spans="1:8" ht="15.75" customHeight="1" x14ac:dyDescent="0.25">
      <c r="B28" s="19" t="s">
        <v>121</v>
      </c>
      <c r="C28" s="99">
        <v>0.151297399</v>
      </c>
    </row>
    <row r="29" spans="1:8" ht="15.75" customHeight="1" x14ac:dyDescent="0.25">
      <c r="B29" s="19" t="s">
        <v>122</v>
      </c>
      <c r="C29" s="99">
        <v>0.16589246799999999</v>
      </c>
    </row>
    <row r="30" spans="1:8" ht="15.75" customHeight="1" x14ac:dyDescent="0.25">
      <c r="B30" s="19" t="s">
        <v>2</v>
      </c>
      <c r="C30" s="99">
        <v>0.10344083900000001</v>
      </c>
    </row>
    <row r="31" spans="1:8" ht="15.75" customHeight="1" x14ac:dyDescent="0.25">
      <c r="B31" s="19" t="s">
        <v>123</v>
      </c>
      <c r="C31" s="99">
        <v>0.10754699400000001</v>
      </c>
    </row>
    <row r="32" spans="1:8" ht="15.75" customHeight="1" x14ac:dyDescent="0.25">
      <c r="B32" s="19" t="s">
        <v>124</v>
      </c>
      <c r="C32" s="99">
        <v>1.8445415E-2</v>
      </c>
    </row>
    <row r="33" spans="2:3" ht="15.75" customHeight="1" x14ac:dyDescent="0.25">
      <c r="B33" s="19" t="s">
        <v>125</v>
      </c>
      <c r="C33" s="99">
        <v>8.3029338999999994E-2</v>
      </c>
    </row>
    <row r="34" spans="2:3" ht="15.75" customHeight="1" x14ac:dyDescent="0.25">
      <c r="B34" s="19" t="s">
        <v>126</v>
      </c>
      <c r="C34" s="99">
        <v>0.27541484799999999</v>
      </c>
    </row>
    <row r="35" spans="2:3" ht="15.75" customHeight="1" x14ac:dyDescent="0.25">
      <c r="B35" s="27" t="s">
        <v>59</v>
      </c>
      <c r="C35" s="48">
        <f>SUM(C26:C34)</f>
        <v>1</v>
      </c>
    </row>
  </sheetData>
  <sheetProtection algorithmName="SHA-512" hashValue="HkyYT3F0xpZm6fHDoniHnYKfYfXnFoXvt4biHVUU4mrRdrcDmBjo56sTW/b3NOTh9AzDINMjwW1O4VV6QjFacA==" saltValue="98md8FS8mN3W70tA8HwJx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0.54098887677353402</v>
      </c>
      <c r="D2" s="52">
        <f>IFERROR(1-_xlfn.NORM.DIST(_xlfn.NORM.INV(SUM(D4:D5), 0, 1) + 1, 0, 1, TRUE), "")</f>
        <v>0.54098887677353402</v>
      </c>
      <c r="E2" s="52">
        <f>IFERROR(1-_xlfn.NORM.DIST(_xlfn.NORM.INV(SUM(E4:E5), 0, 1) + 1, 0, 1, TRUE), "")</f>
        <v>0.42579575947284387</v>
      </c>
      <c r="F2" s="52">
        <f>IFERROR(1-_xlfn.NORM.DIST(_xlfn.NORM.INV(SUM(F4:F5), 0, 1) + 1, 0, 1, TRUE), "")</f>
        <v>0.24679991575928484</v>
      </c>
      <c r="G2" s="52">
        <f>IFERROR(1-_xlfn.NORM.DIST(_xlfn.NORM.INV(SUM(G4:G5), 0, 1) + 1, 0, 1, TRUE), "")</f>
        <v>0.17238931846307948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0.32398132322646589</v>
      </c>
      <c r="D3" s="52">
        <f>IFERROR(_xlfn.NORM.DIST(_xlfn.NORM.INV(SUM(D4:D5), 0, 1) + 1, 0, 1, TRUE) - SUM(D4:D5), "")</f>
        <v>0.32398132322646589</v>
      </c>
      <c r="E3" s="52">
        <f>IFERROR(_xlfn.NORM.DIST(_xlfn.NORM.INV(SUM(E4:E5), 0, 1) + 1, 0, 1, TRUE) - SUM(E4:E5), "")</f>
        <v>0.36606994052715613</v>
      </c>
      <c r="F3" s="52">
        <f>IFERROR(_xlfn.NORM.DIST(_xlfn.NORM.INV(SUM(F4:F5), 0, 1) + 1, 0, 1, TRUE) - SUM(F4:F5), "")</f>
        <v>0.37697318424071513</v>
      </c>
      <c r="G3" s="52">
        <f>IFERROR(_xlfn.NORM.DIST(_xlfn.NORM.INV(SUM(G4:G5), 0, 1) + 1, 0, 1, TRUE) - SUM(G4:G5), "")</f>
        <v>0.34963488153692052</v>
      </c>
    </row>
    <row r="4" spans="1:15" ht="15.75" customHeight="1" x14ac:dyDescent="0.25">
      <c r="B4" s="5" t="s">
        <v>132</v>
      </c>
      <c r="C4" s="45">
        <v>9.4684299999999999E-2</v>
      </c>
      <c r="D4" s="53">
        <v>9.4684299999999999E-2</v>
      </c>
      <c r="E4" s="53">
        <v>0.12541479999999999</v>
      </c>
      <c r="F4" s="53">
        <v>0.20625650000000001</v>
      </c>
      <c r="G4" s="53">
        <v>0.2217944</v>
      </c>
    </row>
    <row r="5" spans="1:15" ht="15.75" customHeight="1" x14ac:dyDescent="0.25">
      <c r="B5" s="5" t="s">
        <v>133</v>
      </c>
      <c r="C5" s="45">
        <v>4.0345500000000013E-2</v>
      </c>
      <c r="D5" s="53">
        <v>4.0345500000000013E-2</v>
      </c>
      <c r="E5" s="53">
        <v>8.2719500000000001E-2</v>
      </c>
      <c r="F5" s="53">
        <v>0.16997039999999999</v>
      </c>
      <c r="G5" s="53">
        <v>0.2561814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0.67415882215099798</v>
      </c>
      <c r="D8" s="52">
        <f>IFERROR(1-_xlfn.NORM.DIST(_xlfn.NORM.INV(SUM(D10:D11), 0, 1) + 1, 0, 1, TRUE), "")</f>
        <v>0.67415882215099798</v>
      </c>
      <c r="E8" s="52">
        <f>IFERROR(1-_xlfn.NORM.DIST(_xlfn.NORM.INV(SUM(E10:E11), 0, 1) + 1, 0, 1, TRUE), "")</f>
        <v>0.63351922855674503</v>
      </c>
      <c r="F8" s="52">
        <f>IFERROR(1-_xlfn.NORM.DIST(_xlfn.NORM.INV(SUM(F10:F11), 0, 1) + 1, 0, 1, TRUE), "")</f>
        <v>0.67030316109715538</v>
      </c>
      <c r="G8" s="52">
        <f>IFERROR(1-_xlfn.NORM.DIST(_xlfn.NORM.INV(SUM(G10:G11), 0, 1) + 1, 0, 1, TRUE), "")</f>
        <v>0.77904173855408676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0.25251057784900199</v>
      </c>
      <c r="D9" s="52">
        <f>IFERROR(_xlfn.NORM.DIST(_xlfn.NORM.INV(SUM(D10:D11), 0, 1) + 1, 0, 1, TRUE) - SUM(D10:D11), "")</f>
        <v>0.25251057784900199</v>
      </c>
      <c r="E9" s="52">
        <f>IFERROR(_xlfn.NORM.DIST(_xlfn.NORM.INV(SUM(E10:E11), 0, 1) + 1, 0, 1, TRUE) - SUM(E10:E11), "")</f>
        <v>0.27655117144325503</v>
      </c>
      <c r="F9" s="52">
        <f>IFERROR(_xlfn.NORM.DIST(_xlfn.NORM.INV(SUM(F10:F11), 0, 1) + 1, 0, 1, TRUE) - SUM(F10:F11), "")</f>
        <v>0.25486923890284463</v>
      </c>
      <c r="G9" s="52">
        <f>IFERROR(_xlfn.NORM.DIST(_xlfn.NORM.INV(SUM(G10:G11), 0, 1) + 1, 0, 1, TRUE) - SUM(G10:G11), "")</f>
        <v>0.18250806144591319</v>
      </c>
    </row>
    <row r="10" spans="1:15" ht="15.75" customHeight="1" x14ac:dyDescent="0.25">
      <c r="B10" s="5" t="s">
        <v>137</v>
      </c>
      <c r="C10" s="45">
        <v>4.17241E-2</v>
      </c>
      <c r="D10" s="53">
        <v>4.17241E-2</v>
      </c>
      <c r="E10" s="53">
        <v>7.1251800000000004E-2</v>
      </c>
      <c r="F10" s="53">
        <v>5.38188E-2</v>
      </c>
      <c r="G10" s="53">
        <v>2.83921E-2</v>
      </c>
    </row>
    <row r="11" spans="1:15" ht="15.75" customHeight="1" x14ac:dyDescent="0.25">
      <c r="B11" s="5" t="s">
        <v>138</v>
      </c>
      <c r="C11" s="45">
        <v>3.1606500000000003E-2</v>
      </c>
      <c r="D11" s="53">
        <v>3.1606500000000003E-2</v>
      </c>
      <c r="E11" s="53">
        <v>1.8677800000000001E-2</v>
      </c>
      <c r="F11" s="53">
        <v>2.1008800000000001E-2</v>
      </c>
      <c r="G11" s="53">
        <v>1.00581E-2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0.82913434649999995</v>
      </c>
      <c r="D14" s="54">
        <v>0.83222591652800004</v>
      </c>
      <c r="E14" s="54">
        <v>0.83222591652800004</v>
      </c>
      <c r="F14" s="54">
        <v>0.69540820231900002</v>
      </c>
      <c r="G14" s="54">
        <v>0.69540820231900002</v>
      </c>
      <c r="H14" s="45">
        <v>0.52300000000000002</v>
      </c>
      <c r="I14" s="55">
        <v>0.52300000000000002</v>
      </c>
      <c r="J14" s="55">
        <v>0.52300000000000002</v>
      </c>
      <c r="K14" s="55">
        <v>0.52300000000000002</v>
      </c>
      <c r="L14" s="45">
        <v>0.45400000000000001</v>
      </c>
      <c r="M14" s="55">
        <v>0.45400000000000001</v>
      </c>
      <c r="N14" s="55">
        <v>0.45400000000000001</v>
      </c>
      <c r="O14" s="55">
        <v>0.45400000000000001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0.36746156362229559</v>
      </c>
      <c r="D15" s="52">
        <f t="shared" si="0"/>
        <v>0.36883170726829484</v>
      </c>
      <c r="E15" s="52">
        <f t="shared" si="0"/>
        <v>0.36883170726829484</v>
      </c>
      <c r="F15" s="52">
        <f t="shared" si="0"/>
        <v>0.30819587496115075</v>
      </c>
      <c r="G15" s="52">
        <f t="shared" si="0"/>
        <v>0.30819587496115075</v>
      </c>
      <c r="H15" s="52">
        <f t="shared" si="0"/>
        <v>0.23178680100000007</v>
      </c>
      <c r="I15" s="52">
        <f t="shared" si="0"/>
        <v>0.23178680100000007</v>
      </c>
      <c r="J15" s="52">
        <f t="shared" si="0"/>
        <v>0.23178680100000007</v>
      </c>
      <c r="K15" s="52">
        <f t="shared" si="0"/>
        <v>0.23178680100000007</v>
      </c>
      <c r="L15" s="52">
        <f t="shared" si="0"/>
        <v>0.20120689800000005</v>
      </c>
      <c r="M15" s="52">
        <f t="shared" si="0"/>
        <v>0.20120689800000005</v>
      </c>
      <c r="N15" s="52">
        <f t="shared" si="0"/>
        <v>0.20120689800000005</v>
      </c>
      <c r="O15" s="52">
        <f t="shared" si="0"/>
        <v>0.20120689800000005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Ts2npxv2pfu3YfLaJTs1LUX3qgjgSJPNJO1Q/HoXiX/bpf61w62rvBnD1dv+V8V3V6L1pwsxwMkP7gVCqke4rg==" saltValue="ZhYL3kwNpnKwA20elXi5q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0.68534890000000004</v>
      </c>
      <c r="D2" s="53">
        <v>0.3043807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0.17904149999999999</v>
      </c>
      <c r="D3" s="53">
        <v>0.20097799999999999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0.11440980000000001</v>
      </c>
      <c r="D4" s="53">
        <v>0.46895799999999999</v>
      </c>
      <c r="E4" s="53">
        <v>0.96708879999999997</v>
      </c>
      <c r="F4" s="53">
        <v>0.68774510000000011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2.1199799999999991E-2</v>
      </c>
      <c r="D5" s="52">
        <f t="shared" si="0"/>
        <v>2.5683300000000076E-2</v>
      </c>
      <c r="E5" s="52">
        <f>1-SUM(E2:E4)</f>
        <v>3.2911200000000029E-2</v>
      </c>
      <c r="F5" s="52">
        <f>1-SUM(F2:F4)</f>
        <v>0.31225489999999989</v>
      </c>
      <c r="G5" s="52">
        <f>1-SUM(G2:G4)</f>
        <v>1</v>
      </c>
    </row>
  </sheetData>
  <sheetProtection algorithmName="SHA-512" hashValue="zuP+MBc44civFDkeHueh/e2IREfy4ZUM3RGLfFWwqsGioDYnwX71yAep3704QioVbkCpqVUMvn8pLFa9BUDgmA==" saltValue="rjcDdyC9y9f0MgqnLP981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fgrb3d9UI2pis0NS2n4sO6Ce+zWS+dSg7/4CPOiMiVFApo6WJZVYJfG8FbbttCLPRroYDQMJ1gJJHGy+DoV6ew==" saltValue="n5TiCuL+oU6hXa9YASL+L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12</v>
      </c>
      <c r="B1" s="103" t="s">
        <v>13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163</v>
      </c>
      <c r="B2" s="107">
        <v>427.05809619126899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162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173</v>
      </c>
      <c r="B4" s="108">
        <v>0.35212000000000004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164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165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168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167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169</v>
      </c>
      <c r="B9" s="108">
        <v>0.63761999999999996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166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174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175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176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177</v>
      </c>
      <c r="B14" s="110">
        <v>2.1123610453508E-2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170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171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172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178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14</v>
      </c>
      <c r="B21" s="106" t="s">
        <v>15</v>
      </c>
      <c r="C21" s="106" t="s">
        <v>16</v>
      </c>
      <c r="D21" s="106" t="s">
        <v>17</v>
      </c>
      <c r="E21" s="106" t="s">
        <v>18</v>
      </c>
      <c r="F21" s="106" t="s">
        <v>19</v>
      </c>
      <c r="G21" s="106" t="s">
        <v>20</v>
      </c>
      <c r="H21" s="106" t="s">
        <v>21</v>
      </c>
      <c r="I21" s="106" t="s">
        <v>22</v>
      </c>
      <c r="J21" s="106" t="s">
        <v>23</v>
      </c>
      <c r="K21" s="106" t="s">
        <v>24</v>
      </c>
      <c r="L21" s="106" t="s">
        <v>25</v>
      </c>
      <c r="M21" s="106" t="s">
        <v>26</v>
      </c>
      <c r="N21" s="106" t="s">
        <v>27</v>
      </c>
      <c r="O21" s="106" t="s">
        <v>28</v>
      </c>
    </row>
    <row r="22" spans="1:15" x14ac:dyDescent="0.25">
      <c r="A22" s="106" t="s">
        <v>179</v>
      </c>
      <c r="B22" s="107">
        <v>88744.602750000005</v>
      </c>
      <c r="C22" s="107">
        <v>87961.954259999999</v>
      </c>
      <c r="D22" s="107">
        <v>87480.419760000004</v>
      </c>
      <c r="E22" s="107">
        <v>86254.013609999995</v>
      </c>
      <c r="F22" s="107">
        <v>84646.125079999998</v>
      </c>
      <c r="G22" s="107">
        <v>82633.285010000007</v>
      </c>
      <c r="H22" s="107">
        <v>79966.870699999999</v>
      </c>
      <c r="I22" s="107">
        <v>76224.121530000004</v>
      </c>
      <c r="J22" s="107">
        <v>71084.183069999999</v>
      </c>
      <c r="K22" s="107">
        <v>64485.75649</v>
      </c>
      <c r="L22" s="107">
        <v>56647.373330000002</v>
      </c>
      <c r="M22" s="107">
        <v>47689.856030000003</v>
      </c>
      <c r="N22" s="107">
        <v>38011.801740000003</v>
      </c>
      <c r="O22" s="107">
        <v>28261.021949999998</v>
      </c>
    </row>
  </sheetData>
  <sheetProtection algorithmName="SHA-512" hashValue="qjloKMcoKd18PDid1XDqaj3Oyn1tNu4H8733y0FdeCExuXBjke9s9JSWzNzg2jmSXuWRVNbgbG266hBhcLmXaw==" saltValue="2qdPGxAcQGWl2+CE+SKAa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5Wx2kD6hHLqDke9qjTDM3m9RUG0+YWbLsaONFvRNPYVnVhaoF9Cm+NCeCZWsenCUy1SSsiY14Iyz9FUgF8i9sA==" saltValue="uWy+gsVFxjU7/nvKowuex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J98vb2dsh8vSr8PNGAqRp2ios8nzsktsqpJY8JfeCONkAMnjmBt2DJ+axmP8sxST7eV8T5lBNYQV81yFzQ2wrw==" saltValue="Se6MmJmI1WqWq44akPBZQ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6">
        <v>0.95</v>
      </c>
      <c r="D2" s="56">
        <v>18.025735670419653</v>
      </c>
      <c r="E2" s="56" t="s">
        <v>230</v>
      </c>
      <c r="F2" s="96">
        <v>1</v>
      </c>
      <c r="G2" s="96">
        <v>1</v>
      </c>
    </row>
    <row r="3" spans="1:7" ht="15.75" customHeight="1" x14ac:dyDescent="0.25">
      <c r="A3" s="5" t="s">
        <v>198</v>
      </c>
      <c r="B3" s="45">
        <v>0</v>
      </c>
      <c r="C3" s="96">
        <v>0.95</v>
      </c>
      <c r="D3" s="56">
        <v>18.025735670419653</v>
      </c>
      <c r="E3" s="56" t="s">
        <v>230</v>
      </c>
      <c r="F3" s="96">
        <v>1</v>
      </c>
      <c r="G3" s="96">
        <v>1</v>
      </c>
    </row>
    <row r="4" spans="1:7" ht="15.75" customHeight="1" x14ac:dyDescent="0.25">
      <c r="A4" s="5" t="s">
        <v>199</v>
      </c>
      <c r="B4" s="96">
        <v>0</v>
      </c>
      <c r="C4" s="96">
        <v>0.95</v>
      </c>
      <c r="D4" s="56">
        <v>5.2668836507008754</v>
      </c>
      <c r="E4" s="56" t="s">
        <v>230</v>
      </c>
      <c r="F4" s="96">
        <v>1</v>
      </c>
      <c r="G4" s="96">
        <v>1</v>
      </c>
    </row>
    <row r="5" spans="1:7" ht="15.75" customHeight="1" x14ac:dyDescent="0.25">
      <c r="A5" s="5" t="s">
        <v>200</v>
      </c>
      <c r="B5" s="96">
        <v>0</v>
      </c>
      <c r="C5" s="96">
        <v>0.95</v>
      </c>
      <c r="D5" s="56">
        <v>0.56149571024496792</v>
      </c>
      <c r="E5" s="56" t="s">
        <v>230</v>
      </c>
      <c r="F5" s="96">
        <v>1</v>
      </c>
      <c r="G5" s="96">
        <v>1</v>
      </c>
    </row>
    <row r="6" spans="1:7" ht="15.75" customHeight="1" x14ac:dyDescent="0.25">
      <c r="A6" s="5" t="s">
        <v>201</v>
      </c>
      <c r="B6" s="96">
        <v>0</v>
      </c>
      <c r="C6" s="96">
        <v>0.95</v>
      </c>
      <c r="D6" s="56">
        <v>99.99</v>
      </c>
      <c r="E6" s="56" t="s">
        <v>230</v>
      </c>
      <c r="F6" s="96">
        <v>1</v>
      </c>
      <c r="G6" s="96">
        <v>1</v>
      </c>
    </row>
    <row r="7" spans="1:7" ht="15.75" customHeight="1" x14ac:dyDescent="0.25">
      <c r="A7" s="5" t="s">
        <v>202</v>
      </c>
      <c r="B7" s="96">
        <v>0</v>
      </c>
      <c r="C7" s="96">
        <v>0.95</v>
      </c>
      <c r="D7" s="56">
        <v>0.19283527130965261</v>
      </c>
      <c r="E7" s="56" t="s">
        <v>230</v>
      </c>
      <c r="F7" s="96">
        <v>1</v>
      </c>
      <c r="G7" s="96">
        <v>1</v>
      </c>
    </row>
    <row r="8" spans="1:7" ht="15.75" customHeight="1" x14ac:dyDescent="0.25">
      <c r="A8" s="5" t="s">
        <v>203</v>
      </c>
      <c r="B8" s="96">
        <v>0</v>
      </c>
      <c r="C8" s="96">
        <v>0.95</v>
      </c>
      <c r="D8" s="56">
        <v>0.10284547803181469</v>
      </c>
      <c r="E8" s="56" t="s">
        <v>230</v>
      </c>
      <c r="F8" s="96">
        <v>1</v>
      </c>
      <c r="G8" s="96">
        <v>1</v>
      </c>
    </row>
    <row r="9" spans="1:7" ht="15.75" customHeight="1" x14ac:dyDescent="0.25">
      <c r="A9" s="5" t="s">
        <v>204</v>
      </c>
      <c r="B9" s="96">
        <v>0</v>
      </c>
      <c r="C9" s="96">
        <v>0.95</v>
      </c>
      <c r="D9" s="56">
        <v>0.23003335421429147</v>
      </c>
      <c r="E9" s="56" t="s">
        <v>230</v>
      </c>
      <c r="F9" s="96">
        <v>1</v>
      </c>
      <c r="G9" s="96">
        <v>1</v>
      </c>
    </row>
    <row r="10" spans="1:7" ht="15.75" customHeight="1" x14ac:dyDescent="0.25">
      <c r="A10" s="11" t="s">
        <v>205</v>
      </c>
      <c r="B10" s="45">
        <v>0</v>
      </c>
      <c r="C10" s="96">
        <v>0.95</v>
      </c>
      <c r="D10" s="56">
        <v>17.30460856515991</v>
      </c>
      <c r="E10" s="56" t="s">
        <v>230</v>
      </c>
      <c r="F10" s="96">
        <v>1</v>
      </c>
      <c r="G10" s="96">
        <v>1</v>
      </c>
    </row>
    <row r="11" spans="1:7" ht="15.75" customHeight="1" x14ac:dyDescent="0.25">
      <c r="A11" s="11" t="s">
        <v>206</v>
      </c>
      <c r="B11" s="96">
        <v>0</v>
      </c>
      <c r="C11" s="96">
        <v>0.95</v>
      </c>
      <c r="D11" s="56">
        <v>17.30460856515991</v>
      </c>
      <c r="E11" s="56" t="s">
        <v>230</v>
      </c>
      <c r="F11" s="96">
        <v>1</v>
      </c>
      <c r="G11" s="96">
        <v>1</v>
      </c>
    </row>
    <row r="12" spans="1:7" ht="15.75" customHeight="1" x14ac:dyDescent="0.25">
      <c r="A12" s="11" t="s">
        <v>207</v>
      </c>
      <c r="B12" s="96">
        <v>0</v>
      </c>
      <c r="C12" s="96">
        <v>0.95</v>
      </c>
      <c r="D12" s="56">
        <v>17.30460856515991</v>
      </c>
      <c r="E12" s="56" t="s">
        <v>230</v>
      </c>
      <c r="F12" s="96">
        <v>1</v>
      </c>
      <c r="G12" s="96">
        <v>1</v>
      </c>
    </row>
    <row r="13" spans="1:7" ht="15.75" customHeight="1" x14ac:dyDescent="0.25">
      <c r="A13" s="11" t="s">
        <v>208</v>
      </c>
      <c r="B13" s="96">
        <v>0</v>
      </c>
      <c r="C13" s="96">
        <v>0.95</v>
      </c>
      <c r="D13" s="56">
        <v>17.30460856515991</v>
      </c>
      <c r="E13" s="56" t="s">
        <v>230</v>
      </c>
      <c r="F13" s="96">
        <v>1</v>
      </c>
      <c r="G13" s="96">
        <v>1</v>
      </c>
    </row>
    <row r="14" spans="1:7" ht="15.75" customHeight="1" x14ac:dyDescent="0.25">
      <c r="A14" s="5" t="s">
        <v>209</v>
      </c>
      <c r="B14" s="45">
        <v>0</v>
      </c>
      <c r="C14" s="96">
        <v>0.95</v>
      </c>
      <c r="D14" s="56">
        <v>17.30460856515991</v>
      </c>
      <c r="E14" s="56" t="s">
        <v>230</v>
      </c>
      <c r="F14" s="96">
        <v>1</v>
      </c>
      <c r="G14" s="96">
        <v>1</v>
      </c>
    </row>
    <row r="15" spans="1:7" ht="15.75" customHeight="1" x14ac:dyDescent="0.25">
      <c r="A15" s="5" t="s">
        <v>210</v>
      </c>
      <c r="B15" s="96">
        <v>0</v>
      </c>
      <c r="C15" s="96">
        <v>0.95</v>
      </c>
      <c r="D15" s="56">
        <v>17.30460856515991</v>
      </c>
      <c r="E15" s="56" t="s">
        <v>230</v>
      </c>
      <c r="F15" s="96">
        <v>1</v>
      </c>
      <c r="G15" s="96">
        <v>1</v>
      </c>
    </row>
    <row r="16" spans="1:7" ht="15.75" customHeight="1" x14ac:dyDescent="0.25">
      <c r="A16" s="5" t="s">
        <v>211</v>
      </c>
      <c r="B16" s="45">
        <v>0.59670389999999995</v>
      </c>
      <c r="C16" s="96">
        <v>0.95</v>
      </c>
      <c r="D16" s="56">
        <v>2.8407188685968858</v>
      </c>
      <c r="E16" s="56" t="s">
        <v>230</v>
      </c>
      <c r="F16" s="96">
        <v>1</v>
      </c>
      <c r="G16" s="96">
        <v>1</v>
      </c>
    </row>
    <row r="17" spans="1:7" ht="15.75" customHeight="1" x14ac:dyDescent="0.25">
      <c r="A17" s="5" t="s">
        <v>212</v>
      </c>
      <c r="B17" s="96">
        <v>0</v>
      </c>
      <c r="C17" s="96">
        <v>0.95</v>
      </c>
      <c r="D17" s="56">
        <v>0.35500000000000004</v>
      </c>
      <c r="E17" s="56" t="s">
        <v>230</v>
      </c>
      <c r="F17" s="96">
        <v>1</v>
      </c>
      <c r="G17" s="96">
        <v>1</v>
      </c>
    </row>
    <row r="18" spans="1:7" ht="15.9" customHeight="1" x14ac:dyDescent="0.25">
      <c r="A18" s="5" t="s">
        <v>186</v>
      </c>
      <c r="B18" s="96">
        <v>0.27800000000000002</v>
      </c>
      <c r="C18" s="96">
        <v>0.95</v>
      </c>
      <c r="D18" s="56">
        <v>5.2668836507008754</v>
      </c>
      <c r="E18" s="56" t="s">
        <v>230</v>
      </c>
      <c r="F18" s="96">
        <v>1</v>
      </c>
      <c r="G18" s="96">
        <v>1</v>
      </c>
    </row>
    <row r="19" spans="1:7" ht="15.75" customHeight="1" x14ac:dyDescent="0.25">
      <c r="A19" s="5" t="s">
        <v>187</v>
      </c>
      <c r="B19" s="96">
        <v>0.3043807</v>
      </c>
      <c r="C19" s="96">
        <v>0.95</v>
      </c>
      <c r="D19" s="56">
        <v>7.2861200073283072</v>
      </c>
      <c r="E19" s="56" t="s">
        <v>230</v>
      </c>
      <c r="F19" s="96">
        <v>1</v>
      </c>
      <c r="G19" s="96">
        <v>1</v>
      </c>
    </row>
    <row r="20" spans="1:7" ht="15.75" customHeight="1" x14ac:dyDescent="0.25">
      <c r="A20" s="5" t="s">
        <v>188</v>
      </c>
      <c r="B20" s="96">
        <v>0</v>
      </c>
      <c r="C20" s="96">
        <v>0.95</v>
      </c>
      <c r="D20" s="56">
        <v>99.99</v>
      </c>
      <c r="E20" s="56" t="s">
        <v>230</v>
      </c>
      <c r="F20" s="96">
        <v>1</v>
      </c>
      <c r="G20" s="96">
        <v>1</v>
      </c>
    </row>
    <row r="21" spans="1:7" ht="15.75" customHeight="1" x14ac:dyDescent="0.25">
      <c r="A21" s="5" t="s">
        <v>213</v>
      </c>
      <c r="B21" s="45">
        <v>0</v>
      </c>
      <c r="C21" s="96">
        <v>0.95</v>
      </c>
      <c r="D21" s="56">
        <v>2.1939130069251829</v>
      </c>
      <c r="E21" s="56" t="s">
        <v>230</v>
      </c>
      <c r="F21" s="96">
        <v>1</v>
      </c>
      <c r="G21" s="96">
        <v>1</v>
      </c>
    </row>
    <row r="22" spans="1:7" ht="15.75" customHeight="1" x14ac:dyDescent="0.25">
      <c r="A22" s="5" t="s">
        <v>214</v>
      </c>
      <c r="B22" s="96">
        <v>0</v>
      </c>
      <c r="C22" s="96">
        <v>0.95</v>
      </c>
      <c r="D22" s="56">
        <v>5.2668836507008754</v>
      </c>
      <c r="E22" s="56" t="s">
        <v>230</v>
      </c>
      <c r="F22" s="96">
        <v>1</v>
      </c>
      <c r="G22" s="96">
        <v>1</v>
      </c>
    </row>
    <row r="23" spans="1:7" ht="15.75" customHeight="1" x14ac:dyDescent="0.25">
      <c r="A23" s="5" t="s">
        <v>215</v>
      </c>
      <c r="B23" s="96">
        <v>0.60746149999999999</v>
      </c>
      <c r="C23" s="96">
        <v>0.95</v>
      </c>
      <c r="D23" s="56">
        <v>5.6236363581689766</v>
      </c>
      <c r="E23" s="56" t="s">
        <v>230</v>
      </c>
      <c r="F23" s="96">
        <v>1</v>
      </c>
      <c r="G23" s="96">
        <v>1</v>
      </c>
    </row>
    <row r="24" spans="1:7" ht="15.75" customHeight="1" x14ac:dyDescent="0.25">
      <c r="A24" s="5" t="s">
        <v>216</v>
      </c>
      <c r="B24" s="45">
        <v>0.35289840412538298</v>
      </c>
      <c r="C24" s="96">
        <v>0.95</v>
      </c>
      <c r="D24" s="56">
        <v>99.99</v>
      </c>
      <c r="E24" s="56" t="s">
        <v>230</v>
      </c>
      <c r="F24" s="96">
        <v>1</v>
      </c>
      <c r="G24" s="96">
        <v>1</v>
      </c>
    </row>
    <row r="25" spans="1:7" ht="15.75" customHeight="1" x14ac:dyDescent="0.25">
      <c r="A25" s="5" t="s">
        <v>217</v>
      </c>
      <c r="B25" s="96">
        <v>0</v>
      </c>
      <c r="C25" s="96">
        <v>0.95</v>
      </c>
      <c r="D25" s="56">
        <v>99.99</v>
      </c>
      <c r="E25" s="56" t="s">
        <v>230</v>
      </c>
      <c r="F25" s="96">
        <v>1</v>
      </c>
      <c r="G25" s="96">
        <v>1</v>
      </c>
    </row>
    <row r="26" spans="1:7" ht="15.75" customHeight="1" x14ac:dyDescent="0.25">
      <c r="A26" s="5" t="s">
        <v>218</v>
      </c>
      <c r="B26" s="45">
        <v>0</v>
      </c>
      <c r="C26" s="96">
        <v>0.95</v>
      </c>
      <c r="D26" s="56">
        <v>3.8681355531509101</v>
      </c>
      <c r="E26" s="56" t="s">
        <v>230</v>
      </c>
      <c r="F26" s="96">
        <v>1</v>
      </c>
      <c r="G26" s="96">
        <v>1</v>
      </c>
    </row>
    <row r="27" spans="1:7" ht="15.75" customHeight="1" x14ac:dyDescent="0.25">
      <c r="A27" s="5" t="s">
        <v>219</v>
      </c>
      <c r="B27" s="45">
        <v>0</v>
      </c>
      <c r="C27" s="96">
        <v>0.95</v>
      </c>
      <c r="D27" s="56">
        <v>13.457928721749347</v>
      </c>
      <c r="E27" s="56" t="s">
        <v>230</v>
      </c>
      <c r="F27" s="96">
        <v>1</v>
      </c>
      <c r="G27" s="96">
        <v>1</v>
      </c>
    </row>
    <row r="28" spans="1:7" ht="15.75" customHeight="1" x14ac:dyDescent="0.25">
      <c r="A28" s="5" t="s">
        <v>220</v>
      </c>
      <c r="B28" s="45">
        <v>0.2339136</v>
      </c>
      <c r="C28" s="96">
        <v>0.95</v>
      </c>
      <c r="D28" s="56">
        <v>99.99</v>
      </c>
      <c r="E28" s="56" t="s">
        <v>230</v>
      </c>
      <c r="F28" s="96">
        <v>1</v>
      </c>
      <c r="G28" s="96">
        <v>1</v>
      </c>
    </row>
    <row r="29" spans="1:7" ht="15.75" customHeight="1" x14ac:dyDescent="0.25">
      <c r="A29" s="5" t="s">
        <v>221</v>
      </c>
      <c r="B29" s="45">
        <v>9.1486800000000007E-2</v>
      </c>
      <c r="C29" s="96">
        <v>0.95</v>
      </c>
      <c r="D29" s="56">
        <v>88.005851455993124</v>
      </c>
      <c r="E29" s="56" t="s">
        <v>230</v>
      </c>
      <c r="F29" s="96">
        <v>1</v>
      </c>
      <c r="G29" s="96">
        <v>1</v>
      </c>
    </row>
    <row r="30" spans="1:7" ht="15.75" customHeight="1" x14ac:dyDescent="0.25">
      <c r="A30" s="5" t="s">
        <v>234</v>
      </c>
      <c r="B30" s="96">
        <v>0</v>
      </c>
      <c r="C30" s="96">
        <v>0.95</v>
      </c>
      <c r="D30" s="56">
        <v>44.783843336315748</v>
      </c>
      <c r="E30" s="56" t="s">
        <v>230</v>
      </c>
      <c r="F30" s="96">
        <v>1</v>
      </c>
      <c r="G30" s="96">
        <v>1</v>
      </c>
    </row>
    <row r="31" spans="1:7" ht="15.75" customHeight="1" x14ac:dyDescent="0.25">
      <c r="A31" s="5" t="s">
        <v>190</v>
      </c>
      <c r="B31" s="45">
        <v>0.17560000000000001</v>
      </c>
      <c r="C31" s="96">
        <v>0.95</v>
      </c>
      <c r="D31" s="56">
        <v>126.62714253872848</v>
      </c>
      <c r="E31" s="56" t="s">
        <v>230</v>
      </c>
      <c r="F31" s="96">
        <v>1</v>
      </c>
      <c r="G31" s="96">
        <v>1</v>
      </c>
    </row>
    <row r="32" spans="1:7" ht="15.75" customHeight="1" x14ac:dyDescent="0.25">
      <c r="A32" s="5" t="s">
        <v>222</v>
      </c>
      <c r="B32" s="45">
        <v>0.46</v>
      </c>
      <c r="C32" s="96">
        <v>0.95</v>
      </c>
      <c r="D32" s="56">
        <v>0.46210405728622134</v>
      </c>
      <c r="E32" s="56" t="s">
        <v>230</v>
      </c>
      <c r="F32" s="96">
        <v>1</v>
      </c>
      <c r="G32" s="96">
        <v>1</v>
      </c>
    </row>
    <row r="33" spans="1:7" ht="15.75" customHeight="1" x14ac:dyDescent="0.25">
      <c r="A33" s="5" t="s">
        <v>223</v>
      </c>
      <c r="B33" s="45">
        <v>0.22176409999999999</v>
      </c>
      <c r="C33" s="96">
        <v>0.95</v>
      </c>
      <c r="D33" s="56">
        <v>99.99</v>
      </c>
      <c r="E33" s="56" t="s">
        <v>230</v>
      </c>
      <c r="F33" s="96">
        <v>1</v>
      </c>
      <c r="G33" s="96">
        <v>1</v>
      </c>
    </row>
    <row r="34" spans="1:7" ht="15.75" customHeight="1" x14ac:dyDescent="0.25">
      <c r="A34" s="5" t="s">
        <v>224</v>
      </c>
      <c r="B34" s="45">
        <v>0.46673049999999999</v>
      </c>
      <c r="C34" s="96">
        <v>0.95</v>
      </c>
      <c r="D34" s="56">
        <v>99.99</v>
      </c>
      <c r="E34" s="56" t="s">
        <v>230</v>
      </c>
      <c r="F34" s="96">
        <v>1</v>
      </c>
      <c r="G34" s="96">
        <v>1</v>
      </c>
    </row>
    <row r="35" spans="1:7" ht="15.75" customHeight="1" x14ac:dyDescent="0.25">
      <c r="A35" s="5" t="s">
        <v>225</v>
      </c>
      <c r="B35" s="96">
        <v>0</v>
      </c>
      <c r="C35" s="96">
        <v>0.95</v>
      </c>
      <c r="D35" s="56">
        <v>99.99</v>
      </c>
      <c r="E35" s="56" t="s">
        <v>230</v>
      </c>
      <c r="F35" s="96">
        <v>1</v>
      </c>
      <c r="G35" s="96">
        <v>1</v>
      </c>
    </row>
    <row r="36" spans="1:7" ht="15.75" customHeight="1" x14ac:dyDescent="0.25">
      <c r="A36" s="5" t="s">
        <v>226</v>
      </c>
      <c r="B36" s="45">
        <v>3.8961999999999998E-3</v>
      </c>
      <c r="C36" s="96">
        <v>0.95</v>
      </c>
      <c r="D36" s="56">
        <v>99.99</v>
      </c>
      <c r="E36" s="56" t="s">
        <v>230</v>
      </c>
      <c r="F36" s="96">
        <v>1</v>
      </c>
      <c r="G36" s="96">
        <v>1</v>
      </c>
    </row>
    <row r="37" spans="1:7" ht="15.75" customHeight="1" x14ac:dyDescent="0.25">
      <c r="A37" s="5" t="s">
        <v>227</v>
      </c>
      <c r="B37" s="45">
        <v>0.13799710000000001</v>
      </c>
      <c r="C37" s="96">
        <v>0.95</v>
      </c>
      <c r="D37" s="56">
        <v>99.99</v>
      </c>
      <c r="E37" s="56" t="s">
        <v>230</v>
      </c>
      <c r="F37" s="96">
        <v>1</v>
      </c>
      <c r="G37" s="96">
        <v>1</v>
      </c>
    </row>
    <row r="38" spans="1:7" ht="15.75" customHeight="1" x14ac:dyDescent="0.25">
      <c r="A38" s="5" t="s">
        <v>228</v>
      </c>
      <c r="B38" s="45">
        <v>0.12971460000000001</v>
      </c>
      <c r="C38" s="96">
        <v>0.95</v>
      </c>
      <c r="D38" s="56">
        <v>4.0706758054007581</v>
      </c>
      <c r="E38" s="56" t="s">
        <v>230</v>
      </c>
      <c r="F38" s="96">
        <v>1</v>
      </c>
      <c r="G38" s="96">
        <v>1</v>
      </c>
    </row>
    <row r="39" spans="1:7" ht="15.75" customHeight="1" x14ac:dyDescent="0.25">
      <c r="A39" s="5" t="s">
        <v>229</v>
      </c>
      <c r="B39" s="45">
        <v>0</v>
      </c>
      <c r="C39" s="96">
        <v>0.95</v>
      </c>
      <c r="D39" s="56">
        <v>3.4125000000000001</v>
      </c>
      <c r="E39" s="56" t="s">
        <v>230</v>
      </c>
      <c r="F39" s="96">
        <v>1</v>
      </c>
      <c r="G39" s="96">
        <v>1</v>
      </c>
    </row>
  </sheetData>
  <sheetProtection algorithmName="SHA-512" hashValue="jt6kGErCrRimiYruq3xf3fmPQ0HJb4pHihBra8NvGLsKy6kHHf24eFAoSCbUTLFTE8+R8kdOO3zGBSsjA+O8Tw==" saltValue="hqSVhwaSjY26sYubMc39p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IYmaGN/OCFv0hAIsaG8j11zOuZJeyvmZCehS3X2VPr1ghiNjy4g6dtyESGORjuqm1E1C/6gYoLR4+DfXyHRX6g==" saltValue="4/PZaxG2DxEe9GHfc/jpR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TJtYdQ3ifK68hdiC3QQaRcgL69AEHZiSetwK7Li6pry8pINxlvOiOUor//VQQW59EWS8rM/bof5qaFRzsxmqJQ==" saltValue="a9sqoM+xvS6bMMgbKa5bU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3.3</v>
      </c>
      <c r="C2" s="21">
        <f>'Données pop de l''année de ref'!C52</f>
        <v>3.3</v>
      </c>
      <c r="D2" s="21">
        <f>'Données pop de l''année de ref'!C53</f>
        <v>3.3</v>
      </c>
      <c r="E2" s="21">
        <f>'Données pop de l''année de ref'!C54</f>
        <v>3.3</v>
      </c>
      <c r="F2" s="21">
        <f>'Données pop de l''année de ref'!C55</f>
        <v>3.3</v>
      </c>
    </row>
    <row r="3" spans="1:6" ht="15.75" customHeight="1" x14ac:dyDescent="0.25">
      <c r="A3" s="3" t="s">
        <v>238</v>
      </c>
      <c r="B3" s="21">
        <f>frac_mam_1month * 2.6</f>
        <v>0.10848266000000001</v>
      </c>
      <c r="C3" s="21">
        <f>frac_mam_1_5months * 2.6</f>
        <v>0.10848266000000001</v>
      </c>
      <c r="D3" s="21">
        <f>frac_mam_6_11months * 2.6</f>
        <v>0.18525468</v>
      </c>
      <c r="E3" s="21">
        <f>frac_mam_12_23months * 2.6</f>
        <v>0.13992888000000001</v>
      </c>
      <c r="F3" s="21">
        <f>frac_mam_24_59months * 2.6</f>
        <v>7.3819460000000003E-2</v>
      </c>
    </row>
    <row r="4" spans="1:6" ht="15.75" customHeight="1" x14ac:dyDescent="0.25">
      <c r="A4" s="3" t="s">
        <v>237</v>
      </c>
      <c r="B4" s="21">
        <f>frac_sam_1month * 2.6</f>
        <v>8.2176900000000011E-2</v>
      </c>
      <c r="C4" s="21">
        <f>frac_sam_1_5months * 2.6</f>
        <v>8.2176900000000011E-2</v>
      </c>
      <c r="D4" s="21">
        <f>frac_sam_6_11months * 2.6</f>
        <v>4.8562280000000006E-2</v>
      </c>
      <c r="E4" s="21">
        <f>frac_sam_12_23months * 2.6</f>
        <v>5.4622880000000006E-2</v>
      </c>
      <c r="F4" s="21">
        <f>frac_sam_24_59months * 2.6</f>
        <v>2.615106E-2</v>
      </c>
    </row>
  </sheetData>
  <sheetProtection algorithmName="SHA-512" hashValue="HZGE4sfmideRi2pcdNnClwM7jCFc2QirMMqc7OOxBb1cCcolNR0rp+gYvzW1ZLdTOAHDKrWSMpT/afdjqkl77g==" saltValue="oI2dtKKeYJT6GZJc+lhOi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0.81299999999999994</v>
      </c>
      <c r="F2" s="60">
        <f>food_insecure</f>
        <v>0.81299999999999994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0.81299999999999994</v>
      </c>
      <c r="F5" s="60">
        <f>food_insecure</f>
        <v>0.81299999999999994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0.81299999999999994</v>
      </c>
      <c r="F8" s="60">
        <f>food_insecure</f>
        <v>0.81299999999999994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0.81299999999999994</v>
      </c>
      <c r="F9" s="60">
        <f>food_insecure</f>
        <v>0.81299999999999994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0.81299999999999994</v>
      </c>
      <c r="I15" s="60">
        <f t="shared" si="0"/>
        <v>0.81299999999999994</v>
      </c>
      <c r="J15" s="60">
        <f t="shared" si="0"/>
        <v>0.81299999999999994</v>
      </c>
      <c r="K15" s="60">
        <f t="shared" si="0"/>
        <v>0.81299999999999994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0.81299999999999994</v>
      </c>
      <c r="I16" s="60">
        <f t="shared" si="0"/>
        <v>0.81299999999999994</v>
      </c>
      <c r="J16" s="60">
        <f t="shared" si="0"/>
        <v>0.81299999999999994</v>
      </c>
      <c r="K16" s="60">
        <f t="shared" si="0"/>
        <v>0.81299999999999994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0.99900000000000011</v>
      </c>
      <c r="I19" s="60">
        <f>frac_malaria_risk</f>
        <v>0.99900000000000011</v>
      </c>
      <c r="J19" s="60">
        <f>frac_malaria_risk</f>
        <v>0.99900000000000011</v>
      </c>
      <c r="K19" s="60">
        <f>frac_malaria_risk</f>
        <v>0.99900000000000011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0.71299999999999997</v>
      </c>
      <c r="M24" s="60">
        <f>famplan_unmet_need</f>
        <v>0.71299999999999997</v>
      </c>
      <c r="N24" s="60">
        <f>famplan_unmet_need</f>
        <v>0.71299999999999997</v>
      </c>
      <c r="O24" s="60">
        <f>famplan_unmet_need</f>
        <v>0.71299999999999997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0.5965825654389999</v>
      </c>
      <c r="M25" s="60">
        <f>(1-food_insecure)*(0.49)+food_insecure*(0.7)</f>
        <v>0.66072999999999993</v>
      </c>
      <c r="N25" s="60">
        <f>(1-food_insecure)*(0.49)+food_insecure*(0.7)</f>
        <v>0.66072999999999993</v>
      </c>
      <c r="O25" s="60">
        <f>(1-food_insecure)*(0.49)+food_insecure*(0.7)</f>
        <v>0.66072999999999993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0.25567824233100001</v>
      </c>
      <c r="M26" s="60">
        <f>(1-food_insecure)*(0.21)+food_insecure*(0.3)</f>
        <v>0.28316999999999998</v>
      </c>
      <c r="N26" s="60">
        <f>(1-food_insecure)*(0.21)+food_insecure*(0.3)</f>
        <v>0.28316999999999998</v>
      </c>
      <c r="O26" s="60">
        <f>(1-food_insecure)*(0.21)+food_insecure*(0.3)</f>
        <v>0.28316999999999998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5.0653492230000013E-2</v>
      </c>
      <c r="M27" s="60">
        <f>(1-food_insecure)*(0.3)</f>
        <v>5.6100000000000018E-2</v>
      </c>
      <c r="N27" s="60">
        <f>(1-food_insecure)*(0.3)</f>
        <v>5.6100000000000018E-2</v>
      </c>
      <c r="O27" s="60">
        <f>(1-food_insecure)*(0.3)</f>
        <v>5.6100000000000018E-2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9.7085699999999997E-2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0.99900000000000011</v>
      </c>
      <c r="D34" s="60">
        <f t="shared" si="4"/>
        <v>0.99900000000000011</v>
      </c>
      <c r="E34" s="60">
        <f t="shared" si="4"/>
        <v>0.99900000000000011</v>
      </c>
      <c r="F34" s="60">
        <f t="shared" si="4"/>
        <v>0.99900000000000011</v>
      </c>
      <c r="G34" s="60">
        <f t="shared" si="4"/>
        <v>0.99900000000000011</v>
      </c>
      <c r="H34" s="60">
        <f t="shared" si="4"/>
        <v>0.99900000000000011</v>
      </c>
      <c r="I34" s="60">
        <f t="shared" si="4"/>
        <v>0.99900000000000011</v>
      </c>
      <c r="J34" s="60">
        <f t="shared" si="4"/>
        <v>0.99900000000000011</v>
      </c>
      <c r="K34" s="60">
        <f t="shared" si="4"/>
        <v>0.99900000000000011</v>
      </c>
      <c r="L34" s="60">
        <f t="shared" si="4"/>
        <v>0.99900000000000011</v>
      </c>
      <c r="M34" s="60">
        <f t="shared" si="4"/>
        <v>0.99900000000000011</v>
      </c>
      <c r="N34" s="60">
        <f t="shared" si="4"/>
        <v>0.99900000000000011</v>
      </c>
      <c r="O34" s="60">
        <f t="shared" si="4"/>
        <v>0.99900000000000011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l+0ftgLz5u247eUQn/cg+fzkbQOh5gPZ5rm3BWNvF69SaNYOIWxWSQC8Vafw9mlorcVQietagOu9MFnR+hDIjg==" saltValue="Lxmva5sC9J3UxsHLtn0nx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sbj0jAsAN8nRngXbcR/tXH01j9gWYi2UtDdydMOqG3Hlf62Jd2qrwRRnYLXB/Me5lxOECk1VJD/zKfEu1w7iPw==" saltValue="/181fqPf6ygjsEO31WH4j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gzeVijTWtYPDuiaAAdjIHz/Loi/CozPVihAUGkNP5sAsAylTLTXbV5YJL4FtFzFyPSp3CqrUoiEbu62zTqQqpA==" saltValue="mCQ3EjrHBnTV3YekObdce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f543o1YDoFnUkJHdu1izcfoH8WN9x02fErX7VCFGMvQHqQ3gJbOttuBE2ZC47antJMkQbD8ogqAa9lEOx5XCog==" saltValue="C1WTNJYux0OeX/izN9iiD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189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13" t="s">
        <v>197</v>
      </c>
      <c r="B2" s="114"/>
      <c r="C2" s="114"/>
      <c r="D2" s="114"/>
      <c r="E2" s="114"/>
      <c r="F2" s="114"/>
      <c r="G2" s="114"/>
      <c r="H2" s="114"/>
      <c r="I2" s="114" t="s">
        <v>4</v>
      </c>
      <c r="J2" s="114"/>
      <c r="K2" s="114"/>
      <c r="L2" s="114"/>
    </row>
    <row r="3" spans="1:12" x14ac:dyDescent="0.25">
      <c r="A3" s="113" t="s">
        <v>198</v>
      </c>
      <c r="B3" s="114"/>
      <c r="C3" s="114"/>
      <c r="D3" s="114"/>
      <c r="E3" s="114"/>
      <c r="F3" s="114"/>
      <c r="G3" s="114"/>
      <c r="H3" s="114" t="s">
        <v>4</v>
      </c>
      <c r="I3" s="114" t="s">
        <v>4</v>
      </c>
      <c r="J3" s="114"/>
      <c r="K3" s="114"/>
      <c r="L3" s="114"/>
    </row>
    <row r="4" spans="1:12" x14ac:dyDescent="0.25">
      <c r="A4" s="113" t="s">
        <v>199</v>
      </c>
      <c r="B4" s="114" t="s">
        <v>4</v>
      </c>
      <c r="C4" s="114"/>
      <c r="D4" s="114" t="s">
        <v>4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200</v>
      </c>
      <c r="B5" s="114"/>
      <c r="C5" s="114" t="s">
        <v>4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201</v>
      </c>
      <c r="B6" s="114"/>
      <c r="C6" s="114"/>
      <c r="D6" s="114"/>
      <c r="E6" s="114"/>
      <c r="F6" s="114"/>
      <c r="G6" s="114"/>
      <c r="H6" s="114"/>
      <c r="I6" s="114"/>
      <c r="J6" s="114" t="s">
        <v>4</v>
      </c>
      <c r="K6" s="114" t="s">
        <v>4</v>
      </c>
      <c r="L6" s="114"/>
    </row>
    <row r="7" spans="1:12" x14ac:dyDescent="0.25">
      <c r="A7" s="113" t="s">
        <v>202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/>
      <c r="J7" s="114"/>
      <c r="K7" s="114"/>
      <c r="L7" s="114"/>
    </row>
    <row r="8" spans="1:12" x14ac:dyDescent="0.25">
      <c r="A8" s="113" t="s">
        <v>203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/>
      <c r="J8" s="114"/>
      <c r="K8" s="114"/>
      <c r="L8" s="114"/>
    </row>
    <row r="9" spans="1:12" x14ac:dyDescent="0.25">
      <c r="A9" s="113" t="s">
        <v>204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/>
      <c r="J9" s="114"/>
      <c r="K9" s="114"/>
      <c r="L9" s="114"/>
    </row>
    <row r="10" spans="1:12" x14ac:dyDescent="0.25">
      <c r="A10" s="113" t="s">
        <v>205</v>
      </c>
      <c r="B10" s="114"/>
      <c r="C10" s="114" t="s">
        <v>4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206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207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208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209</v>
      </c>
      <c r="B14" s="114"/>
      <c r="C14" s="114" t="s">
        <v>4</v>
      </c>
      <c r="D14" s="114"/>
      <c r="E14" s="114"/>
      <c r="F14" s="114"/>
      <c r="G14" s="114"/>
      <c r="H14" s="114"/>
      <c r="I14" s="114" t="s">
        <v>4</v>
      </c>
      <c r="J14" s="114"/>
      <c r="K14" s="114"/>
      <c r="L14" s="114"/>
    </row>
    <row r="15" spans="1:12" x14ac:dyDescent="0.25">
      <c r="A15" s="115" t="s">
        <v>210</v>
      </c>
      <c r="B15" s="114"/>
      <c r="C15" s="114" t="s">
        <v>4</v>
      </c>
      <c r="D15" s="114"/>
      <c r="E15" s="114"/>
      <c r="F15" s="114"/>
      <c r="G15" s="114"/>
      <c r="H15" s="114"/>
      <c r="I15" s="114" t="s">
        <v>4</v>
      </c>
      <c r="J15" s="114"/>
      <c r="K15" s="114"/>
      <c r="L15" s="114"/>
    </row>
    <row r="16" spans="1:12" x14ac:dyDescent="0.25">
      <c r="A16" s="113" t="s">
        <v>211</v>
      </c>
      <c r="B16" s="114"/>
      <c r="C16" s="114" t="s">
        <v>4</v>
      </c>
      <c r="D16" s="114"/>
      <c r="E16" s="114"/>
      <c r="F16" s="114"/>
      <c r="G16" s="114"/>
      <c r="H16" s="114" t="s">
        <v>4</v>
      </c>
      <c r="I16" s="114" t="s">
        <v>4</v>
      </c>
      <c r="J16" s="114"/>
      <c r="K16" s="114"/>
      <c r="L16" s="114"/>
    </row>
    <row r="17" spans="1:12" x14ac:dyDescent="0.25">
      <c r="A17" s="113" t="s">
        <v>212</v>
      </c>
      <c r="B17" s="114"/>
      <c r="C17" s="114" t="s">
        <v>4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186</v>
      </c>
      <c r="B18" s="114" t="s">
        <v>4</v>
      </c>
      <c r="C18" s="114"/>
      <c r="D18" s="114"/>
      <c r="E18" s="114"/>
      <c r="F18" s="114" t="s">
        <v>4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187</v>
      </c>
      <c r="B19" s="114" t="s">
        <v>4</v>
      </c>
      <c r="C19" s="114"/>
      <c r="D19" s="114"/>
      <c r="E19" s="114"/>
      <c r="F19" s="114" t="s">
        <v>4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188</v>
      </c>
      <c r="B20" s="114" t="s">
        <v>4</v>
      </c>
      <c r="C20" s="114"/>
      <c r="D20" s="114"/>
      <c r="E20" s="114"/>
      <c r="F20" s="114" t="s">
        <v>4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213</v>
      </c>
      <c r="B21" s="114"/>
      <c r="C21" s="114"/>
      <c r="D21" s="114"/>
      <c r="E21" s="114"/>
      <c r="F21" s="114"/>
      <c r="G21" s="114"/>
      <c r="H21" s="114" t="s">
        <v>4</v>
      </c>
      <c r="I21" s="114" t="s">
        <v>4</v>
      </c>
      <c r="J21" s="114"/>
      <c r="K21" s="114"/>
      <c r="L21" s="114"/>
    </row>
    <row r="22" spans="1:12" x14ac:dyDescent="0.25">
      <c r="A22" s="113" t="s">
        <v>214</v>
      </c>
      <c r="B22" s="114" t="s">
        <v>4</v>
      </c>
      <c r="C22" s="114" t="s">
        <v>4</v>
      </c>
      <c r="D22" s="114" t="s">
        <v>4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215</v>
      </c>
      <c r="B23" s="114"/>
      <c r="C23" s="114" t="s">
        <v>4</v>
      </c>
      <c r="D23" s="114"/>
      <c r="E23" s="114"/>
      <c r="F23" s="114"/>
      <c r="G23" s="114"/>
      <c r="H23" s="114"/>
      <c r="I23" s="114" t="s">
        <v>4</v>
      </c>
      <c r="J23" s="114"/>
      <c r="K23" s="114"/>
      <c r="L23" s="114"/>
    </row>
    <row r="24" spans="1:12" x14ac:dyDescent="0.25">
      <c r="A24" s="113" t="s">
        <v>216</v>
      </c>
      <c r="B24" s="114"/>
      <c r="C24" s="114"/>
      <c r="D24" s="114"/>
      <c r="E24" s="114"/>
      <c r="F24" s="114"/>
      <c r="G24" s="114"/>
      <c r="H24" s="114" t="s">
        <v>4</v>
      </c>
      <c r="I24" s="114"/>
      <c r="J24" s="114"/>
      <c r="K24" s="114"/>
      <c r="L24" s="114"/>
    </row>
    <row r="25" spans="1:12" x14ac:dyDescent="0.25">
      <c r="A25" s="113" t="s">
        <v>217</v>
      </c>
      <c r="B25" s="114"/>
      <c r="C25" s="114"/>
      <c r="D25" s="114"/>
      <c r="E25" s="114"/>
      <c r="F25" s="114"/>
      <c r="G25" s="114"/>
      <c r="H25" s="114" t="s">
        <v>4</v>
      </c>
      <c r="I25" s="114"/>
      <c r="J25" s="114"/>
      <c r="K25" s="114"/>
      <c r="L25" s="114"/>
    </row>
    <row r="26" spans="1:12" x14ac:dyDescent="0.25">
      <c r="A26" s="113" t="s">
        <v>218</v>
      </c>
      <c r="B26" s="114"/>
      <c r="C26" s="114" t="s">
        <v>4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219</v>
      </c>
      <c r="B27" s="114"/>
      <c r="C27" s="114" t="s">
        <v>4</v>
      </c>
      <c r="D27" s="114"/>
      <c r="E27" s="114"/>
      <c r="F27" s="114"/>
      <c r="G27" s="114"/>
      <c r="H27" s="114"/>
      <c r="I27" s="114" t="s">
        <v>4</v>
      </c>
      <c r="J27" s="114"/>
      <c r="K27" s="114"/>
      <c r="L27" s="114" t="s">
        <v>4</v>
      </c>
    </row>
    <row r="28" spans="1:12" x14ac:dyDescent="0.25">
      <c r="A28" s="113" t="s">
        <v>220</v>
      </c>
      <c r="B28" s="114"/>
      <c r="C28" s="114"/>
      <c r="D28" s="114"/>
      <c r="E28" s="114"/>
      <c r="F28" s="114"/>
      <c r="G28" s="114"/>
      <c r="H28" s="114" t="s">
        <v>4</v>
      </c>
      <c r="I28" s="114"/>
      <c r="J28" s="114"/>
      <c r="K28" s="114"/>
      <c r="L28" s="114"/>
    </row>
    <row r="29" spans="1:12" x14ac:dyDescent="0.25">
      <c r="A29" s="113" t="s">
        <v>221</v>
      </c>
      <c r="B29" s="114" t="s">
        <v>4</v>
      </c>
      <c r="C29" s="114"/>
      <c r="D29" s="114" t="s">
        <v>4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234</v>
      </c>
      <c r="B30" s="114" t="s">
        <v>4</v>
      </c>
      <c r="C30" s="114" t="s">
        <v>4</v>
      </c>
      <c r="D30" s="114" t="s">
        <v>4</v>
      </c>
      <c r="E30" s="114"/>
      <c r="F30" s="114"/>
      <c r="G30" s="114"/>
      <c r="H30" s="114" t="s">
        <v>4</v>
      </c>
      <c r="I30" s="114"/>
      <c r="J30" s="114"/>
      <c r="K30" s="114"/>
      <c r="L30" s="114"/>
    </row>
    <row r="31" spans="1:12" x14ac:dyDescent="0.25">
      <c r="A31" s="113" t="s">
        <v>190</v>
      </c>
      <c r="B31" s="114"/>
      <c r="C31" s="114"/>
      <c r="D31" s="114"/>
      <c r="E31" s="114" t="s">
        <v>4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222</v>
      </c>
      <c r="B32" s="114"/>
      <c r="C32" s="114"/>
      <c r="D32" s="114"/>
      <c r="E32" s="114"/>
      <c r="F32" s="114"/>
      <c r="G32" s="114" t="s">
        <v>4</v>
      </c>
      <c r="H32" s="114" t="s">
        <v>4</v>
      </c>
      <c r="I32" s="114"/>
      <c r="J32" s="114"/>
      <c r="K32" s="114"/>
      <c r="L32" s="114"/>
    </row>
    <row r="33" spans="1:12" x14ac:dyDescent="0.25">
      <c r="A33" s="113" t="s">
        <v>223</v>
      </c>
      <c r="B33" s="114"/>
      <c r="C33" s="114"/>
      <c r="D33" s="114"/>
      <c r="E33" s="114"/>
      <c r="F33" s="114"/>
      <c r="G33" s="114" t="s">
        <v>4</v>
      </c>
      <c r="H33" s="114" t="s">
        <v>4</v>
      </c>
      <c r="I33" s="114"/>
      <c r="J33" s="114"/>
      <c r="K33" s="114"/>
      <c r="L33" s="114"/>
    </row>
    <row r="34" spans="1:12" x14ac:dyDescent="0.25">
      <c r="A34" s="113" t="s">
        <v>224</v>
      </c>
      <c r="B34" s="114"/>
      <c r="C34" s="114"/>
      <c r="D34" s="114"/>
      <c r="E34" s="114"/>
      <c r="F34" s="114"/>
      <c r="G34" s="114" t="s">
        <v>4</v>
      </c>
      <c r="H34" s="114" t="s">
        <v>4</v>
      </c>
      <c r="I34" s="114"/>
      <c r="J34" s="114"/>
      <c r="K34" s="114"/>
      <c r="L34" s="114"/>
    </row>
    <row r="35" spans="1:12" x14ac:dyDescent="0.25">
      <c r="A35" s="113" t="s">
        <v>225</v>
      </c>
      <c r="B35" s="114"/>
      <c r="C35" s="114"/>
      <c r="D35" s="114"/>
      <c r="E35" s="114"/>
      <c r="F35" s="114"/>
      <c r="G35" s="114" t="s">
        <v>4</v>
      </c>
      <c r="H35" s="114" t="s">
        <v>4</v>
      </c>
      <c r="I35" s="114"/>
      <c r="J35" s="114"/>
      <c r="K35" s="114"/>
      <c r="L35" s="114"/>
    </row>
    <row r="36" spans="1:12" x14ac:dyDescent="0.25">
      <c r="A36" s="113" t="s">
        <v>226</v>
      </c>
      <c r="B36" s="114"/>
      <c r="C36" s="114"/>
      <c r="D36" s="114"/>
      <c r="E36" s="114"/>
      <c r="F36" s="114"/>
      <c r="G36" s="114" t="s">
        <v>4</v>
      </c>
      <c r="H36" s="114" t="s">
        <v>4</v>
      </c>
      <c r="I36" s="114"/>
      <c r="J36" s="114"/>
      <c r="K36" s="114"/>
      <c r="L36" s="114"/>
    </row>
    <row r="37" spans="1:12" x14ac:dyDescent="0.25">
      <c r="A37" s="113" t="s">
        <v>227</v>
      </c>
      <c r="B37" s="114"/>
      <c r="C37" s="114"/>
      <c r="D37" s="114"/>
      <c r="E37" s="114"/>
      <c r="F37" s="114"/>
      <c r="G37" s="114" t="s">
        <v>4</v>
      </c>
      <c r="H37" s="114" t="s">
        <v>4</v>
      </c>
      <c r="I37" s="114"/>
      <c r="J37" s="114"/>
      <c r="K37" s="114"/>
      <c r="L37" s="114"/>
    </row>
    <row r="38" spans="1:12" x14ac:dyDescent="0.25">
      <c r="A38" s="113" t="s">
        <v>228</v>
      </c>
      <c r="B38" s="114"/>
      <c r="C38" s="114"/>
      <c r="D38" s="114"/>
      <c r="E38" s="114"/>
      <c r="F38" s="114"/>
      <c r="G38" s="114"/>
      <c r="H38" s="114" t="s">
        <v>4</v>
      </c>
      <c r="I38" s="114"/>
      <c r="J38" s="114"/>
      <c r="K38" s="114"/>
      <c r="L38" s="114"/>
    </row>
    <row r="39" spans="1:12" x14ac:dyDescent="0.25">
      <c r="A39" s="113" t="s">
        <v>229</v>
      </c>
      <c r="B39" s="114" t="s">
        <v>4</v>
      </c>
      <c r="C39" s="114"/>
      <c r="D39" s="114"/>
      <c r="E39" s="114"/>
      <c r="F39" s="114"/>
      <c r="G39" s="114" t="s">
        <v>4</v>
      </c>
      <c r="H39" s="114" t="s">
        <v>4</v>
      </c>
      <c r="I39" s="114"/>
      <c r="J39" s="114"/>
      <c r="K39" s="114"/>
      <c r="L39" s="114"/>
    </row>
  </sheetData>
  <sheetProtection algorithmName="SHA-512" hashValue="/COChnI6M+oQPk8toQIxia1x/8oKGRqUW27d4spunomZOlEqqtbKQrknoHf2QbP3HOUaUgEHzmU4BuI4YGdQ6g==" saltValue="f5TD+5ZadwzkbNFi/5vB4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261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06" t="s">
        <v>127</v>
      </c>
      <c r="B2" s="114" t="s">
        <v>4</v>
      </c>
      <c r="C2" s="114" t="s">
        <v>4</v>
      </c>
      <c r="D2" s="114" t="s">
        <v>4</v>
      </c>
      <c r="E2" s="114" t="s">
        <v>4</v>
      </c>
      <c r="F2" s="114" t="s">
        <v>4</v>
      </c>
      <c r="G2" s="114" t="s">
        <v>4</v>
      </c>
      <c r="H2" s="114" t="s">
        <v>4</v>
      </c>
      <c r="I2" s="114"/>
      <c r="J2" s="114"/>
      <c r="K2" s="114"/>
      <c r="L2" s="114"/>
    </row>
    <row r="3" spans="1:12" x14ac:dyDescent="0.25">
      <c r="A3" s="106" t="s">
        <v>114</v>
      </c>
      <c r="B3" s="114" t="s">
        <v>4</v>
      </c>
      <c r="C3" s="114" t="s">
        <v>4</v>
      </c>
      <c r="D3" s="114" t="s">
        <v>4</v>
      </c>
      <c r="E3" s="114" t="s">
        <v>4</v>
      </c>
      <c r="F3" s="114" t="s">
        <v>4</v>
      </c>
      <c r="G3" s="114" t="s">
        <v>4</v>
      </c>
      <c r="H3" s="114" t="s">
        <v>4</v>
      </c>
      <c r="I3" s="114"/>
      <c r="J3" s="114"/>
      <c r="K3" s="114"/>
      <c r="L3" s="114"/>
    </row>
    <row r="4" spans="1:12" x14ac:dyDescent="0.25">
      <c r="A4" s="106" t="s">
        <v>115</v>
      </c>
      <c r="B4" s="114" t="s">
        <v>4</v>
      </c>
      <c r="C4" s="114" t="s">
        <v>4</v>
      </c>
      <c r="D4" s="114" t="s">
        <v>4</v>
      </c>
      <c r="E4" s="114" t="s">
        <v>4</v>
      </c>
      <c r="F4" s="114" t="s">
        <v>4</v>
      </c>
      <c r="G4" s="114" t="s">
        <v>4</v>
      </c>
      <c r="H4" s="114" t="s">
        <v>4</v>
      </c>
      <c r="I4" s="114"/>
      <c r="J4" s="114"/>
      <c r="K4" s="114"/>
      <c r="L4" s="114"/>
    </row>
    <row r="5" spans="1:12" x14ac:dyDescent="0.25">
      <c r="A5" s="106" t="s">
        <v>116</v>
      </c>
      <c r="B5" s="114" t="s">
        <v>4</v>
      </c>
      <c r="C5" s="114" t="s">
        <v>4</v>
      </c>
      <c r="D5" s="114" t="s">
        <v>4</v>
      </c>
      <c r="E5" s="114" t="s">
        <v>4</v>
      </c>
      <c r="F5" s="114" t="s">
        <v>4</v>
      </c>
      <c r="G5" s="114" t="s">
        <v>4</v>
      </c>
      <c r="H5" s="114" t="s">
        <v>4</v>
      </c>
      <c r="I5" s="114"/>
      <c r="J5" s="114"/>
      <c r="K5" s="114"/>
      <c r="L5" s="114"/>
    </row>
    <row r="6" spans="1:12" x14ac:dyDescent="0.25">
      <c r="A6" s="106" t="s">
        <v>117</v>
      </c>
      <c r="B6" s="114" t="s">
        <v>4</v>
      </c>
      <c r="C6" s="114" t="s">
        <v>4</v>
      </c>
      <c r="D6" s="114" t="s">
        <v>4</v>
      </c>
      <c r="E6" s="114" t="s">
        <v>4</v>
      </c>
      <c r="F6" s="114" t="s">
        <v>4</v>
      </c>
      <c r="G6" s="114" t="s">
        <v>4</v>
      </c>
      <c r="H6" s="114" t="s">
        <v>4</v>
      </c>
      <c r="I6" s="114"/>
      <c r="J6" s="114"/>
      <c r="K6" s="114"/>
      <c r="L6" s="114"/>
    </row>
    <row r="7" spans="1:12" x14ac:dyDescent="0.25">
      <c r="A7" s="106" t="s">
        <v>140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 t="s">
        <v>4</v>
      </c>
      <c r="J7" s="114"/>
      <c r="K7" s="114"/>
      <c r="L7" s="114" t="s">
        <v>4</v>
      </c>
    </row>
    <row r="8" spans="1:12" x14ac:dyDescent="0.25">
      <c r="A8" s="106" t="s">
        <v>141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 t="s">
        <v>4</v>
      </c>
      <c r="J8" s="114"/>
      <c r="K8" s="114"/>
      <c r="L8" s="114" t="s">
        <v>4</v>
      </c>
    </row>
    <row r="9" spans="1:12" x14ac:dyDescent="0.25">
      <c r="A9" s="106" t="s">
        <v>142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 t="s">
        <v>4</v>
      </c>
      <c r="J9" s="114"/>
      <c r="K9" s="114"/>
      <c r="L9" s="114" t="s">
        <v>4</v>
      </c>
    </row>
    <row r="10" spans="1:12" x14ac:dyDescent="0.25">
      <c r="A10" s="106" t="s">
        <v>143</v>
      </c>
      <c r="B10" s="114"/>
      <c r="C10" s="114" t="s">
        <v>4</v>
      </c>
      <c r="D10" s="114"/>
      <c r="E10" s="114"/>
      <c r="F10" s="114"/>
      <c r="G10" s="114"/>
      <c r="H10" s="114" t="s">
        <v>4</v>
      </c>
      <c r="I10" s="114" t="s">
        <v>4</v>
      </c>
      <c r="J10" s="114"/>
      <c r="K10" s="114"/>
      <c r="L10" s="114" t="s">
        <v>4</v>
      </c>
    </row>
    <row r="11" spans="1:12" x14ac:dyDescent="0.25">
      <c r="A11" s="106" t="s">
        <v>87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 t="s">
        <v>4</v>
      </c>
      <c r="K11" s="114" t="s">
        <v>4</v>
      </c>
      <c r="L11" s="114"/>
    </row>
    <row r="12" spans="1:12" x14ac:dyDescent="0.25">
      <c r="A12" s="106" t="s">
        <v>88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 t="s">
        <v>4</v>
      </c>
      <c r="L12" s="114"/>
    </row>
    <row r="13" spans="1:12" x14ac:dyDescent="0.25">
      <c r="A13" s="106" t="s">
        <v>89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 t="s">
        <v>4</v>
      </c>
      <c r="L13" s="114"/>
    </row>
    <row r="14" spans="1:12" x14ac:dyDescent="0.25">
      <c r="A14" s="106" t="s">
        <v>90</v>
      </c>
      <c r="B14" s="114"/>
      <c r="C14" s="114" t="s">
        <v>4</v>
      </c>
      <c r="D14" s="114"/>
      <c r="E14" s="114"/>
      <c r="F14" s="114"/>
      <c r="G14" s="114"/>
      <c r="H14" s="114"/>
      <c r="I14" s="114"/>
      <c r="J14" s="114"/>
      <c r="K14" s="114" t="s">
        <v>4</v>
      </c>
      <c r="L14" s="114"/>
    </row>
  </sheetData>
  <sheetProtection algorithmName="SHA-512" hashValue="2W7RPAXclbxNcTSuU8wRbD3C9Y0JL0Onadhi1mKEKsnJ4ph2UlvTgP6hjNz9ebMn4QD2y9ebWpdJ4tJxZPUvUg==" saltValue="/6D76lW751xlra54lCx6Z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6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6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6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6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6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6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6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6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6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9ldNQxBcPkxxeJNCEZgMN9HVe71cIFasX2H9KBmluLa0YXH0rk1OJ7GKTWctS2v34RSPdlI7ba+BxIsTOTX4YQ==" saltValue="lNy6ZH5jPhqMwe6G5g+C/A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264</v>
      </c>
    </row>
    <row r="2" spans="1:7" ht="14.25" customHeight="1" x14ac:dyDescent="0.3">
      <c r="A2" s="120" t="s">
        <v>6</v>
      </c>
      <c r="B2" s="105"/>
      <c r="C2" s="103" t="s">
        <v>127</v>
      </c>
      <c r="D2" s="103" t="s">
        <v>114</v>
      </c>
      <c r="E2" s="103" t="s">
        <v>115</v>
      </c>
      <c r="F2" s="103" t="s">
        <v>116</v>
      </c>
      <c r="G2" s="103" t="s">
        <v>117</v>
      </c>
    </row>
    <row r="3" spans="1:7" ht="14.25" customHeight="1" x14ac:dyDescent="0.25">
      <c r="B3" s="115" t="s">
        <v>274</v>
      </c>
      <c r="C3" s="116" t="s">
        <v>10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275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276</v>
      </c>
    </row>
    <row r="6" spans="1:7" ht="14.25" customHeight="1" x14ac:dyDescent="0.25">
      <c r="B6" s="115" t="s">
        <v>221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214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199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234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229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280</v>
      </c>
    </row>
    <row r="13" spans="1:7" ht="14.25" customHeight="1" x14ac:dyDescent="0.3">
      <c r="A13" s="121"/>
      <c r="B13" s="115" t="s">
        <v>213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277</v>
      </c>
    </row>
    <row r="16" spans="1:7" ht="14.25" customHeight="1" x14ac:dyDescent="0.3">
      <c r="A16" s="120" t="s">
        <v>283</v>
      </c>
      <c r="B16" s="115" t="s">
        <v>278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281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139</v>
      </c>
      <c r="B18" s="115" t="s">
        <v>279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282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201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264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6</v>
      </c>
      <c r="B26" s="105"/>
      <c r="C26" s="103" t="s">
        <v>127</v>
      </c>
      <c r="D26" s="103" t="s">
        <v>114</v>
      </c>
      <c r="E26" s="103" t="s">
        <v>115</v>
      </c>
      <c r="F26" s="103" t="s">
        <v>116</v>
      </c>
      <c r="G26" s="103" t="s">
        <v>117</v>
      </c>
    </row>
    <row r="27" spans="1:7" x14ac:dyDescent="0.25">
      <c r="B27" s="115" t="s">
        <v>284</v>
      </c>
      <c r="C27" s="116" t="s">
        <v>10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285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286</v>
      </c>
    </row>
    <row r="30" spans="1:7" x14ac:dyDescent="0.25">
      <c r="B30" s="115" t="s">
        <v>287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288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29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289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290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291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277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283</v>
      </c>
      <c r="B40" s="115" t="s">
        <v>292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293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139</v>
      </c>
      <c r="B42" s="115" t="s">
        <v>294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296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270</v>
      </c>
    </row>
    <row r="49" spans="1:7" ht="13" x14ac:dyDescent="0.3">
      <c r="A49" s="118" t="s">
        <v>264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6</v>
      </c>
      <c r="B50" s="105"/>
      <c r="C50" s="103" t="s">
        <v>127</v>
      </c>
      <c r="D50" s="103" t="s">
        <v>114</v>
      </c>
      <c r="E50" s="103" t="s">
        <v>115</v>
      </c>
      <c r="F50" s="103" t="s">
        <v>116</v>
      </c>
      <c r="G50" s="103" t="s">
        <v>117</v>
      </c>
    </row>
    <row r="51" spans="1:7" x14ac:dyDescent="0.25">
      <c r="B51" s="115" t="s">
        <v>297</v>
      </c>
      <c r="C51" s="116" t="s">
        <v>10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298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299</v>
      </c>
    </row>
    <row r="54" spans="1:7" x14ac:dyDescent="0.25">
      <c r="B54" s="115" t="s">
        <v>300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301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30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311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302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304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277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283</v>
      </c>
      <c r="B64" s="115" t="s">
        <v>305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306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139</v>
      </c>
      <c r="B66" s="115" t="s">
        <v>307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308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309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QtbLqsCj92ljPaJVjkhw1WIbNMv8R5d69xkjUtrPSRWAMpBlrAMylYbAyF7dNX9L8ZEATxfMlxoz84SHyaeXig==" saltValue="M1S+GCkJ6EdIvNf4fb2aD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189</v>
      </c>
      <c r="B1" s="103"/>
      <c r="C1" s="103" t="s">
        <v>69</v>
      </c>
      <c r="D1" s="103" t="s">
        <v>71</v>
      </c>
      <c r="E1" s="103" t="s">
        <v>70</v>
      </c>
      <c r="F1" s="105" t="s">
        <v>72</v>
      </c>
    </row>
    <row r="2" spans="1:6" ht="15.75" customHeight="1" x14ac:dyDescent="0.25">
      <c r="A2" s="115" t="s">
        <v>197</v>
      </c>
      <c r="B2" s="115" t="s">
        <v>312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313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198</v>
      </c>
      <c r="B4" s="115" t="s">
        <v>312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209</v>
      </c>
      <c r="B6" s="115" t="s">
        <v>312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313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210</v>
      </c>
      <c r="B8" s="115" t="s">
        <v>312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313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211</v>
      </c>
      <c r="B10" s="115" t="s">
        <v>312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313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215</v>
      </c>
      <c r="B12" s="115" t="s">
        <v>312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313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219</v>
      </c>
      <c r="B14" s="115" t="s">
        <v>312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313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189</v>
      </c>
      <c r="B18" s="103"/>
      <c r="C18" s="103" t="s">
        <v>69</v>
      </c>
      <c r="D18" s="103" t="s">
        <v>71</v>
      </c>
      <c r="E18" s="103" t="s">
        <v>70</v>
      </c>
      <c r="F18" s="105" t="s">
        <v>72</v>
      </c>
    </row>
    <row r="19" spans="1:6" ht="15.75" customHeight="1" x14ac:dyDescent="0.25">
      <c r="A19" s="115" t="s">
        <v>197</v>
      </c>
      <c r="B19" s="115" t="s">
        <v>312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313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198</v>
      </c>
      <c r="B21" s="115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209</v>
      </c>
      <c r="B23" s="115" t="s">
        <v>312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313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210</v>
      </c>
      <c r="B25" s="115" t="s">
        <v>312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313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211</v>
      </c>
      <c r="B27" s="115" t="s">
        <v>312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313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215</v>
      </c>
      <c r="B29" s="115" t="s">
        <v>312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313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219</v>
      </c>
      <c r="B31" s="115" t="s">
        <v>312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313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270</v>
      </c>
    </row>
    <row r="35" spans="1:6" ht="15.75" customHeight="1" x14ac:dyDescent="0.3">
      <c r="A35" s="105" t="s">
        <v>189</v>
      </c>
      <c r="B35" s="103"/>
      <c r="C35" s="103" t="s">
        <v>69</v>
      </c>
      <c r="D35" s="103" t="s">
        <v>71</v>
      </c>
      <c r="E35" s="103" t="s">
        <v>70</v>
      </c>
      <c r="F35" s="105" t="s">
        <v>72</v>
      </c>
    </row>
    <row r="36" spans="1:6" ht="15.75" customHeight="1" x14ac:dyDescent="0.25">
      <c r="A36" s="115" t="s">
        <v>197</v>
      </c>
      <c r="B36" s="115" t="s">
        <v>312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313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198</v>
      </c>
      <c r="B38" s="115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209</v>
      </c>
      <c r="B40" s="115" t="s">
        <v>312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313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210</v>
      </c>
      <c r="B42" s="115" t="s">
        <v>312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313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211</v>
      </c>
      <c r="B44" s="115" t="s">
        <v>312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313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215</v>
      </c>
      <c r="B46" s="115" t="s">
        <v>312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313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219</v>
      </c>
      <c r="B48" s="115" t="s">
        <v>312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313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bKcSzSyzyzD4+maYctJZaKVP4YCzKZfUeRpOtwzOgdJJRhhrgaKzY/HFm4Ji94uGCoQRJUPG+aVRpNPtpGHNzQ==" saltValue="VI+tcbvjCZnoCCBaM86ix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Py1W1ONMzwiRebUaT+maEPLBxybzcP+LAazlu6mjAPaWEz62k2d1hU4dIPK+WUeZ87trZ0i6j1ja7Zlh9TqwDQ==" saltValue="CkYWUMs4JTLeEhQxAF9M8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TFx+827dbwJK4uBcZmHqyuzslB227fJe2LuqxKWvsha2pBdeCzWFlVWAVMJ2h8W0gZdiPD0mX0Ukll8Q30l2YA==" saltValue="/y5212WfIl4RNhhXJdCOC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214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KCPMCkX6GII7JO8s+zM3ijomyKDkUkFllY6Vif8te1N+p2sZwALbAhaSv2bHwiI1FdfZlBAOhO2atiHoCgz0RA==" saltValue="L4/k6PniFKH4D9mlYXYcb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6JqGM7xzMKBiCUpGoYgUigUg9EZB047aeNvCCwgPNzP3d/hsejeVMue2TkDjeBM9QjQ6SL2uRsaK+F9SwjW7yA==" saltValue="zqroaGW7PNaKkFiuZXuEB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189</v>
      </c>
      <c r="B1" s="103" t="s">
        <v>364</v>
      </c>
      <c r="C1" s="120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113" t="s">
        <v>222</v>
      </c>
      <c r="B2" s="113" t="s">
        <v>105</v>
      </c>
      <c r="C2" s="113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221</v>
      </c>
      <c r="B5" s="113" t="s">
        <v>237</v>
      </c>
      <c r="C5" s="113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238</v>
      </c>
      <c r="C7" s="113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214</v>
      </c>
      <c r="B9" s="113" t="s">
        <v>237</v>
      </c>
      <c r="C9" s="113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238</v>
      </c>
      <c r="C11" s="113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234</v>
      </c>
      <c r="B13" s="113" t="s">
        <v>237</v>
      </c>
      <c r="C13" s="113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238</v>
      </c>
      <c r="C15" s="113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368</v>
      </c>
      <c r="C17" s="113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366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199</v>
      </c>
      <c r="B19" s="113" t="s">
        <v>237</v>
      </c>
      <c r="C19" s="113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238</v>
      </c>
      <c r="C21" s="113" t="s">
        <v>365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367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204</v>
      </c>
      <c r="B23" s="113" t="s">
        <v>102</v>
      </c>
      <c r="C23" s="113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202</v>
      </c>
      <c r="B25" s="113" t="s">
        <v>102</v>
      </c>
      <c r="C25" s="113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203</v>
      </c>
      <c r="B27" s="113" t="s">
        <v>102</v>
      </c>
      <c r="C27" s="113" t="s">
        <v>365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366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226</v>
      </c>
      <c r="B29" s="113" t="s">
        <v>105</v>
      </c>
      <c r="C29" s="113" t="s">
        <v>365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366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367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227</v>
      </c>
      <c r="B32" s="113" t="s">
        <v>105</v>
      </c>
      <c r="C32" s="113" t="s">
        <v>365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366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367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225</v>
      </c>
      <c r="B35" s="113" t="s">
        <v>105</v>
      </c>
      <c r="C35" s="113" t="s">
        <v>365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366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367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224</v>
      </c>
      <c r="B38" s="113" t="s">
        <v>105</v>
      </c>
      <c r="C38" s="113" t="s">
        <v>365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366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367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223</v>
      </c>
      <c r="B41" s="113" t="s">
        <v>105</v>
      </c>
      <c r="C41" s="113" t="s">
        <v>365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366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367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229</v>
      </c>
      <c r="B44" s="113" t="s">
        <v>105</v>
      </c>
      <c r="C44" s="113" t="s">
        <v>365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366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367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106</v>
      </c>
      <c r="C47" s="113" t="s">
        <v>365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366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367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220</v>
      </c>
      <c r="B50" s="113" t="s">
        <v>105</v>
      </c>
      <c r="C50" s="113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366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228</v>
      </c>
      <c r="B52" s="113" t="s">
        <v>105</v>
      </c>
      <c r="C52" s="113" t="s">
        <v>365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366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213</v>
      </c>
      <c r="B54" s="113" t="s">
        <v>100</v>
      </c>
      <c r="C54" s="113" t="s">
        <v>365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366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362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189</v>
      </c>
      <c r="B58" s="103" t="s">
        <v>364</v>
      </c>
      <c r="C58" s="120" t="s">
        <v>11</v>
      </c>
      <c r="D58" s="4" t="s">
        <v>127</v>
      </c>
      <c r="E58" s="4" t="s">
        <v>114</v>
      </c>
      <c r="F58" s="4" t="s">
        <v>115</v>
      </c>
      <c r="G58" s="4" t="s">
        <v>116</v>
      </c>
      <c r="H58" s="4" t="s">
        <v>117</v>
      </c>
    </row>
    <row r="59" spans="1:8" x14ac:dyDescent="0.25">
      <c r="A59" s="113" t="s">
        <v>222</v>
      </c>
      <c r="B59" s="113" t="s">
        <v>105</v>
      </c>
      <c r="C59" s="113" t="s">
        <v>365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366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367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221</v>
      </c>
      <c r="B62" s="113" t="s">
        <v>237</v>
      </c>
      <c r="C62" s="113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238</v>
      </c>
      <c r="C64" s="113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214</v>
      </c>
      <c r="B66" s="113" t="s">
        <v>237</v>
      </c>
      <c r="C66" s="113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238</v>
      </c>
      <c r="C68" s="113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367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234</v>
      </c>
      <c r="B70" s="113" t="s">
        <v>237</v>
      </c>
      <c r="C70" s="113" t="s">
        <v>365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367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238</v>
      </c>
      <c r="C72" s="113" t="s">
        <v>365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368</v>
      </c>
      <c r="C74" s="113" t="s">
        <v>365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366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199</v>
      </c>
      <c r="B76" s="113" t="s">
        <v>237</v>
      </c>
      <c r="C76" s="113" t="s">
        <v>365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367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238</v>
      </c>
      <c r="C78" s="113" t="s">
        <v>365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367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204</v>
      </c>
      <c r="B80" s="113" t="s">
        <v>102</v>
      </c>
      <c r="C80" s="113" t="s">
        <v>365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366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202</v>
      </c>
      <c r="B82" s="113" t="s">
        <v>102</v>
      </c>
      <c r="C82" s="113" t="s">
        <v>365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366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203</v>
      </c>
      <c r="B84" s="113" t="s">
        <v>102</v>
      </c>
      <c r="C84" s="113" t="s">
        <v>365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366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226</v>
      </c>
      <c r="B86" s="113" t="s">
        <v>105</v>
      </c>
      <c r="C86" s="113" t="s">
        <v>365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366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367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227</v>
      </c>
      <c r="B89" s="113" t="s">
        <v>105</v>
      </c>
      <c r="C89" s="113" t="s">
        <v>365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366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367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225</v>
      </c>
      <c r="B92" s="113" t="s">
        <v>105</v>
      </c>
      <c r="C92" s="113" t="s">
        <v>365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366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367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224</v>
      </c>
      <c r="B95" s="113" t="s">
        <v>105</v>
      </c>
      <c r="C95" s="113" t="s">
        <v>365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366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367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223</v>
      </c>
      <c r="B98" s="113" t="s">
        <v>105</v>
      </c>
      <c r="C98" s="113" t="s">
        <v>365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366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367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229</v>
      </c>
      <c r="B101" s="113" t="s">
        <v>105</v>
      </c>
      <c r="C101" s="113" t="s">
        <v>365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366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367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106</v>
      </c>
      <c r="C104" s="113" t="s">
        <v>365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366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367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220</v>
      </c>
      <c r="B107" s="113" t="s">
        <v>105</v>
      </c>
      <c r="C107" s="113" t="s">
        <v>365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366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228</v>
      </c>
      <c r="B109" s="113" t="s">
        <v>105</v>
      </c>
      <c r="C109" s="113" t="s">
        <v>365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366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213</v>
      </c>
      <c r="B111" s="113" t="s">
        <v>100</v>
      </c>
      <c r="C111" s="113" t="s">
        <v>365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366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363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189</v>
      </c>
      <c r="B115" s="103" t="s">
        <v>364</v>
      </c>
      <c r="C115" s="120" t="s">
        <v>11</v>
      </c>
      <c r="D115" s="4" t="s">
        <v>127</v>
      </c>
      <c r="E115" s="4" t="s">
        <v>114</v>
      </c>
      <c r="F115" s="4" t="s">
        <v>115</v>
      </c>
      <c r="G115" s="4" t="s">
        <v>116</v>
      </c>
      <c r="H115" s="4" t="s">
        <v>117</v>
      </c>
    </row>
    <row r="116" spans="1:8" x14ac:dyDescent="0.25">
      <c r="A116" s="113" t="s">
        <v>222</v>
      </c>
      <c r="B116" s="113" t="s">
        <v>105</v>
      </c>
      <c r="C116" s="113" t="s">
        <v>365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366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367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221</v>
      </c>
      <c r="B119" s="113" t="s">
        <v>237</v>
      </c>
      <c r="C119" s="113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238</v>
      </c>
      <c r="C121" s="113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214</v>
      </c>
      <c r="B123" s="113" t="s">
        <v>237</v>
      </c>
      <c r="C123" s="113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367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238</v>
      </c>
      <c r="C125" s="113" t="s">
        <v>365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367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234</v>
      </c>
      <c r="B127" s="113" t="s">
        <v>237</v>
      </c>
      <c r="C127" s="113" t="s">
        <v>365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367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238</v>
      </c>
      <c r="C129" s="113" t="s">
        <v>365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367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368</v>
      </c>
      <c r="C131" s="113" t="s">
        <v>365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366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199</v>
      </c>
      <c r="B133" s="113" t="s">
        <v>237</v>
      </c>
      <c r="C133" s="113" t="s">
        <v>365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367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238</v>
      </c>
      <c r="C135" s="113" t="s">
        <v>365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367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204</v>
      </c>
      <c r="B137" s="113" t="s">
        <v>102</v>
      </c>
      <c r="C137" s="113" t="s">
        <v>365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366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202</v>
      </c>
      <c r="B139" s="113" t="s">
        <v>102</v>
      </c>
      <c r="C139" s="113" t="s">
        <v>365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366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203</v>
      </c>
      <c r="B141" s="113" t="s">
        <v>102</v>
      </c>
      <c r="C141" s="113" t="s">
        <v>365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366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226</v>
      </c>
      <c r="B143" s="113" t="s">
        <v>105</v>
      </c>
      <c r="C143" s="113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366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227</v>
      </c>
      <c r="B146" s="113" t="s">
        <v>105</v>
      </c>
      <c r="C146" s="113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225</v>
      </c>
      <c r="B149" s="113" t="s">
        <v>105</v>
      </c>
      <c r="C149" s="113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224</v>
      </c>
      <c r="B152" s="113" t="s">
        <v>105</v>
      </c>
      <c r="C152" s="113" t="s">
        <v>365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366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367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223</v>
      </c>
      <c r="B155" s="113" t="s">
        <v>105</v>
      </c>
      <c r="C155" s="113" t="s">
        <v>365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229</v>
      </c>
      <c r="B158" s="113" t="s">
        <v>105</v>
      </c>
      <c r="C158" s="113" t="s">
        <v>365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366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367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106</v>
      </c>
      <c r="C161" s="113" t="s">
        <v>365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366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367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220</v>
      </c>
      <c r="B164" s="113" t="s">
        <v>105</v>
      </c>
      <c r="C164" s="113" t="s">
        <v>365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366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228</v>
      </c>
      <c r="B166" s="113" t="s">
        <v>105</v>
      </c>
      <c r="C166" s="113" t="s">
        <v>365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366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213</v>
      </c>
      <c r="B168" s="113" t="s">
        <v>100</v>
      </c>
      <c r="C168" s="113" t="s">
        <v>365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366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Cr/IxOKAb/Acfj6tux8PYy7iWPPL3E9Yj3ic6F5KCGxJZ3ljN2dlQ1D2LSrQHdzEbvynvtAVa5o0KSNEUQfV8A==" saltValue="VA9A2ScsVBmYanofed6Z9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244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244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244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MeewMC+bTFIgOUKcdhhpDUHuuQb8soBrZzjYffFFgcckmxoip91HRjZwQI51lSnIhMnpjykKvgmcwJvMnwJasQ==" saltValue="XnbOKz85xaIcbFJUybTB8A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2026-04-29T05:02:03Z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