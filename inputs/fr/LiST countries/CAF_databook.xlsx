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1926AE8C-44E3-4F39-A68B-F0316C25AD2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9" i="2" l="1"/>
  <c r="A28" i="2"/>
  <c r="A15" i="2"/>
  <c r="A34" i="2"/>
  <c r="A39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<sst xmlns="http://schemas.openxmlformats.org/spreadsheetml/2006/main" count="2101" uniqueCount="337">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</sst>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1104076.8046875</v>
      </c>
    </row>
    <row r="8" spans="1:3" ht="15" customHeight="1" x14ac:dyDescent="0.25">
      <c r="B8" s="5" t="s">
        <v>19</v>
      </c>
      <c r="C8" s="44">
        <v>0.66299999999999992</v>
      </c>
    </row>
    <row r="9" spans="1:3" ht="15" customHeight="1" x14ac:dyDescent="0.25">
      <c r="B9" s="5" t="s">
        <v>20</v>
      </c>
      <c r="C9" s="45">
        <v>0.99900000000000011</v>
      </c>
    </row>
    <row r="10" spans="1:3" ht="15" customHeight="1" x14ac:dyDescent="0.25">
      <c r="B10" s="5" t="s">
        <v>21</v>
      </c>
      <c r="C10" s="45">
        <v>9.845620155334471E-2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0.10979999999999999</v>
      </c>
    </row>
    <row r="24" spans="1:3" ht="15" customHeight="1" x14ac:dyDescent="0.25">
      <c r="B24" s="15" t="s">
        <v>33</v>
      </c>
      <c r="C24" s="45">
        <v>0.4572</v>
      </c>
    </row>
    <row r="25" spans="1:3" ht="15" customHeight="1" x14ac:dyDescent="0.25">
      <c r="B25" s="15" t="s">
        <v>34</v>
      </c>
      <c r="C25" s="45">
        <v>0.30830000000000002</v>
      </c>
    </row>
    <row r="26" spans="1:3" ht="15" customHeight="1" x14ac:dyDescent="0.25">
      <c r="B26" s="15" t="s">
        <v>35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0.21836491512919801</v>
      </c>
    </row>
    <row r="30" spans="1:3" ht="14.25" customHeight="1" x14ac:dyDescent="0.25">
      <c r="B30" s="25" t="s">
        <v>38</v>
      </c>
      <c r="C30" s="99">
        <v>7.7568108542825601E-2</v>
      </c>
    </row>
    <row r="31" spans="1:3" ht="14.25" customHeight="1" x14ac:dyDescent="0.25">
      <c r="B31" s="25" t="s">
        <v>39</v>
      </c>
      <c r="C31" s="99">
        <v>0.12339958874324899</v>
      </c>
    </row>
    <row r="32" spans="1:3" ht="14.25" customHeight="1" x14ac:dyDescent="0.25">
      <c r="B32" s="25" t="s">
        <v>40</v>
      </c>
      <c r="C32" s="99">
        <v>0.58066738758472702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31.912410000000001</v>
      </c>
    </row>
    <row r="38" spans="1:5" ht="15" customHeight="1" x14ac:dyDescent="0.25">
      <c r="B38" s="11" t="s">
        <v>45</v>
      </c>
      <c r="C38" s="43">
        <v>75.422229999999999</v>
      </c>
      <c r="D38" s="12"/>
      <c r="E38" s="13"/>
    </row>
    <row r="39" spans="1:5" ht="15" customHeight="1" x14ac:dyDescent="0.25">
      <c r="B39" s="11" t="s">
        <v>46</v>
      </c>
      <c r="C39" s="43">
        <v>99.916079999999994</v>
      </c>
      <c r="D39" s="12"/>
      <c r="E39" s="12"/>
    </row>
    <row r="40" spans="1:5" ht="15" customHeight="1" x14ac:dyDescent="0.25">
      <c r="B40" s="11" t="s">
        <v>47</v>
      </c>
      <c r="C40" s="100">
        <v>8.35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7.9225000000000007E-3</v>
      </c>
      <c r="D45" s="12"/>
    </row>
    <row r="46" spans="1:5" ht="15.75" customHeight="1" x14ac:dyDescent="0.25">
      <c r="B46" s="11" t="s">
        <v>52</v>
      </c>
      <c r="C46" s="45">
        <v>8.512610000000001E-2</v>
      </c>
      <c r="D46" s="12"/>
    </row>
    <row r="47" spans="1:5" ht="15.75" customHeight="1" x14ac:dyDescent="0.25">
      <c r="B47" s="11" t="s">
        <v>53</v>
      </c>
      <c r="C47" s="45">
        <v>7.3466500000000004E-2</v>
      </c>
      <c r="D47" s="12"/>
      <c r="E47" s="13"/>
    </row>
    <row r="48" spans="1:5" ht="15" customHeight="1" x14ac:dyDescent="0.25">
      <c r="B48" s="11" t="s">
        <v>54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0.44318700000000011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Gg9BJinilOzUK2i7xBTQQZgPbvwENFeQ5ZZD60nQpiUCsw4zTjxDBVOcYwZCUMioWRUppO8skVdkTJQqmEf4pA==" saltValue="vgwIgSwcdE29jCaipN0S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WgoFyGkC/CUK49YloPM80/gK6gY/RVvPhPDtL/pKGS3uo4Itec1EqR4Y8K86AcAXRI9VMVIRurNurVE4bRUMA==" saltValue="qxQqNMOXAJIDYw6ZRKTx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2.688439731156032E-2</v>
      </c>
    </row>
    <row r="4" spans="1:8" ht="15.75" customHeight="1" x14ac:dyDescent="0.25">
      <c r="B4" s="19" t="s">
        <v>79</v>
      </c>
      <c r="C4" s="101">
        <v>7.0187992981200861E-2</v>
      </c>
    </row>
    <row r="5" spans="1:8" ht="15.75" customHeight="1" x14ac:dyDescent="0.25">
      <c r="B5" s="19" t="s">
        <v>80</v>
      </c>
      <c r="C5" s="101">
        <v>0.1133985886601412</v>
      </c>
    </row>
    <row r="6" spans="1:8" ht="15.75" customHeight="1" x14ac:dyDescent="0.25">
      <c r="B6" s="19" t="s">
        <v>81</v>
      </c>
      <c r="C6" s="101">
        <v>0.24461647553835281</v>
      </c>
    </row>
    <row r="7" spans="1:8" ht="15.75" customHeight="1" x14ac:dyDescent="0.25">
      <c r="B7" s="19" t="s">
        <v>82</v>
      </c>
      <c r="C7" s="101">
        <v>0.38315536168446312</v>
      </c>
    </row>
    <row r="8" spans="1:8" ht="15.75" customHeight="1" x14ac:dyDescent="0.25">
      <c r="B8" s="19" t="s">
        <v>83</v>
      </c>
      <c r="C8" s="101">
        <v>1.542919845708019E-2</v>
      </c>
    </row>
    <row r="9" spans="1:8" ht="15.75" customHeight="1" x14ac:dyDescent="0.25">
      <c r="B9" s="19" t="s">
        <v>84</v>
      </c>
      <c r="C9" s="101">
        <v>4.0559195944080341E-2</v>
      </c>
    </row>
    <row r="10" spans="1:8" ht="15.75" customHeight="1" x14ac:dyDescent="0.25">
      <c r="B10" s="19" t="s">
        <v>85</v>
      </c>
      <c r="C10" s="101">
        <v>0.1057687894231211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88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89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90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91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92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93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94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95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8.640991000000002E-2</v>
      </c>
    </row>
    <row r="27" spans="1:8" ht="15.75" customHeight="1" x14ac:dyDescent="0.25">
      <c r="B27" s="19" t="s">
        <v>102</v>
      </c>
      <c r="C27" s="101">
        <v>8.5227879999999999E-3</v>
      </c>
    </row>
    <row r="28" spans="1:8" ht="15.75" customHeight="1" x14ac:dyDescent="0.25">
      <c r="B28" s="19" t="s">
        <v>103</v>
      </c>
      <c r="C28" s="101">
        <v>0.151297399</v>
      </c>
    </row>
    <row r="29" spans="1:8" ht="15.75" customHeight="1" x14ac:dyDescent="0.25">
      <c r="B29" s="19" t="s">
        <v>104</v>
      </c>
      <c r="C29" s="101">
        <v>0.16589246799999999</v>
      </c>
    </row>
    <row r="30" spans="1:8" ht="15.75" customHeight="1" x14ac:dyDescent="0.25">
      <c r="B30" s="19" t="s">
        <v>2</v>
      </c>
      <c r="C30" s="101">
        <v>0.10344083900000001</v>
      </c>
    </row>
    <row r="31" spans="1:8" ht="15.75" customHeight="1" x14ac:dyDescent="0.25">
      <c r="B31" s="19" t="s">
        <v>105</v>
      </c>
      <c r="C31" s="101">
        <v>0.10754699400000001</v>
      </c>
    </row>
    <row r="32" spans="1:8" ht="15.75" customHeight="1" x14ac:dyDescent="0.25">
      <c r="B32" s="19" t="s">
        <v>106</v>
      </c>
      <c r="C32" s="101">
        <v>1.8445415E-2</v>
      </c>
    </row>
    <row r="33" spans="2:3" ht="15.75" customHeight="1" x14ac:dyDescent="0.25">
      <c r="B33" s="19" t="s">
        <v>107</v>
      </c>
      <c r="C33" s="101">
        <v>8.3029338999999994E-2</v>
      </c>
    </row>
    <row r="34" spans="2:3" ht="15.75" customHeight="1" x14ac:dyDescent="0.25">
      <c r="B34" s="19" t="s">
        <v>108</v>
      </c>
      <c r="C34" s="101">
        <v>0.27541484799999999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dtsVaBkylT16jJHfSrIoZJp23KHX2IhDdNcSxfrAktOdbVHTRhmveVa7vDHpBnH+N+EnZO6fCHvwjLc8xokvjA==" saltValue="CRZirnHymTBBRriCixk/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114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115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119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120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lnmXzHrz3AiiaOd5ms5ivW1WG7ZmccoEyfZl3jyhxH9tj0Ytq6B8ayu+i9TTTm0tp1lWds4d8GQi1fQylmIGQ==" saltValue="K8pZSts8IdTs9yYJVjQ6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132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QcQpU7s42ueZ5DczTXONHtMhoK0kRHfotNWI2yeASb7jlkBAFyK5DIaIMLfV/7gcR5I3fi0Et8z1naE56QRvnQ==" saltValue="2d83JEjAxviq024R7rhs/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7xANtCulDFn8zaLZ8/EQQbi91vK+OgJ5lG/PeLU6hqNmpMd5mVpXUCX9XW3xpRzEtIJcuMZ+jGUtGNjy+rhJw==" saltValue="ldtC/Cn6UIYzgizJbk8p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poAi6m6+Dg76w4iFLJgp47O2iguOlyfnUDKpI79fpqY3rSYUmKHpZz1ez4bBY8YcnXXMOjnPW/n7hlQbsi598w==" saltValue="gFigDXe3SXPl/5RFUCF0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uYXrnka4W8PfUn3d+rHttvGTYtHSOdjtQkpfvAGVl66QfC3SNZ8pEw40HlUgefJl/X420G7F7B12erTh8YFIhQ==" saltValue="WAphzzLGT5d+6gwPrTWZ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0aNGHK2H5aTMGijsTIbjpBlctsbaqI0ilbuycCM86+yX8WM0BwophJYu5JmcFQditGzdh+1rFbQ72AZbTqt0w==" saltValue="4dNrH14Jc/TXOcWtOPr1U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16.553818481334261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0.1238331639462925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0.16283867355037329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17.30460856515991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17.30460856515991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17.30460856515991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17.30460856515991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17.30460856515991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17.30460856515991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0.59670389999999995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0.27800000000000002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0.3043807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29.45962320280529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0.60746149999999999</v>
      </c>
      <c r="C23" s="98">
        <v>0.95</v>
      </c>
      <c r="D23" s="56">
        <v>5.6236363581689766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0.35289840412538298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0.2339136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9.1486800000000007E-2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0.17560000000000001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0.22176409999999999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0.46673049999999999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3.8961999999999998E-3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0.13799710000000001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0.12971460000000001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d7bspUtGHcnXsEHIZpywX2TfhG+hKXQMv2rwkFe/e6lhzG074VoKcdUPr+nJDJ+QFFl3qOPhlxrLylqaz59xYw==" saltValue="j76+2V7a0mSDJuVFouAk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yRLuchlsCf3TF8ZFD70Cx57POYdQ2RU+VhdPpUYAELqa6EALeqRFsLA6I3o+2O/m85NrywbzVHjINXnqXwZog==" saltValue="eqi80lMmqiOaX1WpC4K9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5DUYvEF6wZOtw9YjQ75qFYQRtb/PfPlN8mZyAIX9Qc+pk0NgGac7aLbTj/bQ2zzv+3xSV3SQdDYBjdUpB7aB7A==" saltValue="ShYQeRYlxmOiwdOuEi6F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208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blK0EHKIbDvUVqvU6XDIrZlvePc3LkS/UTcL0rf3NFjUjumOjQy2sEwDD+8ayVGIhMCDUT1tQiADnSVkMp9QUg==" saltValue="eR6fmIfgJjb5hhwnz443b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3mzijyAuUE63anKhyL8Up7C0wkQyYVCnatH178/14moDbHZTtIUtcPHE8Nn7xZCtYyR68tftJ/TBelswk405g==" saltValue="VMgKoTEJDFuTiVQ2bvSPF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JbjAr6CMVEDueMNwqbDdOgv0P1c0qxoqnPNO++CFnfTi3bEBeKuLYaLBGlJLdwDotyw378U6n7NS+3ROQqLnmA==" saltValue="mL1A0PygNNe/e9CL8moX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14O+4HzVRKYnIo5cH3kaskwJuUE6PNxZTsDs0wdOXEGFuOfitb5et6Ibh7Nto+D/gHSYtLtcqesEbTXyO4nAA==" saltValue="GZwr8woYPJAWyVncfEik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BLq9uiQD3z/fqDOCMH4vSrsaQCuGqfhqtaoIaYPCkc6gNMtssRIea+IRDrWoeV90KK5i1mlq/e5HCeMp/d/Dw==" saltValue="VZaTkkn0GsUi2gC7J3lf1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ldHylTBG7jTh3+xaHEDqzYr40AGLdLiNI//OIr0dp+XYW+WW8RraZ94wHVffgSAtErJO0l9xMI52KpENVCjjg==" saltValue="lVfQh+ZeWtOg14YB8oPz8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ocNuUc+yfXJ8XNiPxlUnq61ceyao1Ya4uf3Jl+vxI8V1f/48NMHV6l2FThUssBYTfGUvO8Fm1QBzlty5PUhYA==" saltValue="Q2bkNf90IUvbM8JGf27H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qi8i7YQnDh4Hs3pFEiI7VHL4YYwsG5G/wAiIa3Dpw2NcOo/jNO2laQEkwFDaZQE6h7BpYnSuYuXNwtKdudVdA==" saltValue="HKJDfi5+AY9B4uVZBF1DZ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fCOu81WH30D5OJNpcZeIbNuIoTJS8hmLsvsh1nyED8h2rdVUOggOIhecZYzZXeNOWeEdYUNdv2lTxhmAyzOGA==" saltValue="rod6ssaUb7sOMLi7gw30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h/fZq+YLMRpEnvJHE9nA87a2BtSV6j0CjzgBG4CZfV+p3uamuCOMdmmVyGl/sMMZ8UoYQRFxTyYBDcbyO5cCg==" saltValue="orDO3eNu9UsvbxllTRe8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ECOWWjeF8xM5eDiOuht9wdhNFOhe+J515OsdpVj5pU8oEcUbE6DQrduqzKFsp+vCFwHVTAGJg5/cUJkus66zg==" saltValue="cO5Wxm8ZS/+AsLfpGncQ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6uz1FORUSMKSdXlF/9PKxAFjTkWMGloSoVvGzJu7YOkgNEniykW48xaquEqB2rM5fP4/rG/fzL+sIK3/EkXMzQ==" saltValue="qI4IOmUbCIfKD04HsN7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OlknWaw8ripd7kGarSpym/SgJycA84xvDwj1laG0A16wlbh5J8MO8TaxcaIZvNO+xgel9KgfSjsaOVy/jADmA==" saltValue="ciND5I1bFhX3VwRJYUnP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BzzgetCQBrKS4czMgmOvEhqr9S4Ud8OeeJ9U8o6PMMbkIcCzYXKnRFQpnYxKv6ZzxCB8BoZtBTbsYuMg/PVEQ==" saltValue="gukZAPAyyRiqbpxXcWxSg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0.10816767876975786</v>
      </c>
      <c r="G18" s="90">
        <f>MIN(MAX(1-0.89/(1-frac_sam_12_23months+(frac_sam_12_23months*0.89)),0),1)</f>
        <v>0.1079384743602152</v>
      </c>
      <c r="H18" s="90">
        <f>MIN(MAX(1-0.89/(1-frac_sam_24_59months+(frac_sam_24_59months*0.89)),0),1)</f>
        <v>0.10901422135337735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0.10296934462643992</v>
      </c>
      <c r="G20" s="90">
        <f>MIN(MAX(1-0.89/(1-frac_mam_12_23months+(frac_mam_12_23months*0.89)),0),1)</f>
        <v>0.1046997617089005</v>
      </c>
      <c r="H20" s="90">
        <f>MIN(MAX(1-0.89/(1-frac_mam_24_59months+(frac_mam_24_59months*0.89)),0),1)</f>
        <v>0.10721170520007317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9.815055236386927E-3</v>
      </c>
      <c r="G73" s="90">
        <f>MIN(MAX(1-0.99/(1-frac_sam_12_23months+(frac_sam_12_23months*0.99)),0),1)</f>
        <v>9.7919691752200722E-3</v>
      </c>
      <c r="H73" s="90">
        <f>MIN(MAX(1-0.99/(1-frac_sam_24_59months+(frac_sam_24_59months*0.99)),0),1)</f>
        <v>9.9004147936203601E-3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9.2941042165481935E-3</v>
      </c>
      <c r="G75" s="90">
        <f>MIN(MAX(1-0.99/(1-frac_mam_12_23months+(frac_mam_12_23months*0.99)),0),1)</f>
        <v>9.4669069757314928E-3</v>
      </c>
      <c r="H75" s="90">
        <f>MIN(MAX(1-0.99/(1-frac_mam_24_59months+(frac_mam_24_59months*0.99)),0),1)</f>
        <v>9.7188383823122448E-3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0.19700034661480037</v>
      </c>
      <c r="G128" s="90">
        <f>MIN(MAX(1-0.8/(1-frac_sam_12_23months+(frac_sam_12_23months*0.8)),0),1)</f>
        <v>0.19662440857497387</v>
      </c>
      <c r="H128" s="90">
        <f>MIN(MAX(1-0.8/(1-frac_sam_24_59months+(frac_sam_24_59months*0.8)),0),1)</f>
        <v>0.19838746018265263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0.18843490523618145</v>
      </c>
      <c r="G130" s="90">
        <f>MIN(MAX(1-0.8/(1-frac_mam_12_23months+(frac_mam_12_23months*0.8)),0),1)</f>
        <v>0.19129529666240297</v>
      </c>
      <c r="H130" s="90">
        <f>MIN(MAX(1-0.8/(1-frac_mam_24_59months+(frac_mam_24_59months*0.8)),0),1)</f>
        <v>0.19543132112248829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qx6qHD6P+/FHBJDlW9DDT7Lprkt/DVcUi2nSITf+oSbGTCjsspG8NNBpkEewLeFmm9yTWRbhQ2j9n3Ekqzk1g==" saltValue="b79JGjsMI6UZm3cjyUKm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uhX86VdxKX2JOxTzISDhgRy7yOV1eVPPoG9UsiMyikOJPUlv/GVCH6KgOSktFXvIEmmzz+QL7F/wKzXjnAlxg==" saltValue="071LAec+1AW+5NbZTgk5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2024-08-06T08:50:29Z</dcterms:modified>
</cp:coreProperties>
</file>