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D1C76B05-1036-496C-A0EF-4E523459A1F2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<sst xmlns="http://schemas.openxmlformats.org/spreadsheetml/2006/main" count="2102" uniqueCount="337">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</sst>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3532956.125</v>
      </c>
    </row>
    <row r="8" spans="1:3" ht="15" customHeight="1" x14ac:dyDescent="0.25">
      <c r="B8" s="5" t="s">
        <v>19</v>
      </c>
      <c r="C8" s="44">
        <v>4.0999999999999988E-2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0.81589927673339802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0.13500000000000001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0.14069999999999999</v>
      </c>
    </row>
    <row r="24" spans="1:3" ht="15" customHeight="1" x14ac:dyDescent="0.25">
      <c r="B24" s="15" t="s">
        <v>33</v>
      </c>
      <c r="C24" s="45">
        <v>0.54339999999999999</v>
      </c>
    </row>
    <row r="25" spans="1:3" ht="15" customHeight="1" x14ac:dyDescent="0.25">
      <c r="B25" s="15" t="s">
        <v>34</v>
      </c>
      <c r="C25" s="45">
        <v>0.26979999999999998</v>
      </c>
    </row>
    <row r="26" spans="1:3" ht="15" customHeight="1" x14ac:dyDescent="0.25">
      <c r="B26" s="15" t="s">
        <v>35</v>
      </c>
      <c r="C26" s="45">
        <v>4.6100000000000002E-2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0.43013027417118699</v>
      </c>
    </row>
    <row r="30" spans="1:3" ht="14.25" customHeight="1" x14ac:dyDescent="0.25">
      <c r="B30" s="25" t="s">
        <v>38</v>
      </c>
      <c r="C30" s="99">
        <v>3.6306215717705301E-2</v>
      </c>
    </row>
    <row r="31" spans="1:3" ht="14.25" customHeight="1" x14ac:dyDescent="0.25">
      <c r="B31" s="25" t="s">
        <v>39</v>
      </c>
      <c r="C31" s="99">
        <v>5.3639561550891501E-2</v>
      </c>
    </row>
    <row r="32" spans="1:3" ht="14.25" customHeight="1" x14ac:dyDescent="0.25">
      <c r="B32" s="25" t="s">
        <v>40</v>
      </c>
      <c r="C32" s="99">
        <v>0.47992394856021697</v>
      </c>
    </row>
    <row r="33" spans="1:5" ht="13" customHeight="1" x14ac:dyDescent="0.25">
      <c r="B33" s="27" t="s">
        <v>41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6.9927799999999998</v>
      </c>
    </row>
    <row r="38" spans="1:5" ht="15" customHeight="1" x14ac:dyDescent="0.25">
      <c r="B38" s="11" t="s">
        <v>45</v>
      </c>
      <c r="C38" s="43">
        <v>11.05827</v>
      </c>
      <c r="D38" s="12"/>
      <c r="E38" s="13"/>
    </row>
    <row r="39" spans="1:5" ht="15" customHeight="1" x14ac:dyDescent="0.25">
      <c r="B39" s="11" t="s">
        <v>46</v>
      </c>
      <c r="C39" s="43">
        <v>12.84816</v>
      </c>
      <c r="D39" s="12"/>
      <c r="E39" s="12"/>
    </row>
    <row r="40" spans="1:5" ht="15" customHeight="1" x14ac:dyDescent="0.25">
      <c r="B40" s="11" t="s">
        <v>47</v>
      </c>
      <c r="C40" s="100">
        <v>0.75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7.1447500000000002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7.6820999999999999E-3</v>
      </c>
      <c r="D45" s="12"/>
    </row>
    <row r="46" spans="1:5" ht="15.75" customHeight="1" x14ac:dyDescent="0.25">
      <c r="B46" s="11" t="s">
        <v>52</v>
      </c>
      <c r="C46" s="45">
        <v>8.2543399999999989E-2</v>
      </c>
      <c r="D46" s="12"/>
    </row>
    <row r="47" spans="1:5" ht="15.75" customHeight="1" x14ac:dyDescent="0.25">
      <c r="B47" s="11" t="s">
        <v>53</v>
      </c>
      <c r="C47" s="45">
        <v>7.3695200000000002E-2</v>
      </c>
      <c r="D47" s="12"/>
      <c r="E47" s="13"/>
    </row>
    <row r="48" spans="1:5" ht="15" customHeight="1" x14ac:dyDescent="0.25">
      <c r="B48" s="11" t="s">
        <v>54</v>
      </c>
      <c r="C48" s="46">
        <v>0.83607929999999997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0.55688800000000005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9.9555930999999903E-2</v>
      </c>
    </row>
    <row r="63" spans="1:4" ht="15.75" customHeight="1" x14ac:dyDescent="0.3">
      <c r="A63" s="4"/>
    </row>
  </sheetData>
  <sheetProtection algorithmName="SHA-512" hashValue="ZsmFwLnFzKG6JbzKA9v+uOJVkOTeaK2e1nrG3rno/m+xFZwGz475BHL9HXj5ZGWECvXvTQYyxVNbO7q7ZxFiPQ==" saltValue="iIWfnK5td7k/J6Z0Nskd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703054</v>
      </c>
      <c r="C2" s="49">
        <v>2242918</v>
      </c>
      <c r="D2" s="49">
        <v>4270265</v>
      </c>
      <c r="E2" s="49">
        <v>4259777.5</v>
      </c>
      <c r="F2" s="49">
        <v>3177134</v>
      </c>
      <c r="G2" s="17">
        <f t="shared" ref="G2:G13" si="0">C2+D2+E2+F2</f>
        <v>13950094.5</v>
      </c>
      <c r="H2" s="17">
        <f t="shared" ref="H2:H13" si="1">(B2 + stillbirth*B2/(1000-stillbirth))/(1-abortion)</f>
        <v>804674.19596159668</v>
      </c>
      <c r="I2" s="17">
        <f t="shared" ref="I2:I13" si="2">G2-H2</f>
        <v>13145420.304038404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692906</v>
      </c>
      <c r="C3" s="50">
        <v>2206742.5</v>
      </c>
      <c r="D3" s="50">
        <v>4184272</v>
      </c>
      <c r="E3" s="50">
        <v>4291200.5</v>
      </c>
      <c r="F3" s="50">
        <v>3237738</v>
      </c>
      <c r="G3" s="17">
        <f t="shared" si="0"/>
        <v>13919953</v>
      </c>
      <c r="H3" s="17">
        <f t="shared" si="1"/>
        <v>793059.39291571639</v>
      </c>
      <c r="I3" s="17">
        <f t="shared" si="2"/>
        <v>13126893.607084284</v>
      </c>
    </row>
    <row r="4" spans="1:9" ht="15.75" customHeight="1" x14ac:dyDescent="0.25">
      <c r="A4" s="5">
        <f t="shared" si="3"/>
        <v>2026</v>
      </c>
      <c r="B4" s="49">
        <v>683569</v>
      </c>
      <c r="C4" s="50">
        <v>2181899.5</v>
      </c>
      <c r="D4" s="50">
        <v>4099826.5</v>
      </c>
      <c r="E4" s="50">
        <v>4317442.5</v>
      </c>
      <c r="F4" s="50">
        <v>3298501.5</v>
      </c>
      <c r="G4" s="17">
        <f t="shared" si="0"/>
        <v>13897670</v>
      </c>
      <c r="H4" s="17">
        <f t="shared" si="1"/>
        <v>782372.81269898557</v>
      </c>
      <c r="I4" s="17">
        <f t="shared" si="2"/>
        <v>13115297.187301014</v>
      </c>
    </row>
    <row r="5" spans="1:9" ht="15.75" customHeight="1" x14ac:dyDescent="0.25">
      <c r="A5" s="5">
        <f t="shared" si="3"/>
        <v>2027</v>
      </c>
      <c r="B5" s="49">
        <v>676170</v>
      </c>
      <c r="C5" s="50">
        <v>2166546.5</v>
      </c>
      <c r="D5" s="50">
        <v>4019044.5</v>
      </c>
      <c r="E5" s="50">
        <v>4336564</v>
      </c>
      <c r="F5" s="50">
        <v>3358580.5</v>
      </c>
      <c r="G5" s="17">
        <f t="shared" si="0"/>
        <v>13880735.5</v>
      </c>
      <c r="H5" s="17">
        <f t="shared" si="1"/>
        <v>773904.35312700411</v>
      </c>
      <c r="I5" s="17">
        <f t="shared" si="2"/>
        <v>13106831.146872995</v>
      </c>
    </row>
    <row r="6" spans="1:9" ht="15.75" customHeight="1" x14ac:dyDescent="0.25">
      <c r="A6" s="5">
        <f t="shared" si="3"/>
        <v>2028</v>
      </c>
      <c r="B6" s="49">
        <v>667710</v>
      </c>
      <c r="C6" s="50">
        <v>2157372.5</v>
      </c>
      <c r="D6" s="50">
        <v>3942187</v>
      </c>
      <c r="E6" s="50">
        <v>4346234.5</v>
      </c>
      <c r="F6" s="50">
        <v>3417347.5</v>
      </c>
      <c r="G6" s="17">
        <f t="shared" si="0"/>
        <v>13863141.5</v>
      </c>
      <c r="H6" s="17">
        <f t="shared" si="1"/>
        <v>764221.53545178275</v>
      </c>
      <c r="I6" s="17">
        <f t="shared" si="2"/>
        <v>13098919.964548217</v>
      </c>
    </row>
    <row r="7" spans="1:9" ht="15.75" customHeight="1" x14ac:dyDescent="0.25">
      <c r="A7" s="5">
        <f t="shared" si="3"/>
        <v>2029</v>
      </c>
      <c r="B7" s="49">
        <v>661864</v>
      </c>
      <c r="C7" s="50">
        <v>2152257.5</v>
      </c>
      <c r="D7" s="50">
        <v>3868910.5</v>
      </c>
      <c r="E7" s="50">
        <v>4344846</v>
      </c>
      <c r="F7" s="50">
        <v>3473731</v>
      </c>
      <c r="G7" s="17">
        <f t="shared" si="0"/>
        <v>13839745</v>
      </c>
      <c r="H7" s="17">
        <f t="shared" si="1"/>
        <v>757530.54820245132</v>
      </c>
      <c r="I7" s="17">
        <f t="shared" si="2"/>
        <v>13082214.451797549</v>
      </c>
    </row>
    <row r="8" spans="1:9" ht="15.75" customHeight="1" x14ac:dyDescent="0.25">
      <c r="A8" s="5">
        <f t="shared" si="3"/>
        <v>2030</v>
      </c>
      <c r="B8" s="49">
        <v>653804</v>
      </c>
      <c r="C8" s="50">
        <v>2150075.5</v>
      </c>
      <c r="D8" s="50">
        <v>3801006</v>
      </c>
      <c r="E8" s="50">
        <v>4331503.5</v>
      </c>
      <c r="F8" s="50">
        <v>3528590</v>
      </c>
      <c r="G8" s="17">
        <f t="shared" si="0"/>
        <v>13811175</v>
      </c>
      <c r="H8" s="17">
        <f t="shared" si="1"/>
        <v>748305.54696577473</v>
      </c>
      <c r="I8" s="17">
        <f t="shared" si="2"/>
        <v>13062869.453034226</v>
      </c>
    </row>
    <row r="9" spans="1:9" ht="15.75" customHeight="1" x14ac:dyDescent="0.25">
      <c r="A9" s="5">
        <f t="shared" si="3"/>
        <v>2031</v>
      </c>
      <c r="B9" s="49">
        <v>647169</v>
      </c>
      <c r="C9" s="50">
        <v>2149019.5</v>
      </c>
      <c r="D9" s="50">
        <v>3740245.5</v>
      </c>
      <c r="E9" s="50">
        <v>4305652.5</v>
      </c>
      <c r="F9" s="50">
        <v>3582754.5</v>
      </c>
      <c r="G9" s="17">
        <f t="shared" si="0"/>
        <v>13777672</v>
      </c>
      <c r="H9" s="17">
        <f t="shared" si="1"/>
        <v>740711.51679141354</v>
      </c>
      <c r="I9" s="17">
        <f t="shared" si="2"/>
        <v>13036960.483208586</v>
      </c>
    </row>
    <row r="10" spans="1:9" ht="15.75" customHeight="1" x14ac:dyDescent="0.25">
      <c r="A10" s="5">
        <f t="shared" si="3"/>
        <v>2032</v>
      </c>
      <c r="B10" s="49">
        <v>639278</v>
      </c>
      <c r="C10" s="50">
        <v>2147227</v>
      </c>
      <c r="D10" s="50">
        <v>3687761</v>
      </c>
      <c r="E10" s="50">
        <v>4267896.5</v>
      </c>
      <c r="F10" s="50">
        <v>3635611.5</v>
      </c>
      <c r="G10" s="17">
        <f t="shared" si="0"/>
        <v>13738496</v>
      </c>
      <c r="H10" s="17">
        <f t="shared" si="1"/>
        <v>731679.94300002209</v>
      </c>
      <c r="I10" s="17">
        <f t="shared" si="2"/>
        <v>13006816.056999978</v>
      </c>
    </row>
    <row r="11" spans="1:9" ht="15.75" customHeight="1" x14ac:dyDescent="0.25">
      <c r="A11" s="5">
        <f t="shared" si="3"/>
        <v>2033</v>
      </c>
      <c r="B11" s="49">
        <v>632825</v>
      </c>
      <c r="C11" s="50">
        <v>2144964.5</v>
      </c>
      <c r="D11" s="50">
        <v>3644082</v>
      </c>
      <c r="E11" s="50">
        <v>4219152.5</v>
      </c>
      <c r="F11" s="50">
        <v>3686932</v>
      </c>
      <c r="G11" s="17">
        <f t="shared" si="0"/>
        <v>13695131</v>
      </c>
      <c r="H11" s="17">
        <f t="shared" si="1"/>
        <v>724294.21930519911</v>
      </c>
      <c r="I11" s="17">
        <f t="shared" si="2"/>
        <v>12970836.780694801</v>
      </c>
    </row>
    <row r="12" spans="1:9" ht="15.75" customHeight="1" x14ac:dyDescent="0.25">
      <c r="A12" s="5">
        <f t="shared" si="3"/>
        <v>2034</v>
      </c>
      <c r="B12" s="49">
        <v>625821</v>
      </c>
      <c r="C12" s="50">
        <v>2141325.5</v>
      </c>
      <c r="D12" s="50">
        <v>3609062</v>
      </c>
      <c r="E12" s="50">
        <v>4161060.5</v>
      </c>
      <c r="F12" s="50">
        <v>3735409</v>
      </c>
      <c r="G12" s="17">
        <f t="shared" si="0"/>
        <v>13646857</v>
      </c>
      <c r="H12" s="17">
        <f t="shared" si="1"/>
        <v>716277.8534662805</v>
      </c>
      <c r="I12" s="17">
        <f t="shared" si="2"/>
        <v>12930579.14653372</v>
      </c>
    </row>
    <row r="13" spans="1:9" ht="15.75" customHeight="1" x14ac:dyDescent="0.25">
      <c r="A13" s="5">
        <f t="shared" si="3"/>
        <v>2035</v>
      </c>
      <c r="B13" s="49">
        <v>622242</v>
      </c>
      <c r="C13" s="50">
        <v>2134275.5</v>
      </c>
      <c r="D13" s="50">
        <v>3582462.5</v>
      </c>
      <c r="E13" s="50">
        <v>4096112.5</v>
      </c>
      <c r="F13" s="50">
        <v>3778815.5</v>
      </c>
      <c r="G13" s="17">
        <f t="shared" si="0"/>
        <v>13591666</v>
      </c>
      <c r="H13" s="17">
        <f t="shared" si="1"/>
        <v>712181.54088240128</v>
      </c>
      <c r="I13" s="17">
        <f t="shared" si="2"/>
        <v>12879484.459117599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skJKjdzQ60WeJFv66CVqi8eCckNjz6bnlTrExXgGk8YMNaCipsnrAN1pD/aAjFym2clpjqH0jEYKB7K96K16A==" saltValue="c1Q1MYUl+QBoR41S1obWf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0.14711110000000011</v>
      </c>
    </row>
    <row r="5" spans="1:8" ht="15.75" customHeight="1" x14ac:dyDescent="0.25">
      <c r="B5" s="19" t="s">
        <v>80</v>
      </c>
      <c r="C5" s="101">
        <v>4.0477800000000022E-2</v>
      </c>
    </row>
    <row r="6" spans="1:8" ht="15.75" customHeight="1" x14ac:dyDescent="0.25">
      <c r="B6" s="19" t="s">
        <v>81</v>
      </c>
      <c r="C6" s="101">
        <v>9.7223000000000004E-2</v>
      </c>
    </row>
    <row r="7" spans="1:8" ht="15.75" customHeight="1" x14ac:dyDescent="0.25">
      <c r="B7" s="19" t="s">
        <v>82</v>
      </c>
      <c r="C7" s="101">
        <v>0.32530749999999958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0.27405230000000008</v>
      </c>
    </row>
    <row r="10" spans="1:8" ht="15.75" customHeight="1" x14ac:dyDescent="0.25">
      <c r="B10" s="19" t="s">
        <v>85</v>
      </c>
      <c r="C10" s="101">
        <v>0.1158283</v>
      </c>
    </row>
    <row r="11" spans="1:8" ht="15.75" customHeight="1" x14ac:dyDescent="0.25">
      <c r="B11" s="27" t="s">
        <v>41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7.5650692706176817E-2</v>
      </c>
      <c r="D14" s="55">
        <v>7.5650692706176817E-2</v>
      </c>
      <c r="E14" s="55">
        <v>7.5650692706176817E-2</v>
      </c>
      <c r="F14" s="55">
        <v>7.5650692706176817E-2</v>
      </c>
    </row>
    <row r="15" spans="1:8" ht="15.75" customHeight="1" x14ac:dyDescent="0.25">
      <c r="B15" s="19" t="s">
        <v>88</v>
      </c>
      <c r="C15" s="101">
        <v>0.33829228028107838</v>
      </c>
      <c r="D15" s="101">
        <v>0.33829228028107838</v>
      </c>
      <c r="E15" s="101">
        <v>0.33829228028107838</v>
      </c>
      <c r="F15" s="101">
        <v>0.33829228028107838</v>
      </c>
    </row>
    <row r="16" spans="1:8" ht="15.75" customHeight="1" x14ac:dyDescent="0.25">
      <c r="B16" s="19" t="s">
        <v>89</v>
      </c>
      <c r="C16" s="101">
        <v>4.0471888956131262E-2</v>
      </c>
      <c r="D16" s="101">
        <v>4.0471888956131262E-2</v>
      </c>
      <c r="E16" s="101">
        <v>4.0471888956131262E-2</v>
      </c>
      <c r="F16" s="101">
        <v>4.0471888956131262E-2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8.6409764688803227E-4</v>
      </c>
      <c r="D18" s="101">
        <v>8.6409764688803227E-4</v>
      </c>
      <c r="E18" s="101">
        <v>8.6409764688803227E-4</v>
      </c>
      <c r="F18" s="101">
        <v>8.6409764688803227E-4</v>
      </c>
    </row>
    <row r="19" spans="1:8" ht="15.75" customHeight="1" x14ac:dyDescent="0.25">
      <c r="B19" s="19" t="s">
        <v>92</v>
      </c>
      <c r="C19" s="101">
        <v>1.100088805803145E-2</v>
      </c>
      <c r="D19" s="101">
        <v>1.100088805803145E-2</v>
      </c>
      <c r="E19" s="101">
        <v>1.100088805803145E-2</v>
      </c>
      <c r="F19" s="101">
        <v>1.100088805803145E-2</v>
      </c>
    </row>
    <row r="20" spans="1:8" ht="15.75" customHeight="1" x14ac:dyDescent="0.25">
      <c r="B20" s="19" t="s">
        <v>93</v>
      </c>
      <c r="C20" s="101">
        <v>3.2865733487814998E-2</v>
      </c>
      <c r="D20" s="101">
        <v>3.2865733487814998E-2</v>
      </c>
      <c r="E20" s="101">
        <v>3.2865733487814998E-2</v>
      </c>
      <c r="F20" s="101">
        <v>3.2865733487814998E-2</v>
      </c>
    </row>
    <row r="21" spans="1:8" ht="15.75" customHeight="1" x14ac:dyDescent="0.25">
      <c r="B21" s="19" t="s">
        <v>94</v>
      </c>
      <c r="C21" s="101">
        <v>0.23867431234891051</v>
      </c>
      <c r="D21" s="101">
        <v>0.23867431234891051</v>
      </c>
      <c r="E21" s="101">
        <v>0.23867431234891051</v>
      </c>
      <c r="F21" s="101">
        <v>0.23867431234891051</v>
      </c>
    </row>
    <row r="22" spans="1:8" ht="15.75" customHeight="1" x14ac:dyDescent="0.25">
      <c r="B22" s="19" t="s">
        <v>95</v>
      </c>
      <c r="C22" s="101">
        <v>0.26218010651496848</v>
      </c>
      <c r="D22" s="101">
        <v>0.26218010651496848</v>
      </c>
      <c r="E22" s="101">
        <v>0.26218010651496848</v>
      </c>
      <c r="F22" s="101">
        <v>0.26218010651496848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3.6445469000000001E-2</v>
      </c>
    </row>
    <row r="27" spans="1:8" ht="15.75" customHeight="1" x14ac:dyDescent="0.25">
      <c r="B27" s="19" t="s">
        <v>102</v>
      </c>
      <c r="C27" s="101">
        <v>2.0200972000000001E-2</v>
      </c>
    </row>
    <row r="28" spans="1:8" ht="15.75" customHeight="1" x14ac:dyDescent="0.25">
      <c r="B28" s="19" t="s">
        <v>103</v>
      </c>
      <c r="C28" s="101">
        <v>0.121636906</v>
      </c>
    </row>
    <row r="29" spans="1:8" ht="15.75" customHeight="1" x14ac:dyDescent="0.25">
      <c r="B29" s="19" t="s">
        <v>104</v>
      </c>
      <c r="C29" s="101">
        <v>0.27379125199999998</v>
      </c>
    </row>
    <row r="30" spans="1:8" ht="15.75" customHeight="1" x14ac:dyDescent="0.25">
      <c r="B30" s="19" t="s">
        <v>2</v>
      </c>
      <c r="C30" s="101">
        <v>4.8980840999999997E-2</v>
      </c>
    </row>
    <row r="31" spans="1:8" ht="15.75" customHeight="1" x14ac:dyDescent="0.25">
      <c r="B31" s="19" t="s">
        <v>105</v>
      </c>
      <c r="C31" s="101">
        <v>9.9634768999999998E-2</v>
      </c>
    </row>
    <row r="32" spans="1:8" ht="15.75" customHeight="1" x14ac:dyDescent="0.25">
      <c r="B32" s="19" t="s">
        <v>106</v>
      </c>
      <c r="C32" s="101">
        <v>4.4642563000000003E-2</v>
      </c>
    </row>
    <row r="33" spans="2:3" ht="15.75" customHeight="1" x14ac:dyDescent="0.25">
      <c r="B33" s="19" t="s">
        <v>107</v>
      </c>
      <c r="C33" s="101">
        <v>9.3728627999999994E-2</v>
      </c>
    </row>
    <row r="34" spans="2:3" ht="15.75" customHeight="1" x14ac:dyDescent="0.25">
      <c r="B34" s="19" t="s">
        <v>108</v>
      </c>
      <c r="C34" s="101">
        <v>0.26093860099999999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QK1ca5O5QZUEGO+GMgysWGkvQRhUMJbwvnIE1OHTgqIrjT4xvSjBfuoifJCbZuEi+iFgHgPW//XmBtRBgxciVg==" saltValue="sMtUO145ADoFixqDupF2b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0.61705174061548995</v>
      </c>
      <c r="D2" s="52">
        <f>IFERROR(1-_xlfn.NORM.DIST(_xlfn.NORM.INV(SUM(D4:D5), 0, 1) + 1, 0, 1, TRUE), "")</f>
        <v>0.61705174061548995</v>
      </c>
      <c r="E2" s="52">
        <f>IFERROR(1-_xlfn.NORM.DIST(_xlfn.NORM.INV(SUM(E4:E5), 0, 1) + 1, 0, 1, TRUE), "")</f>
        <v>0.63192611963028966</v>
      </c>
      <c r="F2" s="52">
        <f>IFERROR(1-_xlfn.NORM.DIST(_xlfn.NORM.INV(SUM(F4:F5), 0, 1) + 1, 0, 1, TRUE), "")</f>
        <v>0.51219827988174838</v>
      </c>
      <c r="G2" s="52">
        <f>IFERROR(1-_xlfn.NORM.DIST(_xlfn.NORM.INV(SUM(G4:G5), 0, 1) + 1, 0, 1, TRUE), "")</f>
        <v>0.55310171614147607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0.28576105938451002</v>
      </c>
      <c r="D3" s="52">
        <f>IFERROR(_xlfn.NORM.DIST(_xlfn.NORM.INV(SUM(D4:D5), 0, 1) + 1, 0, 1, TRUE) - SUM(D4:D5), "")</f>
        <v>0.28576105938451002</v>
      </c>
      <c r="E3" s="52">
        <f>IFERROR(_xlfn.NORM.DIST(_xlfn.NORM.INV(SUM(E4:E5), 0, 1) + 1, 0, 1, TRUE) - SUM(E4:E5), "")</f>
        <v>0.27745588036971025</v>
      </c>
      <c r="F3" s="52">
        <f>IFERROR(_xlfn.NORM.DIST(_xlfn.NORM.INV(SUM(F4:F5), 0, 1) + 1, 0, 1, TRUE) - SUM(F4:F5), "")</f>
        <v>0.33643312011825166</v>
      </c>
      <c r="G3" s="52">
        <f>IFERROR(_xlfn.NORM.DIST(_xlfn.NORM.INV(SUM(G4:G5), 0, 1) + 1, 0, 1, TRUE) - SUM(G4:G5), "")</f>
        <v>0.31839648385852393</v>
      </c>
    </row>
    <row r="4" spans="1:15" ht="15.75" customHeight="1" x14ac:dyDescent="0.25">
      <c r="B4" s="5" t="s">
        <v>114</v>
      </c>
      <c r="C4" s="45">
        <v>6.5141400000000002E-2</v>
      </c>
      <c r="D4" s="53">
        <v>6.5141400000000002E-2</v>
      </c>
      <c r="E4" s="53">
        <v>6.9816200000000009E-2</v>
      </c>
      <c r="F4" s="53">
        <v>0.11459809999999999</v>
      </c>
      <c r="G4" s="53">
        <v>0.1062206</v>
      </c>
    </row>
    <row r="5" spans="1:15" ht="15.75" customHeight="1" x14ac:dyDescent="0.25">
      <c r="B5" s="5" t="s">
        <v>115</v>
      </c>
      <c r="C5" s="45">
        <v>3.2045799999999999E-2</v>
      </c>
      <c r="D5" s="53">
        <v>3.2045799999999999E-2</v>
      </c>
      <c r="E5" s="53">
        <v>2.0801799999999999E-2</v>
      </c>
      <c r="F5" s="53">
        <v>3.6770499999999998E-2</v>
      </c>
      <c r="G5" s="53">
        <v>2.2281200000000001E-2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0.8374242490020587</v>
      </c>
      <c r="D8" s="52">
        <f>IFERROR(1-_xlfn.NORM.DIST(_xlfn.NORM.INV(SUM(D10:D11), 0, 1) + 1, 0, 1, TRUE), "")</f>
        <v>0.8374242490020587</v>
      </c>
      <c r="E8" s="52">
        <f>IFERROR(1-_xlfn.NORM.DIST(_xlfn.NORM.INV(SUM(E10:E11), 0, 1) + 1, 0, 1, TRUE), "")</f>
        <v>0.89593776260339264</v>
      </c>
      <c r="F8" s="52">
        <f>IFERROR(1-_xlfn.NORM.DIST(_xlfn.NORM.INV(SUM(F10:F11), 0, 1) + 1, 0, 1, TRUE), "")</f>
        <v>0.91713100205574305</v>
      </c>
      <c r="G8" s="52">
        <f>IFERROR(1-_xlfn.NORM.DIST(_xlfn.NORM.INV(SUM(G10:G11), 0, 1) + 1, 0, 1, TRUE), "")</f>
        <v>0.92981166123398229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0.13894375099794132</v>
      </c>
      <c r="D9" s="52">
        <f>IFERROR(_xlfn.NORM.DIST(_xlfn.NORM.INV(SUM(D10:D11), 0, 1) + 1, 0, 1, TRUE) - SUM(D10:D11), "")</f>
        <v>0.13894375099794132</v>
      </c>
      <c r="E9" s="52">
        <f>IFERROR(_xlfn.NORM.DIST(_xlfn.NORM.INV(SUM(E10:E11), 0, 1) + 1, 0, 1, TRUE) - SUM(E10:E11), "")</f>
        <v>9.2112437396607377E-2</v>
      </c>
      <c r="F9" s="52">
        <f>IFERROR(_xlfn.NORM.DIST(_xlfn.NORM.INV(SUM(F10:F11), 0, 1) + 1, 0, 1, TRUE) - SUM(F10:F11), "")</f>
        <v>7.4353297944256963E-2</v>
      </c>
      <c r="G9" s="52">
        <f>IFERROR(_xlfn.NORM.DIST(_xlfn.NORM.INV(SUM(G10:G11), 0, 1) + 1, 0, 1, TRUE) - SUM(G10:G11), "")</f>
        <v>6.3515138766017679E-2</v>
      </c>
    </row>
    <row r="10" spans="1:15" ht="15.75" customHeight="1" x14ac:dyDescent="0.25">
      <c r="B10" s="5" t="s">
        <v>119</v>
      </c>
      <c r="C10" s="45">
        <v>1.4621800000000001E-2</v>
      </c>
      <c r="D10" s="53">
        <v>1.4621800000000001E-2</v>
      </c>
      <c r="E10" s="53">
        <v>1.0748499999999999E-2</v>
      </c>
      <c r="F10" s="53">
        <v>7.0501000000000001E-3</v>
      </c>
      <c r="G10" s="53">
        <v>5.8764999999999998E-3</v>
      </c>
    </row>
    <row r="11" spans="1:15" ht="15.75" customHeight="1" x14ac:dyDescent="0.25">
      <c r="B11" s="5" t="s">
        <v>120</v>
      </c>
      <c r="C11" s="45">
        <v>9.0102000000000012E-3</v>
      </c>
      <c r="D11" s="53">
        <v>9.0102000000000012E-3</v>
      </c>
      <c r="E11" s="53">
        <v>1.2013E-3</v>
      </c>
      <c r="F11" s="53">
        <v>1.4656000000000001E-3</v>
      </c>
      <c r="G11" s="53">
        <v>7.9670000000000001E-4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0.33551805200000001</v>
      </c>
      <c r="D14" s="54">
        <v>0.31433103722400002</v>
      </c>
      <c r="E14" s="54">
        <v>0.31433103722400002</v>
      </c>
      <c r="F14" s="54">
        <v>9.9518045944200009E-2</v>
      </c>
      <c r="G14" s="54">
        <v>9.9518045944200009E-2</v>
      </c>
      <c r="H14" s="45">
        <v>0.27200000000000002</v>
      </c>
      <c r="I14" s="55">
        <v>0.27200000000000002</v>
      </c>
      <c r="J14" s="55">
        <v>0.27200000000000002</v>
      </c>
      <c r="K14" s="55">
        <v>0.27200000000000002</v>
      </c>
      <c r="L14" s="45">
        <v>0.20899999999999999</v>
      </c>
      <c r="M14" s="55">
        <v>0.20899999999999999</v>
      </c>
      <c r="N14" s="55">
        <v>0.20899999999999999</v>
      </c>
      <c r="O14" s="55">
        <v>0.20899999999999999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0.18684597694217603</v>
      </c>
      <c r="D15" s="52">
        <f t="shared" si="0"/>
        <v>0.17504718265759894</v>
      </c>
      <c r="E15" s="52">
        <f t="shared" si="0"/>
        <v>0.17504718265759894</v>
      </c>
      <c r="F15" s="52">
        <f t="shared" si="0"/>
        <v>5.5420405569773658E-2</v>
      </c>
      <c r="G15" s="52">
        <f t="shared" si="0"/>
        <v>5.5420405569773658E-2</v>
      </c>
      <c r="H15" s="52">
        <f t="shared" si="0"/>
        <v>0.15147353600000002</v>
      </c>
      <c r="I15" s="52">
        <f t="shared" si="0"/>
        <v>0.15147353600000002</v>
      </c>
      <c r="J15" s="52">
        <f t="shared" si="0"/>
        <v>0.15147353600000002</v>
      </c>
      <c r="K15" s="52">
        <f t="shared" si="0"/>
        <v>0.15147353600000002</v>
      </c>
      <c r="L15" s="52">
        <f t="shared" si="0"/>
        <v>0.116389592</v>
      </c>
      <c r="M15" s="52">
        <f t="shared" si="0"/>
        <v>0.116389592</v>
      </c>
      <c r="N15" s="52">
        <f t="shared" si="0"/>
        <v>0.116389592</v>
      </c>
      <c r="O15" s="52">
        <f t="shared" si="0"/>
        <v>0.116389592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LDUxupoChod+QyL03E34fvS/eaFtaLH4f8O+BBfGkvB3ozhBzqtHTPrWJX5Tdt2vULf9z4uHWOkzK4+mb2gMg==" saltValue="jGqui9EhxowPxqkBGs+h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0.63326949999999993</v>
      </c>
      <c r="D2" s="53">
        <v>0.40198139999999999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7.0307599999999998E-2</v>
      </c>
      <c r="D3" s="53">
        <v>0.10907890000000001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0.26577980000000001</v>
      </c>
      <c r="D4" s="53">
        <v>0.43609550000000002</v>
      </c>
      <c r="E4" s="53">
        <v>0.74256719999999998</v>
      </c>
      <c r="F4" s="53">
        <v>0.4472005</v>
      </c>
      <c r="G4" s="53">
        <v>0</v>
      </c>
    </row>
    <row r="5" spans="1:7" x14ac:dyDescent="0.25">
      <c r="B5" s="3" t="s">
        <v>132</v>
      </c>
      <c r="C5" s="52">
        <v>3.06431E-2</v>
      </c>
      <c r="D5" s="52">
        <v>5.2844200000000001E-2</v>
      </c>
      <c r="E5" s="52">
        <f>1-SUM(E2:E4)</f>
        <v>0.25743280000000002</v>
      </c>
      <c r="F5" s="52">
        <f>1-SUM(F2:F4)</f>
        <v>0.5527995</v>
      </c>
      <c r="G5" s="52">
        <f>1-SUM(G2:G4)</f>
        <v>1</v>
      </c>
    </row>
  </sheetData>
  <sheetProtection algorithmName="SHA-512" hashValue="2ESy24AZcIbCSnpF+est/jd391XkNEOMAhI4P0n3tL4mBRnlCNwOs5R7Ih8UMf42lguql7qyJgV9xC9xG/Ofkw==" saltValue="VgbWbUgfCpdQ9cJ53+bN8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puBUP84BU7ObPNLZY3pA7G8T8zgIto6QDPGbFeNabgsEl+obQJzdSj2J6zQlPx6iKTdv5zGqSO3x6ZjbCVt2ng==" saltValue="sbKYRTMHt1laVAct4Ww4l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dDP482QL+KKlG/MXmbQFHeW093UDozguVY5+HsUycej8eKFOoOGzuZppHph/dhoeQU+C/SqD8m9Vm7P2UsKgVg==" saltValue="bevils5D8fmDYsD00mHGn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KrwF7SmHiYtjuv5Rzlgg7cytYgEjNToleh4ox0SzGw9rME0ZNDVl/RMTwRPHZvr7/hcW+B9+3e0R0pf9lxoDlA==" saltValue="Zmqsb+myPCBnwv27QbeS+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tnMTZJi9x6k0p50lDt8L5kPmQYkyLSLp6aviegsgITpMGHoqjPXZ7iwVHzF33fWf08EGNODKCBJLmjPcQxS8Kg==" saltValue="/Abdq+T6QrBQhuQsB4acF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68.627832027235911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0.57355181091510499</v>
      </c>
      <c r="C3" s="98">
        <v>0.95</v>
      </c>
      <c r="D3" s="56">
        <v>40.117680990539711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580.56053854484037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1.448179166039439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0.80700000000000005</v>
      </c>
      <c r="C10" s="98">
        <v>0.95</v>
      </c>
      <c r="D10" s="56">
        <v>13.249980434335621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0.80700000000000005</v>
      </c>
      <c r="C11" s="98">
        <v>0.95</v>
      </c>
      <c r="D11" s="56">
        <v>13.249980434335621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0.80700000000000005</v>
      </c>
      <c r="C12" s="98">
        <v>0.95</v>
      </c>
      <c r="D12" s="56">
        <v>13.249980434335621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0.80700000000000005</v>
      </c>
      <c r="C13" s="98">
        <v>0.95</v>
      </c>
      <c r="D13" s="56">
        <v>13.249980434335621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0.80700000000000005</v>
      </c>
      <c r="C14" s="98">
        <v>0.95</v>
      </c>
      <c r="D14" s="56">
        <v>13.249980434335621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0.80700000000000005</v>
      </c>
      <c r="C15" s="98">
        <v>0.95</v>
      </c>
      <c r="D15" s="56">
        <v>13.249980434335621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0.97</v>
      </c>
      <c r="C16" s="98">
        <v>0.95</v>
      </c>
      <c r="D16" s="56">
        <v>0.95674623423097094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0.19779928666666699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0.30177714986180698</v>
      </c>
      <c r="C18" s="98">
        <v>0.95</v>
      </c>
      <c r="D18" s="56">
        <v>13.33399039011101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0.94730979999999998</v>
      </c>
      <c r="C19" s="98">
        <v>0.95</v>
      </c>
      <c r="D19" s="56">
        <v>13.33399039011101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0.88614170000000003</v>
      </c>
      <c r="C21" s="98">
        <v>0.95</v>
      </c>
      <c r="D21" s="56">
        <v>15.80934844874062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22.98991880771591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4.4279632813135006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0.94446060819089594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0.80700000000000005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18.81234237281155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0.79293154413380407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137.83733365130871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0.18877550177691579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2.078736971030839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0.61478450000000007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0.54084730000000003</v>
      </c>
      <c r="C38" s="98">
        <v>0.95</v>
      </c>
      <c r="D38" s="56">
        <v>4.5834601320961594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EjSJX2yEY7mbsKYoLbmNK7jU7xs25C2wNSCCKPuXMsOkyA8gEAQk6j1YbYaIQxjueJxYE2iZxHUiDxv+Y6kWig==" saltValue="hJ1eA92+X1xm2AmFg4vH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k+QP1mBgA5Qu+6lIt+8iHdcDswv/pFK45i/BGB0tm6XDhJIW8tNed2p7sMG6M0c5U47FWkCUIb7Xi/2b2Bz/pg==" saltValue="VeH4exY/UjegFirmgoeut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xDKts7R5g786Xp7Q0DVzJQGkqwFQEK+zR+LZYhskbjWfipBHfhjpKFftsM1ukIUFvwJrW6ExznSLYVJRICRU5g==" saltValue="bxTL0BUPSQY6X3JuNlTm4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3.8016680000000004E-2</v>
      </c>
      <c r="C3" s="21">
        <f>frac_mam_1_5months * 2.6</f>
        <v>3.8016680000000004E-2</v>
      </c>
      <c r="D3" s="21">
        <f>frac_mam_6_11months * 2.6</f>
        <v>2.7946099999999998E-2</v>
      </c>
      <c r="E3" s="21">
        <f>frac_mam_12_23months * 2.6</f>
        <v>1.8330260000000001E-2</v>
      </c>
      <c r="F3" s="21">
        <f>frac_mam_24_59months * 2.6</f>
        <v>1.52789E-2</v>
      </c>
    </row>
    <row r="4" spans="1:6" ht="15.75" customHeight="1" x14ac:dyDescent="0.25">
      <c r="A4" s="3" t="s">
        <v>208</v>
      </c>
      <c r="B4" s="21">
        <f>frac_sam_1month * 2.6</f>
        <v>2.3426520000000003E-2</v>
      </c>
      <c r="C4" s="21">
        <f>frac_sam_1_5months * 2.6</f>
        <v>2.3426520000000003E-2</v>
      </c>
      <c r="D4" s="21">
        <f>frac_sam_6_11months * 2.6</f>
        <v>3.1233800000000003E-3</v>
      </c>
      <c r="E4" s="21">
        <f>frac_sam_12_23months * 2.6</f>
        <v>3.8105600000000002E-3</v>
      </c>
      <c r="F4" s="21">
        <f>frac_sam_24_59months * 2.6</f>
        <v>2.07142E-3</v>
      </c>
    </row>
  </sheetData>
  <sheetProtection algorithmName="SHA-512" hashValue="h9bM6Lorw+f1YqblxiSaeeHxF5dU9FgHGTj+fNOaazY1WaNRDmOSPnnZbyDWq2AnsbOivfZfPh7JrO9Mq7NgIQ==" saltValue="oZJkXPPLr0iFE5zD96qr/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4.0999999999999988E-2</v>
      </c>
      <c r="E2" s="60">
        <f>food_insecure</f>
        <v>4.0999999999999988E-2</v>
      </c>
      <c r="F2" s="60">
        <f>food_insecure</f>
        <v>4.0999999999999988E-2</v>
      </c>
      <c r="G2" s="60">
        <f>food_insecure</f>
        <v>4.0999999999999988E-2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4.0999999999999988E-2</v>
      </c>
      <c r="F5" s="60">
        <f>food_insecure</f>
        <v>4.0999999999999988E-2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4.0999999999999988E-2</v>
      </c>
      <c r="F8" s="60">
        <f>food_insecure</f>
        <v>4.0999999999999988E-2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4.0999999999999988E-2</v>
      </c>
      <c r="F9" s="60">
        <f>food_insecure</f>
        <v>4.0999999999999988E-2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4.0999999999999988E-2</v>
      </c>
      <c r="I15" s="60">
        <f>food_insecure</f>
        <v>4.0999999999999988E-2</v>
      </c>
      <c r="J15" s="60">
        <f>food_insecure</f>
        <v>4.0999999999999988E-2</v>
      </c>
      <c r="K15" s="60">
        <f>food_insecure</f>
        <v>4.0999999999999988E-2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0.13500000000000001</v>
      </c>
      <c r="M24" s="60">
        <f>famplan_unmet_need</f>
        <v>0.13500000000000001</v>
      </c>
      <c r="N24" s="60">
        <f>famplan_unmet_need</f>
        <v>0.13500000000000001</v>
      </c>
      <c r="O24" s="60">
        <f>famplan_unmet_need</f>
        <v>0.13500000000000001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9.1794461627960414E-2</v>
      </c>
      <c r="M25" s="60">
        <f>(1-food_insecure)*(0.49)+food_insecure*(0.7)</f>
        <v>0.49861</v>
      </c>
      <c r="N25" s="60">
        <f>(1-food_insecure)*(0.49)+food_insecure*(0.7)</f>
        <v>0.49861</v>
      </c>
      <c r="O25" s="60">
        <f>(1-food_insecure)*(0.49)+food_insecure*(0.7)</f>
        <v>0.49861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3.9340483554840169E-2</v>
      </c>
      <c r="M26" s="60">
        <f>(1-food_insecure)*(0.21)+food_insecure*(0.3)</f>
        <v>0.21368999999999999</v>
      </c>
      <c r="N26" s="60">
        <f>(1-food_insecure)*(0.21)+food_insecure*(0.3)</f>
        <v>0.21368999999999999</v>
      </c>
      <c r="O26" s="60">
        <f>(1-food_insecure)*(0.21)+food_insecure*(0.3)</f>
        <v>0.21368999999999999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5.2965778083801381E-2</v>
      </c>
      <c r="M27" s="60">
        <f>(1-food_insecure)*(0.3)</f>
        <v>0.28769999999999996</v>
      </c>
      <c r="N27" s="60">
        <f>(1-food_insecure)*(0.3)</f>
        <v>0.28769999999999996</v>
      </c>
      <c r="O27" s="60">
        <f>(1-food_insecure)*(0.3)</f>
        <v>0.28769999999999996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0.81589927673339802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aM4S2VHpE7fL85tGZ7mahlCh7y2q8yC7Erzl7i5aJTe31iQcxU6ZO+1GNsz4mB/nXP6vznd54RDjXbang4rIxA==" saltValue="T8MITRHcU8LYbRAFxSvDM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2WVbfi6VY6UfRjslpJx8TWrNDZUixZnjZiYt0OQBi8SbJhEIgTySroroaAybu12u0EcoyKtQFiLmkrKx8fjv2A==" saltValue="I6oMjov3QMYrzUeiTXrfv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GJ6NkdFUYh26uaJObFPucM9vAi9Dbp0hvH13Ql2i17ziGxV8VBcCY9m8Ss+PqoFgcCLPbpQ9XFCAYLUP0Cv+NA==" saltValue="grXUQROQeBZF/9QzQU6U+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0lGmbMgRiF5OnPdDJ4THHHEeepjfhP4IlsNIQaqm66RD2/1ko0DZNZLwgJliLEp5oQTWPSFDPFCIe6VYKOY0A==" saltValue="BsThgCHJ9P8nJMa76KYWZ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KHqvy2G1ehMs2ZM/q2JGr3uY6hJRQZIL5KrbnnOB+nvIFfG6LwR4p8nVHT8CoTd8NBQ//jAGVgzwErM4H8czZA==" saltValue="ILNzB2twS0nLyjOgga6BW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GwNSKZwke0bY80xnItVtH2CfL+S3Y54HIch2BVFMAILB/RvtmXymTdgkgb5HAa2rH+Fe+pie56LVzrNQkoTViQ==" saltValue="0RkL/eqDXvCEv9h6EUh0M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ANpFSRWsQFhE6C3u39mU6CqMlR17Gj02AunVA+UhuiXbx432omq2yL4uq0ivqDvw4RnVfB0PZM4JvHHSpA1PYw==" saltValue="1pLjKRE+bhEsXDO24vfL5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dalh+sIP8G+HbBS1mJUzv+SvFqTwgiIqaiYM5UfAcxGaZNzZFBG9lvUUIVw1on1uY0Q/+GUTmhZJtEUKvd44ug==" saltValue="J9wbw/T1Uoz4mG3o08LH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lNNvSGxAubUFE3KuNzkmJu5RB8XU6Im+hsW4gBNZlkuVm+rV3hjTYexyIRJW8CH4kpawmxs6kUFgOSSqkb9Tfg==" saltValue="yw8LgEF0b3VtMyNeCJ8q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vfzNWHPgI5e8q+OGXWQI8yP/RENsoiz6mpToiVgNx+D9jmSmq76A3rYcp21Tl07YQpwgvIJQtHyP+xBODqgleg==" saltValue="6BVbX/3vEbxqx/DmUZY6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rUZXIJrZUxUNMYn8IAWxtGI7gIuao3xSxiG2ICSJYPGcDi0QUI+LGuTNoVau81yszHgMWNU9tqedrL3MbA+Z6g==" saltValue="BW+kVx+UN7gkedGvYbpO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4PLpizuTbCpE7K8HnmWwToFtd3sKPJQapoclLF4Cng8y7lkIAzs7xPZ2zRCDn6GfFcq4PkcdROdNrFEsVLWWJA==" saltValue="TIZU32ZcWdDKsMimpw0h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4oXr69CE65OonfwsuvqijTys0NHSHkvyWmV8Zu1/ex3H3sU12ebAhLJ31SxRkhDNcTZ9t5qwQuHawdu1BVd9Q==" saltValue="4RkfUKd2iVrgU+PAuqnNK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2+RuvQJ2Lso/6hFTSN8imGGc5BzpbjYPBHO2/hKJ5Ou1mfbpcV/5Am/Ru1XtS9ihkJi1fAj8o71s6P9KV1fCOA==" saltValue="gLgRz+iNr2iGA+uA/vbt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vjtIHs5DSIj7VUFrkcD+BL6aZMYjdTVHJBptUgU+J4+gxZhGYsY5UgdmkK34QK3j46naRxL1GS5z45zj5/A6Wg==" saltValue="5Y7VfrPLITz/bd6vh5zXH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2024-05-17T00:20:19Z</dcterms:modified>
</cp:coreProperties>
</file>