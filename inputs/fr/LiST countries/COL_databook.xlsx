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fr\LiST countries\"/>
    </mc:Choice>
  </mc:AlternateContent>
  <xr:revisionPtr revIDLastSave="0" documentId="8_{BD4858FF-233C-4A65-B190-7CA3CCAF3072}" xr6:coauthVersionLast="47" xr6:coauthVersionMax="47" xr10:uidLastSave="{00000000-0000-0000-0000-000000000000}"/>
  <bookViews>
    <workbookView xWindow="-110" yWindow="-110" windowWidth="19420" windowHeight="1042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59" i="27"/>
  <c r="G159" i="27"/>
  <c r="F159" i="27"/>
  <c r="E159" i="27"/>
  <c r="D159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G158" i="27" s="1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H13" i="2"/>
  <c r="G13" i="2"/>
  <c r="I13" i="2" s="1"/>
  <c r="H12" i="2"/>
  <c r="G12" i="2"/>
  <c r="H11" i="2"/>
  <c r="G11" i="2"/>
  <c r="I11" i="2" s="1"/>
  <c r="H10" i="2"/>
  <c r="G10" i="2"/>
  <c r="H9" i="2"/>
  <c r="G9" i="2"/>
  <c r="I9" i="2" s="1"/>
  <c r="H8" i="2"/>
  <c r="G8" i="2"/>
  <c r="H7" i="2"/>
  <c r="G7" i="2"/>
  <c r="I7" i="2" s="1"/>
  <c r="H6" i="2"/>
  <c r="G6" i="2"/>
  <c r="H5" i="2"/>
  <c r="G5" i="2"/>
  <c r="H4" i="2"/>
  <c r="G4" i="2"/>
  <c r="H3" i="2"/>
  <c r="G3" i="2"/>
  <c r="I3" i="2" s="1"/>
  <c r="H2" i="2"/>
  <c r="G2" i="2"/>
  <c r="A2" i="2"/>
  <c r="A39" i="2" s="1"/>
  <c r="C33" i="1"/>
  <c r="C20" i="1"/>
  <c r="A23" i="2" l="1"/>
  <c r="A22" i="2"/>
  <c r="A25" i="2"/>
  <c r="A31" i="2"/>
  <c r="I4" i="2"/>
  <c r="I8" i="2"/>
  <c r="I12" i="2"/>
  <c r="A36" i="2"/>
  <c r="A37" i="2"/>
  <c r="A26" i="2"/>
  <c r="I39" i="2"/>
  <c r="A34" i="2"/>
  <c r="A40" i="2"/>
  <c r="I2" i="2"/>
  <c r="I6" i="2"/>
  <c r="A19" i="2"/>
  <c r="A35" i="2"/>
  <c r="A24" i="2"/>
  <c r="I38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6BB5D3EA-EB2C-4557-A77A-BC3B31DE5A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8276B184-5391-46AC-9017-CD45ED68E7E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70662288-9B2B-4D49-A059-B389A408D88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5F99FF59-4E44-4847-82EE-D42B7418AA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F6C9465E-FBDE-45D1-8394-CD6F9C9C252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8724D448-9507-4D14-BCA7-F21B3CAF1BD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1D086CE7-3639-4C5A-8FD3-DB935503731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1EDBAC82-3035-4B47-8DB4-6C9605D373F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F889FFDD-F5D3-428F-97C9-3FA317F4DEE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178C61B9-10CF-475E-AE2A-1148BD15950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D1ADD6AA-00B3-496F-889D-6AD9E8EC726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D8A7821F-2C8B-4B9F-B2CF-783B6F1D6ACB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30A88894-D578-48EA-8642-A1FBFF69A3C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1FC0B5F8-9FC2-4095-AEC3-321F62EB13E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37243D6-BCDE-4F6B-AFCC-3F94A0DD5E02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DE335ADC-5DD3-496C-A5AC-AAE47036457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2912EBE3-D556-42B6-96D5-24EC21E6156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4CB9182B-79CD-4596-8295-56AF4E3846AB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80F6289A-949B-4FAE-AC85-22980BCEA4F4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96FCBC9B-E5EC-46B8-8DF3-3E8D35EE350D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93171B53-CE10-41E2-9E96-E27147D4D778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5FE03E37-E69F-43F4-B94E-7BBC3063A87D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626B60BA-B78A-4BE5-ACC0-D15C014DDDE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A6D7FDB2-70C1-4A3F-AE05-E1F583DAC91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73FE6ADA-DBBD-4E18-9E0A-7E9F1B65F4F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36DC02C6-7D52-483D-9E4D-A62E1832D1E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3A418ECB-CB98-4DAE-914F-181BDF7ED56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F54E6507-D7CB-4F8D-8BA0-8C678AC8848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51D136EC-624C-44D3-B5B3-53EE7A4C79F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0358037B-23C7-469B-B136-BD3C312D371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83DD7CE2-EBA6-4C72-A5A2-1E7961104F3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D00C0728-6CE5-4232-9E9D-03298AA7E83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DE005C0A-2F8A-418C-851E-64B2B8CFE1F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E55324F7-370C-4385-ADBA-E8B0EBEB4BE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F53439F8-F18B-45A1-B265-14A4B9BFCA4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D3552897-BBD5-4175-B68A-A3F1E4A6E75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CC47941B-D047-44AD-8609-225A3A1207C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0CBE3706-3924-4509-A583-88069D4C21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A5F6F3D3-D70F-4D04-A795-6D6BF5E3498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DD598447-A738-4E83-BE84-12132D14A7E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AAC1265A-FBA5-4B61-B6FD-C1ADAB02C01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CB5BEA38-52BE-4279-8999-876D134092D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EC82E46-7238-472F-8156-89C286EC0CC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9AD99541-38BF-452C-BBDF-30A63672B13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9F2485E2-4FB1-40DF-95BC-EF307614F38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5A344499-6486-4E45-BC00-E472735A7CB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031BB5AD-8138-4687-BD78-7EBC20A9866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184A5B5A-1F15-44FE-898C-B90309E01D8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8ED585B4-389F-460E-8916-C9CBE4D87E3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AD24A257-1231-432A-9AC2-49A1BBCFE8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A07ED250-D084-453F-8461-66EC0C10E1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9059BCA8-1FD3-4E64-86A7-3061E1F307E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7052734F-4036-424E-8991-EAD18C6FC7C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9211745A-0C8C-4E89-B62F-2D6F1D5B7D0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5423B35A-FBAB-43E1-A574-44F7790EAEA1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9923839E-0345-401E-8DBE-0D84F514E4A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BA7FE3E3-08B4-4F16-B01F-05A523005C56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6D26BBC2-8403-47E0-89A8-CCA5B5E2A63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4063B8B9-975B-4060-938A-48F03FAEF41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50660BAB-9FCC-42B5-9F93-0DBB8CA8989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C6A07F78-8D75-479F-926E-474BA841B23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FA86AF70-4991-447A-BCAA-1000A44BF25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FD47D524-CA3E-4654-B95C-882313C71EE4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50D10EC-94B3-4790-8891-B0A27313C3E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E54F70F0-DBA3-4F25-90EB-D1DFD3641E6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7363AFB-2A43-477F-8EB8-CC2F7E3ECEA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1109C22-04ED-4FDB-949C-C34810AB2E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72F3E256-254B-4FFC-9E01-1752BCF475A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E057EF81-59F3-42CB-9D3F-907D9301906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DF457454-4973-4207-9E3D-7D50D7830FD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0A31E4B1-743B-4208-AE2B-4146BBD81A93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BA5122FC-4C8D-49F0-9902-8C88B2457CA4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EB775666-1A82-4D30-A432-4C033A1A7AED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98BB8C6D-B30B-4DB6-8B35-7D8DCE93E79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75544419-0995-4A7F-98E3-CBE19D6471D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866B3636-D1B7-40EE-A9B3-22FD1891C34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3C5743BD-EFCC-4AF2-B330-6FDF8775A9D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07C4191C-0E34-4B64-AAF8-A7F551741AB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419B2D75-98C1-46B5-842D-118FC911FF0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A1CD6A7F-EF69-49BD-84EA-F060EB2411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D5825461-688C-438C-8542-BD85D579FDC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AF7C92B2-AC28-43C3-9C19-D68E37FF28F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700142E9-6A7D-415A-8AA2-F2A8B6A7555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7D67AB3C-983B-47D0-9AFF-DA097636CBA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38FC6B21-5384-4027-AE29-F2FF12011A2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EB3D123B-E86C-4173-B872-21E04127707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5BAFDF7-3C0B-454A-B8DD-17A5272728F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BB84B4E6-6EBF-43F8-A27F-ABACD68A728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BFD18A89-7D4A-4FA5-8D9C-46BDFC49F7B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1ABF9016-F3C2-48B1-BD46-AD89F4003AC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6A6E8E29-2989-40FF-B168-55803883F0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48DA76B4-3665-4A45-819A-BFEEFF70E5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B80ED8C6-87BC-498B-8629-005BCCE79F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B5F2ED77-4534-4005-9653-3943813A8B2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76285A74-606B-4904-9089-8C072E19A1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63134AD8-900C-4178-BB9D-773F5A2AEB3B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4550204-DAD5-4F24-9613-4B653BB1BEF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8EB04C99-52A7-4C56-9738-8833ED4CF79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1E087D6A-9C87-4366-B106-9662D0E9F5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9524A10F-3B35-4B50-9361-07DEAF9EC66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00995C78-B5BF-45A5-8F02-B4D6CB8053C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614B807-4445-457C-8B76-0D078F08776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4A9ECB14-4CB2-41BF-A402-F7A28029EC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B642BE55-802D-4C94-B750-1AEA253BACA7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CE9B9D72-3B1C-4412-9D79-6D0874D60CEE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AB5427B8-7880-46F7-8737-0E11C545B3E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7DADC3D7-B312-4F80-917D-FD030194B70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932DAA3-B84B-48A0-A350-BB68775D78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75AFBBA3-C0BF-47C9-96C1-E2BCE0A5518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44B4DAC8-1128-45E5-B99C-C84974BBEE0A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BFC250B8-BAEB-445C-954D-7BE97AABDF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AEC7DAF2-9B1C-4CBB-B735-E9AB7A0CFD0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5757C298-3224-4FCB-AE44-57AE2804657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32018E11-B6CC-4CB9-AD83-CDEAB15CB02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548CA939-8049-4A22-8DCF-97B43275D4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B79D2BBE-1689-4CA2-9F3C-27F21A0969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521B8842-9FA3-4AE6-9999-7E38BD5734E2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745C521C-CEC3-4590-B658-F244E03502B3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48501DF5-33AD-4137-BF61-A1ACEF3712BB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52DA180B-0E50-41F0-B433-76D057FD32AA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1827DF80-3E7F-4FAE-B545-321A48A20B7F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428ADF28-94CB-45A6-B512-653753D79D4A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E327363C-87BF-426D-8031-8E5B15B868F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0FC0F10D-E16C-4929-8C9C-BBCE7D585B2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83AA2241-D1A0-473B-BB01-4502DE008F6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AB840D19-E9DC-41E5-8B1A-28772D27BB6F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28DA7237-5B4A-4888-B612-1517D8E4181A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24B15358-0318-4650-A1D9-ACBF45D6BD8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3CCBD856-2028-4562-873C-EF798B7CEB0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515C103F-DDC3-40D5-AA24-3704C957FBD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2B07245A-D9DE-402F-8C94-59F9204780A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B09F6ACE-9930-4B23-AC49-D976E3AF6D2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08D07A70-B0BF-4318-BF4F-F0DBC6170F8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76EC0005-9898-4CC7-A802-EC15F25448F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E5FFA232-5153-4095-946B-DFA45A9FBF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AFCCFA07-E0EB-45D3-B7C0-5148157926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C392BCAD-8C69-4A4C-87EF-377772EECC2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E3317A10-0BE4-48FF-9352-A01B5BA3FEE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67EC6033-7BEB-4400-84EE-0A8533A907F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E94FC89C-5249-427A-BE28-D6BFC2F8175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AA56A34D-E716-48F4-B898-FA37D2EF7D4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90492BA0-E368-47BA-98D1-DF7E39D86EF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9CD81021-C7F5-4F80-9E36-5A372FBC35B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49DF1121-32A1-4036-AEE8-BCAAA6147B0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9499DF21-B57E-420A-A749-CC9BF2D4D7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4524A951-07DC-487B-A233-43D4EAAEC70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889D9E25-29F0-4C18-931F-58D4600ECBE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678FE956-BF94-4DA4-81E3-20DDE72682D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CE9DBC0-F411-450C-ADE5-6FE43AB5134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F2C8AB55-E76F-4187-99C2-69AB2BD9809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D025E63E-9D67-4225-8627-D53B10AA6DB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E220EC8B-3A48-4133-BD12-15E3EB9F00B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74D29CD4-44A4-4706-B0D2-5EBDC4B70B6C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<sst xmlns="http://schemas.openxmlformats.org/spreadsheetml/2006/main" count="2169" uniqueCount="369">
  <si>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</si>
  <si>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</si>
  <si>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</si>
  <si>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</si>
  <si>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</si>
  <si>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</si>
  <si>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</si>
  <si>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</si>
  <si>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</si>
  <si>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</si>
  <si>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</si>
  <si>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</si>
  <si>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</si>
  <si>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</si>
  <si>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</si>
  <si>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</si>
  <si>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</si>
  <si>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</si>
  <si>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</si>
  <si>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</si>
  <si>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</si>
  <si>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</si>
  <si>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</si>
  <si>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</si>
  <si>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</si>
  <si>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</si>
  <si>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</si>
  <si>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</si>
  <si>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</si>
  <si>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</si>
  <si>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</si>
  <si>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</si>
  <si>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</si>
  <si>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</si>
  <si>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</si>
  <si>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</si>
  <si>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</si>
  <si>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</si>
  <si>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</si>
  <si>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</si>
  <si>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</si>
  <si>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</si>
  <si>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</si>
  <si>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</si>
  <si>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</si>
  <si>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</si>
  <si>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</si>
  <si>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</si>
  <si>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</si>
  <si>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</si>
  <si>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</si>
  <si>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</si>
  <si>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</si>
  <si>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</si>
  <si>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</si>
  <si>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</si>
  <si>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</si>
  <si>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</si>
  <si>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</si>
  <si>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</si>
  <si>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</si>
  <si>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</si>
  <si>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</si>
  <si>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</si>
  <si>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</si>
  <si>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</si>
  <si>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</si>
  <si>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</si>
  <si>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</si>
  <si>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</si>
  <si>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</si>
  <si>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</si>
  <si>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</si>
  <si>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</si>
  <si>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</si>
  <si>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</si>
  <si>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</si>
  <si>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</si>
  <si>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</si>
  <si>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</si>
  <si>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</si>
  <si>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</si>
  <si>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</si>
  <si>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</si>
  <si>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</si>
  <si>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</si>
  <si>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</si>
  <si>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</si>
  <si>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</si>
  <si>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</si>
  <si>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</si>
  <si>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</si>
  <si>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</si>
  <si>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</si>
  <si>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</si>
  <si>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</si>
  <si>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</si>
  <si>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</si>
  <si>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</si>
  <si>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</si>
  <si>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</si>
  <si>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</si>
  <si>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</si>
  <si>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</si>
  <si>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</si>
  <si>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</si>
  <si>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</si>
  <si>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</si>
  <si>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</si>
  <si>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</si>
  <si>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</si>
  <si>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</si>
  <si>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</si>
  <si>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</si>
  <si>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</si>
  <si>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</si>
  <si>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</si>
  <si>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</si>
  <si>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</si>
  <si>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</si>
  <si>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</si>
  <si>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</si>
  <si>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</si>
  <si>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</si>
  <si>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</si>
  <si>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</si>
  <si>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</si>
  <si>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</si>
  <si>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</si>
  <si>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</si>
  <si>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</si>
  <si>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</si>
  <si>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</si>
  <si>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</si>
  <si>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</si>
  <si>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</si>
  <si>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</si>
  <si>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</si>
  <si>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</si>
  <si>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</si>
  <si>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</si>
  <si>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</si>
  <si>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</si>
  <si>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</si>
  <si>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</si>
  <si>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</si>
  <si>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</si>
  <si>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</si>
  <si>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</si>
  <si>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</si>
  <si>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</si>
  <si>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</si>
  <si>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</si>
  <si>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</si>
  <si>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</si>
  <si>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</si>
  <si>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</si>
  <si>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</si>
  <si>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</si>
  <si>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</si>
  <si>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</si>
  <si>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</si>
  <si>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</si>
  <si>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</si>
  <si>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</si>
  <si>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</si>
  <si>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</si>
  <si>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</si>
  <si>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</si>
  <si>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</si>
  <si>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</si>
  <si>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</si>
  <si>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</si>
  <si>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</si>
  <si>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</si>
  <si>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</si>
  <si>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</si>
  <si>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</si>
  <si>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</si>
  <si>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</si>
  <si>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</si>
  <si>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</si>
  <si>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</si>
  <si>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</si>
  <si>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</si>
  <si>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</si>
  <si>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</si>
  <si>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</si>
  <si>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</si>
  <si>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</si>
  <si>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</si>
  <si>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</si>
  <si>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</si>
  <si>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</si>
  <si>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</si>
  <si>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</si>
  <si>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</si>
  <si>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</si>
  <si>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</si>
  <si>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</si>
  <si>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</si>
  <si>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</si>
  <si>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</si>
  <si>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</si>
  <si>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</si>
  <si>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</si>
  <si>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</si>
  <si>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</si>
  <si>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</si>
  <si>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</si>
  <si>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</si>
  <si>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</si>
  <si>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</si>
  <si>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</si>
  <si>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</si>
  <si>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</si>
  <si>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</si>
  <si>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</si>
  <si>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</si>
  <si>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</si>
  <si>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</si>
  <si>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</si>
  <si>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</si>
  <si>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</si>
  <si>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</si>
  <si>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</si>
  <si>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</si>
  <si>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</si>
  <si>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</si>
  <si>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</si>
  <si>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</si>
  <si>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</si>
  <si>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</si>
  <si>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</si>
  <si>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</si>
  <si>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</si>
  <si>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</si>
  <si>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</si>
  <si>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</si>
  <si>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</si>
  <si>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</si>
  <si>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</si>
  <si>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</si>
  <si>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</si>
  <si>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</si>
  <si>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</si>
  <si>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</si>
  <si>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</si>
  <si>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</si>
  <si>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</si>
  <si>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</si>
  <si>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</si>
  <si>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</si>
  <si>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</si>
  <si>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</si>
  <si>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</si>
  <si>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</si>
  <si>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</si>
  <si>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</si>
  <si>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</si>
  <si>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</si>
  <si>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</si>
  <si>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</si>
  <si>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</si>
  <si>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</si>
  <si>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</si>
  <si>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</si>
  <si>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</si>
  <si>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</si>
  <si>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</si>
  <si>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</si>
  <si>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</si>
  <si>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</si>
  <si>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</si>
  <si>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</si>
  <si>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</si>
  <si>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</si>
  <si>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</si>
  <si>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</si>
  <si>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</si>
  <si>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</si>
  <si>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</si>
  <si>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</si>
  <si>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</si>
  <si>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</si>
  <si>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</si>
  <si>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</si>
  <si>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</si>
  <si>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</si>
  <si>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</si>
  <si>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</si>
  <si>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</si>
  <si>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</si>
  <si>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</si>
  <si>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</si>
  <si>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</si>
  <si>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</si>
  <si>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</si>
  <si>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</si>
  <si>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</si>
  <si>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</si>
  <si>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</si>
  <si>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</si>
  <si>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</si>
  <si>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</si>
  <si>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</si>
  <si>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</si>
  <si>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</si>
  <si>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</si>
  <si>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</si>
  <si>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</si>
  <si>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</si>
  <si>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</si>
  <si>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</si>
  <si>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</si>
  <si>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</si>
  <si>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</si>
  <si>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</si>
  <si>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</si>
  <si>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</si>
  <si>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</si>
  <si>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</si>
  <si>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</si>
  <si>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</si>
  <si>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</si>
  <si>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</si>
  <si>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</si>
  <si>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</si>
  <si>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</si>
  <si>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</si>
  <si>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</si>
  <si>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</si>
  <si>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</si>
  <si>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</si>
  <si>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</si>
  <si>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</si>
  <si>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</si>
  <si>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</si>
  <si>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</si>
  <si>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</si>
  <si>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</si>
  <si>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</si>
  <si>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</si>
  <si>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</si>
  <si>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</si>
  <si>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</si>
  <si>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</si>
  <si>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</si>
  <si>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</si>
  <si>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</si>
  <si>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</si>
  <si>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</si>
  <si>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</si>
  <si>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</si>
  <si>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</si>
  <si>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</si>
  <si>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</si>
  <si>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</si>
  <si>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</si>
  <si>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</si>
  <si>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</si>
  <si>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</si>
  <si>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</si>
  <si>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</si>
  <si>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</si>
  <si>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</si>
  <si>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</si>
  <si>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</si>
  <si>
    <t>Toutes les causes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</si>
</sst>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3535711.5</v>
      </c>
    </row>
    <row r="8" spans="1:3" ht="15" customHeight="1" x14ac:dyDescent="0.25">
      <c r="B8" s="5" t="s">
        <v>37</v>
      </c>
      <c r="C8" s="44">
        <v>4.0999999999999988E-2</v>
      </c>
    </row>
    <row r="9" spans="1:3" ht="15" customHeight="1" x14ac:dyDescent="0.25">
      <c r="B9" s="5" t="s">
        <v>38</v>
      </c>
      <c r="C9" s="45">
        <v>0.01</v>
      </c>
    </row>
    <row r="10" spans="1:3" ht="15" customHeight="1" x14ac:dyDescent="0.25">
      <c r="B10" s="5" t="s">
        <v>39</v>
      </c>
      <c r="C10" s="45">
        <v>0.81589927673339802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0.13500000000000001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0.14069999999999999</v>
      </c>
    </row>
    <row r="24" spans="1:3" ht="15" customHeight="1" x14ac:dyDescent="0.25">
      <c r="B24" s="15" t="s">
        <v>51</v>
      </c>
      <c r="C24" s="45">
        <v>0.54339999999999999</v>
      </c>
    </row>
    <row r="25" spans="1:3" ht="15" customHeight="1" x14ac:dyDescent="0.25">
      <c r="B25" s="15" t="s">
        <v>52</v>
      </c>
      <c r="C25" s="45">
        <v>0.26979999999999998</v>
      </c>
    </row>
    <row r="26" spans="1:3" ht="15" customHeight="1" x14ac:dyDescent="0.25">
      <c r="B26" s="15" t="s">
        <v>53</v>
      </c>
      <c r="C26" s="45">
        <v>4.6100000000000002E-2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0.43013027417118699</v>
      </c>
    </row>
    <row r="30" spans="1:3" ht="14.25" customHeight="1" x14ac:dyDescent="0.25">
      <c r="B30" s="25" t="s">
        <v>56</v>
      </c>
      <c r="C30" s="97">
        <v>3.6306215717705301E-2</v>
      </c>
    </row>
    <row r="31" spans="1:3" ht="14.25" customHeight="1" x14ac:dyDescent="0.25">
      <c r="B31" s="25" t="s">
        <v>57</v>
      </c>
      <c r="C31" s="97">
        <v>5.3639561550891501E-2</v>
      </c>
    </row>
    <row r="32" spans="1:3" ht="14.25" customHeight="1" x14ac:dyDescent="0.25">
      <c r="B32" s="25" t="s">
        <v>58</v>
      </c>
      <c r="C32" s="97">
        <v>0.47992394856021697</v>
      </c>
    </row>
    <row r="33" spans="1:5" ht="13.25" customHeight="1" x14ac:dyDescent="0.25">
      <c r="B33" s="27" t="s">
        <v>59</v>
      </c>
      <c r="C33" s="48">
        <f>SUM(C29:C32)</f>
        <v>1.0000000000000007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6.9927799999999998</v>
      </c>
    </row>
    <row r="38" spans="1:5" ht="15" customHeight="1" x14ac:dyDescent="0.25">
      <c r="B38" s="11" t="s">
        <v>63</v>
      </c>
      <c r="C38" s="43">
        <v>11.05827</v>
      </c>
      <c r="D38" s="12"/>
      <c r="E38" s="13"/>
    </row>
    <row r="39" spans="1:5" ht="15" customHeight="1" x14ac:dyDescent="0.25">
      <c r="B39" s="11" t="s">
        <v>64</v>
      </c>
      <c r="C39" s="43">
        <v>12.84816</v>
      </c>
      <c r="D39" s="12"/>
      <c r="E39" s="12"/>
    </row>
    <row r="40" spans="1:5" ht="15" customHeight="1" x14ac:dyDescent="0.25">
      <c r="B40" s="11" t="s">
        <v>65</v>
      </c>
      <c r="C40" s="98">
        <v>0.75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7.1447500000000002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7.6820999999999999E-3</v>
      </c>
      <c r="D45" s="12"/>
    </row>
    <row r="46" spans="1:5" ht="15.75" customHeight="1" x14ac:dyDescent="0.25">
      <c r="B46" s="11" t="s">
        <v>70</v>
      </c>
      <c r="C46" s="45">
        <v>8.2543399999999989E-2</v>
      </c>
      <c r="D46" s="12"/>
    </row>
    <row r="47" spans="1:5" ht="15.75" customHeight="1" x14ac:dyDescent="0.25">
      <c r="B47" s="11" t="s">
        <v>71</v>
      </c>
      <c r="C47" s="45">
        <v>7.3695200000000002E-2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98">
        <v>3.2</v>
      </c>
      <c r="D51" s="12"/>
    </row>
    <row r="52" spans="1:4" ht="15" customHeight="1" x14ac:dyDescent="0.25">
      <c r="B52" s="11" t="s">
        <v>75</v>
      </c>
      <c r="C52" s="98">
        <v>3.2</v>
      </c>
    </row>
    <row r="53" spans="1:4" ht="15.75" customHeight="1" x14ac:dyDescent="0.25">
      <c r="B53" s="11" t="s">
        <v>76</v>
      </c>
      <c r="C53" s="98">
        <v>3.2</v>
      </c>
    </row>
    <row r="54" spans="1:4" ht="15.75" customHeight="1" x14ac:dyDescent="0.25">
      <c r="B54" s="11" t="s">
        <v>77</v>
      </c>
      <c r="C54" s="98">
        <v>3.2</v>
      </c>
    </row>
    <row r="55" spans="1:4" ht="15.75" customHeight="1" x14ac:dyDescent="0.25">
      <c r="B55" s="11" t="s">
        <v>78</v>
      </c>
      <c r="C55" s="98">
        <v>3.2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1.9375E-2</v>
      </c>
    </row>
    <row r="59" spans="1:4" ht="15.75" customHeight="1" x14ac:dyDescent="0.25">
      <c r="B59" s="11" t="s">
        <v>81</v>
      </c>
      <c r="C59" s="45">
        <v>0.55688800000000005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9.9555930999999903E-2</v>
      </c>
    </row>
    <row r="63" spans="1:4" ht="15.75" customHeight="1" x14ac:dyDescent="0.3">
      <c r="A63" s="4"/>
    </row>
  </sheetData>
  <sheetProtection algorithmName="SHA-512" hashValue="3Gq0JAzLNyXqMcFkJydWIGQ48e4IDuuJcNgrXNTO+mZe+RZFEaSODBqNBvIgIoQ10kBPFxcvLcol/qW/M0mwyQ==" saltValue="JtflzsnKcJMKNfmiUfoiM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700784</v>
      </c>
      <c r="C2" s="49">
        <v>1948399</v>
      </c>
      <c r="D2" s="49">
        <v>4445415.4999999991</v>
      </c>
      <c r="E2" s="49">
        <v>4277973</v>
      </c>
      <c r="F2" s="49">
        <v>3588210.5</v>
      </c>
      <c r="G2" s="17">
        <f t="shared" ref="G2:G13" si="0">C2+D2+E2+F2</f>
        <v>14259998</v>
      </c>
      <c r="H2" s="17">
        <f t="shared" ref="H2:H13" si="1">(B2 + stillbirth*B2/(1000-stillbirth))/(1-abortion)</f>
        <v>802076.08767285512</v>
      </c>
      <c r="I2" s="17">
        <f t="shared" ref="I2:I13" si="2">G2-H2</f>
        <v>13457921.912327144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692792</v>
      </c>
      <c r="C3" s="50">
        <v>1918232.5</v>
      </c>
      <c r="D3" s="50">
        <v>4405021.0000000009</v>
      </c>
      <c r="E3" s="50">
        <v>4360050.4999999991</v>
      </c>
      <c r="F3" s="50">
        <v>3657191</v>
      </c>
      <c r="G3" s="17">
        <f t="shared" si="0"/>
        <v>14340495</v>
      </c>
      <c r="H3" s="17">
        <f t="shared" si="1"/>
        <v>792928.91523073113</v>
      </c>
      <c r="I3" s="17">
        <f t="shared" si="2"/>
        <v>13547566.084769269</v>
      </c>
    </row>
    <row r="4" spans="1:9" ht="15.75" customHeight="1" x14ac:dyDescent="0.25">
      <c r="A4" s="5">
        <f t="shared" si="3"/>
        <v>2026</v>
      </c>
      <c r="B4" s="49">
        <v>684798</v>
      </c>
      <c r="C4" s="50">
        <v>1887995</v>
      </c>
      <c r="D4" s="50">
        <v>4356732.5</v>
      </c>
      <c r="E4" s="50">
        <v>4432068.5</v>
      </c>
      <c r="F4" s="50">
        <v>3723419.5</v>
      </c>
      <c r="G4" s="17">
        <f t="shared" si="0"/>
        <v>14400215.5</v>
      </c>
      <c r="H4" s="17">
        <f t="shared" si="1"/>
        <v>783779.45370641432</v>
      </c>
      <c r="I4" s="17">
        <f t="shared" si="2"/>
        <v>13616436.046293586</v>
      </c>
    </row>
    <row r="5" spans="1:9" ht="15.75" customHeight="1" x14ac:dyDescent="0.25">
      <c r="A5" s="5">
        <f t="shared" si="3"/>
        <v>2027</v>
      </c>
      <c r="B5" s="49">
        <v>677447</v>
      </c>
      <c r="C5" s="50">
        <v>1858870.5</v>
      </c>
      <c r="D5" s="50">
        <v>4301379</v>
      </c>
      <c r="E5" s="50">
        <v>4495246.9999999991</v>
      </c>
      <c r="F5" s="50">
        <v>3789044.5</v>
      </c>
      <c r="G5" s="17">
        <f t="shared" si="0"/>
        <v>14444541</v>
      </c>
      <c r="H5" s="17">
        <f t="shared" si="1"/>
        <v>775365.93210705824</v>
      </c>
      <c r="I5" s="17">
        <f t="shared" si="2"/>
        <v>13669175.067892943</v>
      </c>
    </row>
    <row r="6" spans="1:9" ht="15.75" customHeight="1" x14ac:dyDescent="0.25">
      <c r="A6" s="5">
        <f t="shared" si="3"/>
        <v>2028</v>
      </c>
      <c r="B6" s="49">
        <v>671111</v>
      </c>
      <c r="C6" s="50">
        <v>1830871</v>
      </c>
      <c r="D6" s="50">
        <v>4239128.5</v>
      </c>
      <c r="E6" s="50">
        <v>4551946</v>
      </c>
      <c r="F6" s="50">
        <v>3856606</v>
      </c>
      <c r="G6" s="17">
        <f t="shared" si="0"/>
        <v>14478551.5</v>
      </c>
      <c r="H6" s="17">
        <f t="shared" si="1"/>
        <v>768114.11972050951</v>
      </c>
      <c r="I6" s="17">
        <f t="shared" si="2"/>
        <v>13710437.380279491</v>
      </c>
    </row>
    <row r="7" spans="1:9" ht="15.75" customHeight="1" x14ac:dyDescent="0.25">
      <c r="A7" s="5">
        <f t="shared" si="3"/>
        <v>2029</v>
      </c>
      <c r="B7" s="49">
        <v>664211</v>
      </c>
      <c r="C7" s="50">
        <v>1804726.5</v>
      </c>
      <c r="D7" s="50">
        <v>4173611.5</v>
      </c>
      <c r="E7" s="50">
        <v>4595625</v>
      </c>
      <c r="F7" s="50">
        <v>3926865.5</v>
      </c>
      <c r="G7" s="17">
        <f t="shared" si="0"/>
        <v>14500828.5</v>
      </c>
      <c r="H7" s="17">
        <f t="shared" si="1"/>
        <v>760216.78615561267</v>
      </c>
      <c r="I7" s="17">
        <f t="shared" si="2"/>
        <v>13740611.713844387</v>
      </c>
    </row>
    <row r="8" spans="1:9" ht="15.75" customHeight="1" x14ac:dyDescent="0.25">
      <c r="A8" s="5">
        <f t="shared" si="3"/>
        <v>2030</v>
      </c>
      <c r="B8" s="49">
        <v>656778</v>
      </c>
      <c r="C8" s="50">
        <v>1783022.5</v>
      </c>
      <c r="D8" s="50">
        <v>4105526.5</v>
      </c>
      <c r="E8" s="50">
        <v>4621189</v>
      </c>
      <c r="F8" s="50">
        <v>3998145.0000000005</v>
      </c>
      <c r="G8" s="17">
        <f t="shared" si="0"/>
        <v>14507883</v>
      </c>
      <c r="H8" s="17">
        <f t="shared" si="1"/>
        <v>751709.41218635486</v>
      </c>
      <c r="I8" s="17">
        <f t="shared" si="2"/>
        <v>13756173.587813646</v>
      </c>
    </row>
    <row r="9" spans="1:9" ht="15.75" customHeight="1" x14ac:dyDescent="0.25">
      <c r="A9" s="5">
        <f t="shared" si="3"/>
        <v>2031</v>
      </c>
      <c r="B9" s="49">
        <v>649285</v>
      </c>
      <c r="C9" s="50">
        <v>1764848</v>
      </c>
      <c r="D9" s="50">
        <v>4033734.0000000005</v>
      </c>
      <c r="E9" s="50">
        <v>4628873.5</v>
      </c>
      <c r="F9" s="50">
        <v>4070007</v>
      </c>
      <c r="G9" s="17">
        <f t="shared" si="0"/>
        <v>14497462.5</v>
      </c>
      <c r="H9" s="17">
        <f t="shared" si="1"/>
        <v>743133.36575131526</v>
      </c>
      <c r="I9" s="17">
        <f t="shared" si="2"/>
        <v>13754329.134248685</v>
      </c>
    </row>
    <row r="10" spans="1:9" ht="15.75" customHeight="1" x14ac:dyDescent="0.25">
      <c r="A10" s="5">
        <f t="shared" si="3"/>
        <v>2032</v>
      </c>
      <c r="B10" s="49">
        <v>641703</v>
      </c>
      <c r="C10" s="50">
        <v>1750589.5</v>
      </c>
      <c r="D10" s="50">
        <v>3961364.5</v>
      </c>
      <c r="E10" s="50">
        <v>4619783.5</v>
      </c>
      <c r="F10" s="50">
        <v>4142868.0000000005</v>
      </c>
      <c r="G10" s="17">
        <f t="shared" si="0"/>
        <v>14474605.5</v>
      </c>
      <c r="H10" s="17">
        <f t="shared" si="1"/>
        <v>734455.45515869965</v>
      </c>
      <c r="I10" s="17">
        <f t="shared" si="2"/>
        <v>13740150.044841301</v>
      </c>
    </row>
    <row r="11" spans="1:9" ht="15.75" customHeight="1" x14ac:dyDescent="0.25">
      <c r="A11" s="5">
        <f t="shared" si="3"/>
        <v>2033</v>
      </c>
      <c r="B11" s="49">
        <v>634613</v>
      </c>
      <c r="C11" s="50">
        <v>1743083</v>
      </c>
      <c r="D11" s="50">
        <v>3891280.5</v>
      </c>
      <c r="E11" s="50">
        <v>4594761</v>
      </c>
      <c r="F11" s="50">
        <v>4218761</v>
      </c>
      <c r="G11" s="17">
        <f t="shared" si="0"/>
        <v>14447885.5</v>
      </c>
      <c r="H11" s="17">
        <f t="shared" si="1"/>
        <v>726340.65878549404</v>
      </c>
      <c r="I11" s="17">
        <f t="shared" si="2"/>
        <v>13721544.841214506</v>
      </c>
    </row>
    <row r="12" spans="1:9" ht="15.75" customHeight="1" x14ac:dyDescent="0.25">
      <c r="A12" s="5">
        <f t="shared" si="3"/>
        <v>2034</v>
      </c>
      <c r="B12" s="49">
        <v>627450</v>
      </c>
      <c r="C12" s="50">
        <v>1742728.5</v>
      </c>
      <c r="D12" s="50">
        <v>3826209.5</v>
      </c>
      <c r="E12" s="50">
        <v>4554651.5</v>
      </c>
      <c r="F12" s="50">
        <v>4297891.5</v>
      </c>
      <c r="G12" s="17">
        <f t="shared" si="0"/>
        <v>14421481</v>
      </c>
      <c r="H12" s="17">
        <f t="shared" si="1"/>
        <v>718142.31091225403</v>
      </c>
      <c r="I12" s="17">
        <f t="shared" si="2"/>
        <v>13703338.689087747</v>
      </c>
    </row>
    <row r="13" spans="1:9" ht="15.75" customHeight="1" x14ac:dyDescent="0.25">
      <c r="A13" s="5">
        <f t="shared" si="3"/>
        <v>2035</v>
      </c>
      <c r="B13" s="49">
        <v>619700</v>
      </c>
      <c r="C13" s="50">
        <v>1748604.5</v>
      </c>
      <c r="D13" s="50">
        <v>3767119</v>
      </c>
      <c r="E13" s="50">
        <v>4503207.5</v>
      </c>
      <c r="F13" s="50">
        <v>4374228.4999999991</v>
      </c>
      <c r="G13" s="17">
        <f t="shared" si="0"/>
        <v>14393159.5</v>
      </c>
      <c r="H13" s="17">
        <f t="shared" si="1"/>
        <v>709272.11741544958</v>
      </c>
      <c r="I13" s="17">
        <f t="shared" si="2"/>
        <v>13683887.382584549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I3xYULO278ALzn4gblHWeSw2RbfCs28MWCN6WMd7q8O63GMghxuXwhTm6yTG8TlZ6OUomBRxIC1RuBzIF/mvjQ==" saltValue="4x78HAIFvRuUZGJNbOxdb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0</v>
      </c>
    </row>
    <row r="4" spans="1:8" ht="15.75" customHeight="1" x14ac:dyDescent="0.25">
      <c r="B4" s="19" t="s">
        <v>97</v>
      </c>
      <c r="C4" s="99">
        <v>0.14711110000000011</v>
      </c>
    </row>
    <row r="5" spans="1:8" ht="15.75" customHeight="1" x14ac:dyDescent="0.25">
      <c r="B5" s="19" t="s">
        <v>98</v>
      </c>
      <c r="C5" s="99">
        <v>4.0477800000000022E-2</v>
      </c>
    </row>
    <row r="6" spans="1:8" ht="15.75" customHeight="1" x14ac:dyDescent="0.25">
      <c r="B6" s="19" t="s">
        <v>99</v>
      </c>
      <c r="C6" s="99">
        <v>9.7223000000000004E-2</v>
      </c>
    </row>
    <row r="7" spans="1:8" ht="15.75" customHeight="1" x14ac:dyDescent="0.25">
      <c r="B7" s="19" t="s">
        <v>100</v>
      </c>
      <c r="C7" s="99">
        <v>0.32530749999999958</v>
      </c>
    </row>
    <row r="8" spans="1:8" ht="15.75" customHeight="1" x14ac:dyDescent="0.25">
      <c r="B8" s="19" t="s">
        <v>101</v>
      </c>
      <c r="C8" s="99">
        <v>0</v>
      </c>
    </row>
    <row r="9" spans="1:8" ht="15.75" customHeight="1" x14ac:dyDescent="0.25">
      <c r="B9" s="19" t="s">
        <v>102</v>
      </c>
      <c r="C9" s="99">
        <v>0.27405230000000008</v>
      </c>
    </row>
    <row r="10" spans="1:8" ht="15.75" customHeight="1" x14ac:dyDescent="0.25">
      <c r="B10" s="19" t="s">
        <v>103</v>
      </c>
      <c r="C10" s="99">
        <v>0.1158283</v>
      </c>
    </row>
    <row r="11" spans="1:8" ht="15.75" customHeight="1" x14ac:dyDescent="0.25">
      <c r="B11" s="27" t="s">
        <v>59</v>
      </c>
      <c r="C11" s="48">
        <f>SUM(C3:C10)</f>
        <v>0.99999999999999978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0" t="s">
        <v>114</v>
      </c>
      <c r="D13" s="100" t="s">
        <v>115</v>
      </c>
      <c r="E13" s="100" t="s">
        <v>116</v>
      </c>
      <c r="F13" s="100" t="s">
        <v>117</v>
      </c>
      <c r="G13" s="19"/>
    </row>
    <row r="14" spans="1:8" ht="15.75" customHeight="1" x14ac:dyDescent="0.25">
      <c r="B14" s="19" t="s">
        <v>105</v>
      </c>
      <c r="C14" s="55">
        <v>7.5650692706176817E-2</v>
      </c>
      <c r="D14" s="55">
        <v>7.5650692706176817E-2</v>
      </c>
      <c r="E14" s="55">
        <v>7.5650692706176817E-2</v>
      </c>
      <c r="F14" s="55">
        <v>7.5650692706176817E-2</v>
      </c>
    </row>
    <row r="15" spans="1:8" ht="15.75" customHeight="1" x14ac:dyDescent="0.25">
      <c r="B15" s="19" t="s">
        <v>106</v>
      </c>
      <c r="C15" s="99">
        <v>0.33829228028107838</v>
      </c>
      <c r="D15" s="99">
        <v>0.33829228028107838</v>
      </c>
      <c r="E15" s="99">
        <v>0.33829228028107838</v>
      </c>
      <c r="F15" s="99">
        <v>0.33829228028107838</v>
      </c>
    </row>
    <row r="16" spans="1:8" ht="15.75" customHeight="1" x14ac:dyDescent="0.25">
      <c r="B16" s="19" t="s">
        <v>107</v>
      </c>
      <c r="C16" s="99">
        <v>4.0471888956131262E-2</v>
      </c>
      <c r="D16" s="99">
        <v>4.0471888956131262E-2</v>
      </c>
      <c r="E16" s="99">
        <v>4.0471888956131262E-2</v>
      </c>
      <c r="F16" s="99">
        <v>4.0471888956131262E-2</v>
      </c>
    </row>
    <row r="17" spans="1:8" ht="15.75" customHeight="1" x14ac:dyDescent="0.25">
      <c r="B17" s="19" t="s">
        <v>108</v>
      </c>
      <c r="C17" s="99">
        <v>0</v>
      </c>
      <c r="D17" s="99">
        <v>0</v>
      </c>
      <c r="E17" s="99">
        <v>0</v>
      </c>
      <c r="F17" s="99">
        <v>0</v>
      </c>
    </row>
    <row r="18" spans="1:8" ht="15.75" customHeight="1" x14ac:dyDescent="0.25">
      <c r="B18" s="19" t="s">
        <v>109</v>
      </c>
      <c r="C18" s="99">
        <v>8.6409764688803227E-4</v>
      </c>
      <c r="D18" s="99">
        <v>8.6409764688803227E-4</v>
      </c>
      <c r="E18" s="99">
        <v>8.6409764688803227E-4</v>
      </c>
      <c r="F18" s="99">
        <v>8.6409764688803227E-4</v>
      </c>
    </row>
    <row r="19" spans="1:8" ht="15.75" customHeight="1" x14ac:dyDescent="0.25">
      <c r="B19" s="19" t="s">
        <v>110</v>
      </c>
      <c r="C19" s="99">
        <v>1.100088805803145E-2</v>
      </c>
      <c r="D19" s="99">
        <v>1.100088805803145E-2</v>
      </c>
      <c r="E19" s="99">
        <v>1.100088805803145E-2</v>
      </c>
      <c r="F19" s="99">
        <v>1.100088805803145E-2</v>
      </c>
    </row>
    <row r="20" spans="1:8" ht="15.75" customHeight="1" x14ac:dyDescent="0.25">
      <c r="B20" s="19" t="s">
        <v>111</v>
      </c>
      <c r="C20" s="99">
        <v>3.2865733487814998E-2</v>
      </c>
      <c r="D20" s="99">
        <v>3.2865733487814998E-2</v>
      </c>
      <c r="E20" s="99">
        <v>3.2865733487814998E-2</v>
      </c>
      <c r="F20" s="99">
        <v>3.2865733487814998E-2</v>
      </c>
    </row>
    <row r="21" spans="1:8" ht="15.75" customHeight="1" x14ac:dyDescent="0.25">
      <c r="B21" s="19" t="s">
        <v>112</v>
      </c>
      <c r="C21" s="99">
        <v>0.23867431234891051</v>
      </c>
      <c r="D21" s="99">
        <v>0.23867431234891051</v>
      </c>
      <c r="E21" s="99">
        <v>0.23867431234891051</v>
      </c>
      <c r="F21" s="99">
        <v>0.23867431234891051</v>
      </c>
    </row>
    <row r="22" spans="1:8" ht="15.75" customHeight="1" x14ac:dyDescent="0.25">
      <c r="B22" s="19" t="s">
        <v>113</v>
      </c>
      <c r="C22" s="99">
        <v>0.26218010651496848</v>
      </c>
      <c r="D22" s="99">
        <v>0.26218010651496848</v>
      </c>
      <c r="E22" s="99">
        <v>0.26218010651496848</v>
      </c>
      <c r="F22" s="99">
        <v>0.26218010651496848</v>
      </c>
    </row>
    <row r="23" spans="1:8" ht="15.75" customHeight="1" x14ac:dyDescent="0.25">
      <c r="B23" s="27" t="s">
        <v>59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3.6445469000000001E-2</v>
      </c>
    </row>
    <row r="27" spans="1:8" ht="15.75" customHeight="1" x14ac:dyDescent="0.25">
      <c r="B27" s="19" t="s">
        <v>120</v>
      </c>
      <c r="C27" s="99">
        <v>2.0200972000000001E-2</v>
      </c>
    </row>
    <row r="28" spans="1:8" ht="15.75" customHeight="1" x14ac:dyDescent="0.25">
      <c r="B28" s="19" t="s">
        <v>121</v>
      </c>
      <c r="C28" s="99">
        <v>0.121636906</v>
      </c>
    </row>
    <row r="29" spans="1:8" ht="15.75" customHeight="1" x14ac:dyDescent="0.25">
      <c r="B29" s="19" t="s">
        <v>122</v>
      </c>
      <c r="C29" s="99">
        <v>0.27379125199999998</v>
      </c>
    </row>
    <row r="30" spans="1:8" ht="15.75" customHeight="1" x14ac:dyDescent="0.25">
      <c r="B30" s="19" t="s">
        <v>2</v>
      </c>
      <c r="C30" s="99">
        <v>4.8980840999999997E-2</v>
      </c>
    </row>
    <row r="31" spans="1:8" ht="15.75" customHeight="1" x14ac:dyDescent="0.25">
      <c r="B31" s="19" t="s">
        <v>123</v>
      </c>
      <c r="C31" s="99">
        <v>9.9634768999999998E-2</v>
      </c>
    </row>
    <row r="32" spans="1:8" ht="15.75" customHeight="1" x14ac:dyDescent="0.25">
      <c r="B32" s="19" t="s">
        <v>124</v>
      </c>
      <c r="C32" s="99">
        <v>4.4642563000000003E-2</v>
      </c>
    </row>
    <row r="33" spans="2:3" ht="15.75" customHeight="1" x14ac:dyDescent="0.25">
      <c r="B33" s="19" t="s">
        <v>125</v>
      </c>
      <c r="C33" s="99">
        <v>9.3728627999999994E-2</v>
      </c>
    </row>
    <row r="34" spans="2:3" ht="15.75" customHeight="1" x14ac:dyDescent="0.25">
      <c r="B34" s="19" t="s">
        <v>126</v>
      </c>
      <c r="C34" s="99">
        <v>0.26093860099999999</v>
      </c>
    </row>
    <row r="35" spans="2:3" ht="15.75" customHeight="1" x14ac:dyDescent="0.25">
      <c r="B35" s="27" t="s">
        <v>59</v>
      </c>
      <c r="C35" s="48">
        <f>SUM(C26:C34)</f>
        <v>1.0000000010000001</v>
      </c>
    </row>
  </sheetData>
  <sheetProtection algorithmName="SHA-512" hashValue="4zi1VRzUW8UdYq6xTJRh+9SCTNpIb2QiEuSJzYGWHYW4OIj/OzCVbY29PaW48ktnpYBZpVqI1JiwvMWgjwy5fg==" saltValue="WpC9L5Cce1Uu1Y4Ba/JiTA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0.61705174061548995</v>
      </c>
      <c r="D2" s="52">
        <f>IFERROR(1-_xlfn.NORM.DIST(_xlfn.NORM.INV(SUM(D4:D5), 0, 1) + 1, 0, 1, TRUE), "")</f>
        <v>0.61705174061548995</v>
      </c>
      <c r="E2" s="52">
        <f>IFERROR(1-_xlfn.NORM.DIST(_xlfn.NORM.INV(SUM(E4:E5), 0, 1) + 1, 0, 1, TRUE), "")</f>
        <v>0.63192611963028966</v>
      </c>
      <c r="F2" s="52">
        <f>IFERROR(1-_xlfn.NORM.DIST(_xlfn.NORM.INV(SUM(F4:F5), 0, 1) + 1, 0, 1, TRUE), "")</f>
        <v>0.51219827988174838</v>
      </c>
      <c r="G2" s="52">
        <f>IFERROR(1-_xlfn.NORM.DIST(_xlfn.NORM.INV(SUM(G4:G5), 0, 1) + 1, 0, 1, TRUE), "")</f>
        <v>0.55310171614147607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0.28576105938451002</v>
      </c>
      <c r="D3" s="52">
        <f>IFERROR(_xlfn.NORM.DIST(_xlfn.NORM.INV(SUM(D4:D5), 0, 1) + 1, 0, 1, TRUE) - SUM(D4:D5), "")</f>
        <v>0.28576105938451002</v>
      </c>
      <c r="E3" s="52">
        <f>IFERROR(_xlfn.NORM.DIST(_xlfn.NORM.INV(SUM(E4:E5), 0, 1) + 1, 0, 1, TRUE) - SUM(E4:E5), "")</f>
        <v>0.27745588036971025</v>
      </c>
      <c r="F3" s="52">
        <f>IFERROR(_xlfn.NORM.DIST(_xlfn.NORM.INV(SUM(F4:F5), 0, 1) + 1, 0, 1, TRUE) - SUM(F4:F5), "")</f>
        <v>0.33643312011825166</v>
      </c>
      <c r="G3" s="52">
        <f>IFERROR(_xlfn.NORM.DIST(_xlfn.NORM.INV(SUM(G4:G5), 0, 1) + 1, 0, 1, TRUE) - SUM(G4:G5), "")</f>
        <v>0.31839648385852393</v>
      </c>
    </row>
    <row r="4" spans="1:15" ht="15.75" customHeight="1" x14ac:dyDescent="0.25">
      <c r="B4" s="5" t="s">
        <v>132</v>
      </c>
      <c r="C4" s="45">
        <v>6.5141400000000002E-2</v>
      </c>
      <c r="D4" s="53">
        <v>6.5141400000000002E-2</v>
      </c>
      <c r="E4" s="53">
        <v>6.9816200000000009E-2</v>
      </c>
      <c r="F4" s="53">
        <v>0.11459809999999999</v>
      </c>
      <c r="G4" s="53">
        <v>0.1062206</v>
      </c>
    </row>
    <row r="5" spans="1:15" ht="15.75" customHeight="1" x14ac:dyDescent="0.25">
      <c r="B5" s="5" t="s">
        <v>133</v>
      </c>
      <c r="C5" s="45">
        <v>3.2045799999999999E-2</v>
      </c>
      <c r="D5" s="53">
        <v>3.2045799999999999E-2</v>
      </c>
      <c r="E5" s="53">
        <v>2.0801799999999999E-2</v>
      </c>
      <c r="F5" s="53">
        <v>3.6770499999999998E-2</v>
      </c>
      <c r="G5" s="53">
        <v>2.2281200000000001E-2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0.8374242490020587</v>
      </c>
      <c r="D8" s="52">
        <f>IFERROR(1-_xlfn.NORM.DIST(_xlfn.NORM.INV(SUM(D10:D11), 0, 1) + 1, 0, 1, TRUE), "")</f>
        <v>0.8374242490020587</v>
      </c>
      <c r="E8" s="52">
        <f>IFERROR(1-_xlfn.NORM.DIST(_xlfn.NORM.INV(SUM(E10:E11), 0, 1) + 1, 0, 1, TRUE), "")</f>
        <v>0.89593776260339264</v>
      </c>
      <c r="F8" s="52">
        <f>IFERROR(1-_xlfn.NORM.DIST(_xlfn.NORM.INV(SUM(F10:F11), 0, 1) + 1, 0, 1, TRUE), "")</f>
        <v>0.91713100205574305</v>
      </c>
      <c r="G8" s="52">
        <f>IFERROR(1-_xlfn.NORM.DIST(_xlfn.NORM.INV(SUM(G10:G11), 0, 1) + 1, 0, 1, TRUE), "")</f>
        <v>0.92981166123398229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0.13894375099794132</v>
      </c>
      <c r="D9" s="52">
        <f>IFERROR(_xlfn.NORM.DIST(_xlfn.NORM.INV(SUM(D10:D11), 0, 1) + 1, 0, 1, TRUE) - SUM(D10:D11), "")</f>
        <v>0.13894375099794132</v>
      </c>
      <c r="E9" s="52">
        <f>IFERROR(_xlfn.NORM.DIST(_xlfn.NORM.INV(SUM(E10:E11), 0, 1) + 1, 0, 1, TRUE) - SUM(E10:E11), "")</f>
        <v>9.2112437396607377E-2</v>
      </c>
      <c r="F9" s="52">
        <f>IFERROR(_xlfn.NORM.DIST(_xlfn.NORM.INV(SUM(F10:F11), 0, 1) + 1, 0, 1, TRUE) - SUM(F10:F11), "")</f>
        <v>7.4353297944256963E-2</v>
      </c>
      <c r="G9" s="52">
        <f>IFERROR(_xlfn.NORM.DIST(_xlfn.NORM.INV(SUM(G10:G11), 0, 1) + 1, 0, 1, TRUE) - SUM(G10:G11), "")</f>
        <v>6.3515138766017679E-2</v>
      </c>
    </row>
    <row r="10" spans="1:15" ht="15.75" customHeight="1" x14ac:dyDescent="0.25">
      <c r="B10" s="5" t="s">
        <v>137</v>
      </c>
      <c r="C10" s="45">
        <v>1.4621800000000001E-2</v>
      </c>
      <c r="D10" s="53">
        <v>1.4621800000000001E-2</v>
      </c>
      <c r="E10" s="53">
        <v>1.0748499999999999E-2</v>
      </c>
      <c r="F10" s="53">
        <v>7.0501000000000001E-3</v>
      </c>
      <c r="G10" s="53">
        <v>5.8764999999999998E-3</v>
      </c>
    </row>
    <row r="11" spans="1:15" ht="15.75" customHeight="1" x14ac:dyDescent="0.25">
      <c r="B11" s="5" t="s">
        <v>138</v>
      </c>
      <c r="C11" s="45">
        <v>9.0102000000000012E-3</v>
      </c>
      <c r="D11" s="53">
        <v>9.0102000000000012E-3</v>
      </c>
      <c r="E11" s="53">
        <v>1.2013E-3</v>
      </c>
      <c r="F11" s="53">
        <v>1.4656000000000001E-3</v>
      </c>
      <c r="G11" s="53">
        <v>7.9670000000000001E-4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0.33551805200000001</v>
      </c>
      <c r="D14" s="54">
        <v>0.31433103722400002</v>
      </c>
      <c r="E14" s="54">
        <v>0.31433103722400002</v>
      </c>
      <c r="F14" s="54">
        <v>9.9518045944200009E-2</v>
      </c>
      <c r="G14" s="54">
        <v>9.9518045944200009E-2</v>
      </c>
      <c r="H14" s="45">
        <v>0.27200000000000002</v>
      </c>
      <c r="I14" s="55">
        <v>0.27200000000000002</v>
      </c>
      <c r="J14" s="55">
        <v>0.27200000000000002</v>
      </c>
      <c r="K14" s="55">
        <v>0.27200000000000002</v>
      </c>
      <c r="L14" s="45">
        <v>0.20899999999999999</v>
      </c>
      <c r="M14" s="55">
        <v>0.20899999999999999</v>
      </c>
      <c r="N14" s="55">
        <v>0.20899999999999999</v>
      </c>
      <c r="O14" s="55">
        <v>0.20899999999999999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0.18684597694217603</v>
      </c>
      <c r="D15" s="52">
        <f t="shared" si="0"/>
        <v>0.17504718265759894</v>
      </c>
      <c r="E15" s="52">
        <f t="shared" si="0"/>
        <v>0.17504718265759894</v>
      </c>
      <c r="F15" s="52">
        <f t="shared" si="0"/>
        <v>5.5420405569773658E-2</v>
      </c>
      <c r="G15" s="52">
        <f t="shared" si="0"/>
        <v>5.5420405569773658E-2</v>
      </c>
      <c r="H15" s="52">
        <f t="shared" si="0"/>
        <v>0.15147353600000002</v>
      </c>
      <c r="I15" s="52">
        <f t="shared" si="0"/>
        <v>0.15147353600000002</v>
      </c>
      <c r="J15" s="52">
        <f t="shared" si="0"/>
        <v>0.15147353600000002</v>
      </c>
      <c r="K15" s="52">
        <f t="shared" si="0"/>
        <v>0.15147353600000002</v>
      </c>
      <c r="L15" s="52">
        <f t="shared" si="0"/>
        <v>0.116389592</v>
      </c>
      <c r="M15" s="52">
        <f t="shared" si="0"/>
        <v>0.116389592</v>
      </c>
      <c r="N15" s="52">
        <f t="shared" si="0"/>
        <v>0.116389592</v>
      </c>
      <c r="O15" s="52">
        <f t="shared" si="0"/>
        <v>0.116389592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bLJL8IFRZm8Na6+AdFNtRAeijt1A8oDcTX/pf6EL9B+BZLMgQTz49HZFv4yE2DWsrwb1HifwlVL9rfhTxfVYTQ==" saltValue="GKqS/zjhU+3qJBQA+TxaY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0.63326949999999993</v>
      </c>
      <c r="D2" s="53">
        <v>0.40198139999999999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7.0307599999999998E-2</v>
      </c>
      <c r="D3" s="53">
        <v>0.10907890000000001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0.26577980000000001</v>
      </c>
      <c r="D4" s="53">
        <v>0.43609550000000002</v>
      </c>
      <c r="E4" s="53">
        <v>0.74256719999999998</v>
      </c>
      <c r="F4" s="53">
        <v>0.4472005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3.0643100000000034E-2</v>
      </c>
      <c r="D5" s="52">
        <f t="shared" si="0"/>
        <v>5.2844200000000008E-2</v>
      </c>
      <c r="E5" s="52">
        <f>1-SUM(E2:E4)</f>
        <v>0.25743280000000002</v>
      </c>
      <c r="F5" s="52">
        <f>1-SUM(F2:F4)</f>
        <v>0.5527995</v>
      </c>
      <c r="G5" s="52">
        <f>1-SUM(G2:G4)</f>
        <v>1</v>
      </c>
    </row>
  </sheetData>
  <sheetProtection algorithmName="SHA-512" hashValue="ETPGHXgOALFjFpyhIdaOjifUt+MV6atW3R83bPXsHva1MgnXmg2POM532vFT0Mn8/nql7Xv5Atversp/XNFzjQ==" saltValue="LHD4gCtnPYYMps6kV1ySQ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7r3qHcHbig+pvLYWXnEo06aFl1kqBTRC7Rj3DT9XUW//O/rj9H48uswofdyox+NP3pIqC+jne93sGjDETyjQYQ==" saltValue="GWP525AHPuaVM8Y8RLAIz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12</v>
      </c>
      <c r="B1" s="103" t="s">
        <v>13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163</v>
      </c>
      <c r="B2" s="107">
        <v>6624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162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173</v>
      </c>
      <c r="B4" s="108">
        <v>0.54654999999999998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164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165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168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167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169</v>
      </c>
      <c r="B9" s="108">
        <v>0.56340000000000001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166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174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175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176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177</v>
      </c>
      <c r="B14" s="110">
        <v>1.6795589644483393E-2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170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171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172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178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14</v>
      </c>
      <c r="B21" s="106" t="s">
        <v>15</v>
      </c>
      <c r="C21" s="106" t="s">
        <v>16</v>
      </c>
      <c r="D21" s="106" t="s">
        <v>17</v>
      </c>
      <c r="E21" s="106" t="s">
        <v>18</v>
      </c>
      <c r="F21" s="106" t="s">
        <v>19</v>
      </c>
      <c r="G21" s="106" t="s">
        <v>20</v>
      </c>
      <c r="H21" s="106" t="s">
        <v>21</v>
      </c>
      <c r="I21" s="106" t="s">
        <v>22</v>
      </c>
      <c r="J21" s="106" t="s">
        <v>23</v>
      </c>
      <c r="K21" s="106" t="s">
        <v>24</v>
      </c>
      <c r="L21" s="106" t="s">
        <v>25</v>
      </c>
      <c r="M21" s="106" t="s">
        <v>26</v>
      </c>
      <c r="N21" s="106" t="s">
        <v>27</v>
      </c>
      <c r="O21" s="106" t="s">
        <v>28</v>
      </c>
    </row>
    <row r="22" spans="1:15" x14ac:dyDescent="0.25">
      <c r="A22" s="106" t="s">
        <v>179</v>
      </c>
      <c r="B22" s="107">
        <v>98681.224740000005</v>
      </c>
      <c r="C22" s="107">
        <v>98573.172439999995</v>
      </c>
      <c r="D22" s="107">
        <v>98436.281579999995</v>
      </c>
      <c r="E22" s="107">
        <v>98004.155710000006</v>
      </c>
      <c r="F22" s="107">
        <v>97399.07677</v>
      </c>
      <c r="G22" s="107">
        <v>96815.067899999995</v>
      </c>
      <c r="H22" s="107">
        <v>96181.43389</v>
      </c>
      <c r="I22" s="107">
        <v>95525.14215</v>
      </c>
      <c r="J22" s="107">
        <v>94746.592069999999</v>
      </c>
      <c r="K22" s="107">
        <v>93749.380539999998</v>
      </c>
      <c r="L22" s="107">
        <v>92317.887409999996</v>
      </c>
      <c r="M22" s="107">
        <v>90021.152300000002</v>
      </c>
      <c r="N22" s="107">
        <v>86622.256840000002</v>
      </c>
      <c r="O22" s="107">
        <v>81789.838159999999</v>
      </c>
    </row>
  </sheetData>
  <sheetProtection algorithmName="SHA-512" hashValue="Fyf7P2J00LT2PPtIEAsdRnA3rG48vHlIWQyUp3ej4ov3hTVY2M/1ga4dkwtG80PM+OER44ChGE7aThxHY7tBbg==" saltValue="Y3ZqtxPOIgoCG4MeiuF8c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kCsqwCVwZX+/V4qzJ5hWsmAsjfwW7m5UCxm8cWI2VfcqpjU9kZDT5Lt03U0Cdk1JwWsenbEJwDKPkU7g17uFEQ==" saltValue="7zuaS45uCn4/EIl9qCm43g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6j583JF/QbCTmk5fuliJsTxOEKZCszYFXIHXByXKY/ect8gdixr+efGGYXV/mNtN06DY+wH/4JNOWm4c16N+Aw==" saltValue="5Yqn5AdUt036ja92C2sKz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6">
        <v>0.95</v>
      </c>
      <c r="D2" s="56">
        <v>19.75</v>
      </c>
      <c r="E2" s="56" t="s">
        <v>230</v>
      </c>
      <c r="F2" s="96">
        <v>1</v>
      </c>
      <c r="G2" s="96">
        <v>1</v>
      </c>
    </row>
    <row r="3" spans="1:7" ht="15.75" customHeight="1" x14ac:dyDescent="0.25">
      <c r="A3" s="5" t="s">
        <v>198</v>
      </c>
      <c r="B3" s="45">
        <v>0</v>
      </c>
      <c r="C3" s="96">
        <v>0.95</v>
      </c>
      <c r="D3" s="56">
        <v>19.75</v>
      </c>
      <c r="E3" s="56" t="s">
        <v>230</v>
      </c>
      <c r="F3" s="96">
        <v>1</v>
      </c>
      <c r="G3" s="96">
        <v>1</v>
      </c>
    </row>
    <row r="4" spans="1:7" ht="15.75" customHeight="1" x14ac:dyDescent="0.25">
      <c r="A4" s="5" t="s">
        <v>199</v>
      </c>
      <c r="B4" s="96">
        <v>0</v>
      </c>
      <c r="C4" s="96">
        <v>0.95</v>
      </c>
      <c r="D4" s="56">
        <v>21.195</v>
      </c>
      <c r="E4" s="56" t="s">
        <v>230</v>
      </c>
      <c r="F4" s="96">
        <v>1</v>
      </c>
      <c r="G4" s="96">
        <v>1</v>
      </c>
    </row>
    <row r="5" spans="1:7" ht="15.75" customHeight="1" x14ac:dyDescent="0.25">
      <c r="A5" s="5" t="s">
        <v>200</v>
      </c>
      <c r="B5" s="96">
        <v>0</v>
      </c>
      <c r="C5" s="96">
        <v>0.95</v>
      </c>
      <c r="D5" s="56">
        <v>0.48</v>
      </c>
      <c r="E5" s="56" t="s">
        <v>230</v>
      </c>
      <c r="F5" s="96">
        <v>1</v>
      </c>
      <c r="G5" s="96">
        <v>1</v>
      </c>
    </row>
    <row r="6" spans="1:7" ht="15.75" customHeight="1" x14ac:dyDescent="0.25">
      <c r="A6" s="5" t="s">
        <v>201</v>
      </c>
      <c r="B6" s="96">
        <v>0</v>
      </c>
      <c r="C6" s="96">
        <v>0.95</v>
      </c>
      <c r="D6" s="56">
        <v>99.99</v>
      </c>
      <c r="E6" s="56" t="s">
        <v>230</v>
      </c>
      <c r="F6" s="96">
        <v>1</v>
      </c>
      <c r="G6" s="96">
        <v>1</v>
      </c>
    </row>
    <row r="7" spans="1:7" ht="15.75" customHeight="1" x14ac:dyDescent="0.25">
      <c r="A7" s="5" t="s">
        <v>202</v>
      </c>
      <c r="B7" s="96">
        <v>0</v>
      </c>
      <c r="C7" s="96">
        <v>0.95</v>
      </c>
      <c r="D7" s="56">
        <v>0.19</v>
      </c>
      <c r="E7" s="56" t="s">
        <v>230</v>
      </c>
      <c r="F7" s="96">
        <v>1</v>
      </c>
      <c r="G7" s="96">
        <v>1</v>
      </c>
    </row>
    <row r="8" spans="1:7" ht="15.75" customHeight="1" x14ac:dyDescent="0.25">
      <c r="A8" s="5" t="s">
        <v>203</v>
      </c>
      <c r="B8" s="96">
        <v>0</v>
      </c>
      <c r="C8" s="96">
        <v>0.95</v>
      </c>
      <c r="D8" s="56">
        <v>0.79</v>
      </c>
      <c r="E8" s="56" t="s">
        <v>230</v>
      </c>
      <c r="F8" s="96">
        <v>1</v>
      </c>
      <c r="G8" s="96">
        <v>1</v>
      </c>
    </row>
    <row r="9" spans="1:7" ht="15.75" customHeight="1" x14ac:dyDescent="0.25">
      <c r="A9" s="5" t="s">
        <v>204</v>
      </c>
      <c r="B9" s="96">
        <v>0.5</v>
      </c>
      <c r="C9" s="96">
        <v>0.95</v>
      </c>
      <c r="D9" s="56">
        <v>0.32855565777368906</v>
      </c>
      <c r="E9" s="56" t="s">
        <v>230</v>
      </c>
      <c r="F9" s="96">
        <v>1</v>
      </c>
      <c r="G9" s="96">
        <v>1</v>
      </c>
    </row>
    <row r="10" spans="1:7" ht="15.75" customHeight="1" x14ac:dyDescent="0.25">
      <c r="A10" s="11" t="s">
        <v>205</v>
      </c>
      <c r="B10" s="45">
        <v>0.80700000000000005</v>
      </c>
      <c r="C10" s="96">
        <v>0.95</v>
      </c>
      <c r="D10" s="56">
        <v>13.249980434335621</v>
      </c>
      <c r="E10" s="56" t="s">
        <v>230</v>
      </c>
      <c r="F10" s="96">
        <v>1</v>
      </c>
      <c r="G10" s="96">
        <v>1</v>
      </c>
    </row>
    <row r="11" spans="1:7" ht="15.75" customHeight="1" x14ac:dyDescent="0.25">
      <c r="A11" s="11" t="s">
        <v>206</v>
      </c>
      <c r="B11" s="96">
        <v>0</v>
      </c>
      <c r="C11" s="96">
        <v>0.95</v>
      </c>
      <c r="D11" s="56">
        <v>13.249980434335621</v>
      </c>
      <c r="E11" s="56" t="s">
        <v>230</v>
      </c>
      <c r="F11" s="96">
        <v>1</v>
      </c>
      <c r="G11" s="96">
        <v>1</v>
      </c>
    </row>
    <row r="12" spans="1:7" ht="15.75" customHeight="1" x14ac:dyDescent="0.25">
      <c r="A12" s="11" t="s">
        <v>207</v>
      </c>
      <c r="B12" s="96">
        <v>0</v>
      </c>
      <c r="C12" s="96">
        <v>0.95</v>
      </c>
      <c r="D12" s="56">
        <v>13.249980434335621</v>
      </c>
      <c r="E12" s="56" t="s">
        <v>230</v>
      </c>
      <c r="F12" s="96">
        <v>1</v>
      </c>
      <c r="G12" s="96">
        <v>1</v>
      </c>
    </row>
    <row r="13" spans="1:7" ht="15.75" customHeight="1" x14ac:dyDescent="0.25">
      <c r="A13" s="11" t="s">
        <v>208</v>
      </c>
      <c r="B13" s="96">
        <v>0</v>
      </c>
      <c r="C13" s="96">
        <v>0.95</v>
      </c>
      <c r="D13" s="56">
        <v>13.249980434335621</v>
      </c>
      <c r="E13" s="56" t="s">
        <v>230</v>
      </c>
      <c r="F13" s="96">
        <v>1</v>
      </c>
      <c r="G13" s="96">
        <v>1</v>
      </c>
    </row>
    <row r="14" spans="1:7" ht="15.75" customHeight="1" x14ac:dyDescent="0.25">
      <c r="A14" s="5" t="s">
        <v>209</v>
      </c>
      <c r="B14" s="45">
        <v>0.80700000000000005</v>
      </c>
      <c r="C14" s="96">
        <v>0.95</v>
      </c>
      <c r="D14" s="56">
        <v>13.249980434335621</v>
      </c>
      <c r="E14" s="56" t="s">
        <v>230</v>
      </c>
      <c r="F14" s="96">
        <v>1</v>
      </c>
      <c r="G14" s="96">
        <v>1</v>
      </c>
    </row>
    <row r="15" spans="1:7" ht="15.75" customHeight="1" x14ac:dyDescent="0.25">
      <c r="A15" s="5" t="s">
        <v>210</v>
      </c>
      <c r="B15" s="96">
        <v>0</v>
      </c>
      <c r="C15" s="96">
        <v>0.95</v>
      </c>
      <c r="D15" s="56">
        <v>13.249980434335621</v>
      </c>
      <c r="E15" s="56" t="s">
        <v>230</v>
      </c>
      <c r="F15" s="96">
        <v>1</v>
      </c>
      <c r="G15" s="96">
        <v>1</v>
      </c>
    </row>
    <row r="16" spans="1:7" ht="15.75" customHeight="1" x14ac:dyDescent="0.25">
      <c r="A16" s="5" t="s">
        <v>211</v>
      </c>
      <c r="B16" s="45">
        <v>0</v>
      </c>
      <c r="C16" s="96">
        <v>0.95</v>
      </c>
      <c r="D16" s="56">
        <v>2.5</v>
      </c>
      <c r="E16" s="56" t="s">
        <v>230</v>
      </c>
      <c r="F16" s="96">
        <v>1</v>
      </c>
      <c r="G16" s="96">
        <v>1</v>
      </c>
    </row>
    <row r="17" spans="1:7" ht="15.75" customHeight="1" x14ac:dyDescent="0.25">
      <c r="A17" s="5" t="s">
        <v>212</v>
      </c>
      <c r="B17" s="96">
        <v>0.19779928666666699</v>
      </c>
      <c r="C17" s="96">
        <v>0.95</v>
      </c>
      <c r="D17" s="56">
        <v>0.14000000000000001</v>
      </c>
      <c r="E17" s="56" t="s">
        <v>230</v>
      </c>
      <c r="F17" s="96">
        <v>1</v>
      </c>
      <c r="G17" s="96">
        <v>1</v>
      </c>
    </row>
    <row r="18" spans="1:7" ht="15.9" customHeight="1" x14ac:dyDescent="0.25">
      <c r="A18" s="5" t="s">
        <v>186</v>
      </c>
      <c r="B18" s="96">
        <v>0.40198139999999999</v>
      </c>
      <c r="C18" s="96">
        <v>0.95</v>
      </c>
      <c r="D18" s="56">
        <v>21.195</v>
      </c>
      <c r="E18" s="56" t="s">
        <v>230</v>
      </c>
      <c r="F18" s="96">
        <v>1</v>
      </c>
      <c r="G18" s="96">
        <v>1</v>
      </c>
    </row>
    <row r="19" spans="1:7" ht="15.75" customHeight="1" x14ac:dyDescent="0.25">
      <c r="A19" s="5" t="s">
        <v>187</v>
      </c>
      <c r="B19" s="96">
        <v>0.40198139999999999</v>
      </c>
      <c r="C19" s="96">
        <v>0.95</v>
      </c>
      <c r="D19" s="56">
        <v>13.33399039011101</v>
      </c>
      <c r="E19" s="56" t="s">
        <v>230</v>
      </c>
      <c r="F19" s="96">
        <v>1</v>
      </c>
      <c r="G19" s="96">
        <v>1</v>
      </c>
    </row>
    <row r="20" spans="1:7" ht="15.75" customHeight="1" x14ac:dyDescent="0.25">
      <c r="A20" s="5" t="s">
        <v>188</v>
      </c>
      <c r="B20" s="96">
        <v>0</v>
      </c>
      <c r="C20" s="96">
        <v>0.95</v>
      </c>
      <c r="D20" s="56">
        <v>99.99</v>
      </c>
      <c r="E20" s="56" t="s">
        <v>230</v>
      </c>
      <c r="F20" s="96">
        <v>1</v>
      </c>
      <c r="G20" s="96">
        <v>1</v>
      </c>
    </row>
    <row r="21" spans="1:7" ht="15.75" customHeight="1" x14ac:dyDescent="0.25">
      <c r="A21" s="5" t="s">
        <v>213</v>
      </c>
      <c r="B21" s="45">
        <v>0</v>
      </c>
      <c r="C21" s="96">
        <v>0.95</v>
      </c>
      <c r="D21" s="56">
        <v>7.48</v>
      </c>
      <c r="E21" s="56" t="s">
        <v>230</v>
      </c>
      <c r="F21" s="96">
        <v>1</v>
      </c>
      <c r="G21" s="96">
        <v>1</v>
      </c>
    </row>
    <row r="22" spans="1:7" ht="15.75" customHeight="1" x14ac:dyDescent="0.25">
      <c r="A22" s="5" t="s">
        <v>214</v>
      </c>
      <c r="B22" s="96">
        <v>0</v>
      </c>
      <c r="C22" s="96">
        <v>0.95</v>
      </c>
      <c r="D22" s="56">
        <v>21.195</v>
      </c>
      <c r="E22" s="56" t="s">
        <v>230</v>
      </c>
      <c r="F22" s="96">
        <v>1</v>
      </c>
      <c r="G22" s="96">
        <v>1</v>
      </c>
    </row>
    <row r="23" spans="1:7" ht="15.75" customHeight="1" x14ac:dyDescent="0.25">
      <c r="A23" s="5" t="s">
        <v>215</v>
      </c>
      <c r="B23" s="96">
        <v>0</v>
      </c>
      <c r="C23" s="96">
        <v>0.95</v>
      </c>
      <c r="D23" s="56">
        <v>4.4279632813135006</v>
      </c>
      <c r="E23" s="56" t="s">
        <v>230</v>
      </c>
      <c r="F23" s="96">
        <v>1</v>
      </c>
      <c r="G23" s="96">
        <v>1</v>
      </c>
    </row>
    <row r="24" spans="1:7" ht="15.75" customHeight="1" x14ac:dyDescent="0.25">
      <c r="A24" s="5" t="s">
        <v>216</v>
      </c>
      <c r="B24" s="45">
        <v>0.90059688330367194</v>
      </c>
      <c r="C24" s="96">
        <v>0.95</v>
      </c>
      <c r="D24" s="56">
        <v>99.99</v>
      </c>
      <c r="E24" s="56" t="s">
        <v>230</v>
      </c>
      <c r="F24" s="96">
        <v>1</v>
      </c>
      <c r="G24" s="96">
        <v>1</v>
      </c>
    </row>
    <row r="25" spans="1:7" ht="15.75" customHeight="1" x14ac:dyDescent="0.25">
      <c r="A25" s="5" t="s">
        <v>217</v>
      </c>
      <c r="B25" s="96">
        <v>0</v>
      </c>
      <c r="C25" s="96">
        <v>0.95</v>
      </c>
      <c r="D25" s="56">
        <v>99.99</v>
      </c>
      <c r="E25" s="56" t="s">
        <v>230</v>
      </c>
      <c r="F25" s="96">
        <v>1</v>
      </c>
      <c r="G25" s="96">
        <v>1</v>
      </c>
    </row>
    <row r="26" spans="1:7" ht="15.75" customHeight="1" x14ac:dyDescent="0.25">
      <c r="A26" s="5" t="s">
        <v>218</v>
      </c>
      <c r="B26" s="45">
        <v>0.80700000000000005</v>
      </c>
      <c r="C26" s="96">
        <v>0.95</v>
      </c>
      <c r="D26" s="56">
        <v>4.4421306161984946</v>
      </c>
      <c r="E26" s="56" t="s">
        <v>230</v>
      </c>
      <c r="F26" s="96">
        <v>1</v>
      </c>
      <c r="G26" s="96">
        <v>1</v>
      </c>
    </row>
    <row r="27" spans="1:7" ht="15.75" customHeight="1" x14ac:dyDescent="0.25">
      <c r="A27" s="5" t="s">
        <v>219</v>
      </c>
      <c r="B27" s="45">
        <v>0</v>
      </c>
      <c r="C27" s="96">
        <v>0.95</v>
      </c>
      <c r="D27" s="56">
        <v>9.2958524157825622</v>
      </c>
      <c r="E27" s="56" t="s">
        <v>230</v>
      </c>
      <c r="F27" s="96">
        <v>1</v>
      </c>
      <c r="G27" s="96">
        <v>1</v>
      </c>
    </row>
    <row r="28" spans="1:7" ht="15.75" customHeight="1" x14ac:dyDescent="0.25">
      <c r="A28" s="5" t="s">
        <v>220</v>
      </c>
      <c r="B28" s="45">
        <v>0.54084730000000003</v>
      </c>
      <c r="C28" s="96">
        <v>0.95</v>
      </c>
      <c r="D28" s="56">
        <v>99.99</v>
      </c>
      <c r="E28" s="56" t="s">
        <v>230</v>
      </c>
      <c r="F28" s="96">
        <v>1</v>
      </c>
      <c r="G28" s="96">
        <v>1</v>
      </c>
    </row>
    <row r="29" spans="1:7" ht="15.75" customHeight="1" x14ac:dyDescent="0.25">
      <c r="A29" s="5" t="s">
        <v>221</v>
      </c>
      <c r="B29" s="45">
        <v>0.61478450000000007</v>
      </c>
      <c r="C29" s="96">
        <v>0.95</v>
      </c>
      <c r="D29" s="56">
        <v>137.83733365130871</v>
      </c>
      <c r="E29" s="56" t="s">
        <v>230</v>
      </c>
      <c r="F29" s="96">
        <v>1</v>
      </c>
      <c r="G29" s="96">
        <v>1</v>
      </c>
    </row>
    <row r="30" spans="1:7" ht="15.75" customHeight="1" x14ac:dyDescent="0.25">
      <c r="A30" s="5" t="s">
        <v>234</v>
      </c>
      <c r="B30" s="96">
        <v>0</v>
      </c>
      <c r="C30" s="96">
        <v>0.95</v>
      </c>
      <c r="D30" s="56">
        <v>53.05</v>
      </c>
      <c r="E30" s="56" t="s">
        <v>230</v>
      </c>
      <c r="F30" s="96">
        <v>1</v>
      </c>
      <c r="G30" s="96">
        <v>1</v>
      </c>
    </row>
    <row r="31" spans="1:7" ht="15.75" customHeight="1" x14ac:dyDescent="0.25">
      <c r="A31" s="5" t="s">
        <v>190</v>
      </c>
      <c r="B31" s="45">
        <v>8.9999999999999998E-4</v>
      </c>
      <c r="C31" s="96">
        <v>0.95</v>
      </c>
      <c r="D31" s="56">
        <v>123.05968780269725</v>
      </c>
      <c r="E31" s="56" t="s">
        <v>230</v>
      </c>
      <c r="F31" s="96">
        <v>1</v>
      </c>
      <c r="G31" s="96">
        <v>1</v>
      </c>
    </row>
    <row r="32" spans="1:7" ht="15.75" customHeight="1" x14ac:dyDescent="0.25">
      <c r="A32" s="5" t="s">
        <v>222</v>
      </c>
      <c r="B32" s="45">
        <v>0</v>
      </c>
      <c r="C32" s="96">
        <v>0.95</v>
      </c>
      <c r="D32" s="56">
        <v>1.5917274986535743</v>
      </c>
      <c r="E32" s="56" t="s">
        <v>230</v>
      </c>
      <c r="F32" s="96">
        <v>1</v>
      </c>
      <c r="G32" s="96">
        <v>1</v>
      </c>
    </row>
    <row r="33" spans="1:7" ht="15.75" customHeight="1" x14ac:dyDescent="0.25">
      <c r="A33" s="5" t="s">
        <v>223</v>
      </c>
      <c r="B33" s="45">
        <v>0.70153599999999994</v>
      </c>
      <c r="C33" s="96">
        <v>0.95</v>
      </c>
      <c r="D33" s="56">
        <v>99.99</v>
      </c>
      <c r="E33" s="56" t="s">
        <v>230</v>
      </c>
      <c r="F33" s="96">
        <v>1</v>
      </c>
      <c r="G33" s="96">
        <v>1</v>
      </c>
    </row>
    <row r="34" spans="1:7" ht="15.75" customHeight="1" x14ac:dyDescent="0.25">
      <c r="A34" s="5" t="s">
        <v>224</v>
      </c>
      <c r="B34" s="45">
        <v>0.14358209999999999</v>
      </c>
      <c r="C34" s="96">
        <v>0.95</v>
      </c>
      <c r="D34" s="56">
        <v>99.99</v>
      </c>
      <c r="E34" s="56" t="s">
        <v>230</v>
      </c>
      <c r="F34" s="96">
        <v>1</v>
      </c>
      <c r="G34" s="96">
        <v>1</v>
      </c>
    </row>
    <row r="35" spans="1:7" ht="15.75" customHeight="1" x14ac:dyDescent="0.25">
      <c r="A35" s="5" t="s">
        <v>225</v>
      </c>
      <c r="B35" s="96">
        <v>0</v>
      </c>
      <c r="C35" s="96">
        <v>0.95</v>
      </c>
      <c r="D35" s="56">
        <v>99.99</v>
      </c>
      <c r="E35" s="56" t="s">
        <v>230</v>
      </c>
      <c r="F35" s="96">
        <v>1</v>
      </c>
      <c r="G35" s="96">
        <v>1</v>
      </c>
    </row>
    <row r="36" spans="1:7" ht="15.75" customHeight="1" x14ac:dyDescent="0.25">
      <c r="A36" s="5" t="s">
        <v>226</v>
      </c>
      <c r="B36" s="45">
        <v>0</v>
      </c>
      <c r="C36" s="96">
        <v>0.95</v>
      </c>
      <c r="D36" s="56">
        <v>99.99</v>
      </c>
      <c r="E36" s="56" t="s">
        <v>230</v>
      </c>
      <c r="F36" s="96">
        <v>1</v>
      </c>
      <c r="G36" s="96">
        <v>1</v>
      </c>
    </row>
    <row r="37" spans="1:7" ht="15.75" customHeight="1" x14ac:dyDescent="0.25">
      <c r="A37" s="5" t="s">
        <v>227</v>
      </c>
      <c r="B37" s="45">
        <v>0.88614170000000003</v>
      </c>
      <c r="C37" s="96">
        <v>0.95</v>
      </c>
      <c r="D37" s="56">
        <v>99.99</v>
      </c>
      <c r="E37" s="56" t="s">
        <v>230</v>
      </c>
      <c r="F37" s="96">
        <v>1</v>
      </c>
      <c r="G37" s="96">
        <v>1</v>
      </c>
    </row>
    <row r="38" spans="1:7" ht="15.75" customHeight="1" x14ac:dyDescent="0.25">
      <c r="A38" s="5" t="s">
        <v>228</v>
      </c>
      <c r="B38" s="45">
        <v>0</v>
      </c>
      <c r="C38" s="96">
        <v>0.95</v>
      </c>
      <c r="D38" s="56">
        <v>2.4500000000000002</v>
      </c>
      <c r="E38" s="56" t="s">
        <v>230</v>
      </c>
      <c r="F38" s="96">
        <v>1</v>
      </c>
      <c r="G38" s="96">
        <v>1</v>
      </c>
    </row>
    <row r="39" spans="1:7" ht="15.75" customHeight="1" x14ac:dyDescent="0.25">
      <c r="A39" s="5" t="s">
        <v>229</v>
      </c>
      <c r="B39" s="45">
        <v>0</v>
      </c>
      <c r="C39" s="96">
        <v>0.95</v>
      </c>
      <c r="D39" s="56">
        <v>3.43</v>
      </c>
      <c r="E39" s="56" t="s">
        <v>230</v>
      </c>
      <c r="F39" s="96">
        <v>1</v>
      </c>
      <c r="G39" s="96">
        <v>1</v>
      </c>
    </row>
  </sheetData>
  <sheetProtection algorithmName="SHA-512" hashValue="fZj5BNhD6lngfrEUOC2bvG6l7W5xXLtE9i3DsJiZ1Th98bDyoES8BE90+fw0/e72/FmjsbWE94kR2+1wbO9VrA==" saltValue="KML4QqOsQNUF33womUP/d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5Wfs8xykp7hmfhwxivtBvygKQ5QrvwY4RJ0mAw91NMWVjET2l22afbDJjqbnDwJQelrhhRghrIIEspTw8CvNSg==" saltValue="Mk8z6r8+X0PBJj7Ba4wpR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izeiK/RZr+Gz331a/JxpljtlF3TscdGozOIhcvcNB3NuP/7MSDtf2TQ8LrTnfuuuOqaHQ25/Jsn2nvhp/d6NWQ==" saltValue="Og6qUoWlJdacG0jk4HVA1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3.2</v>
      </c>
      <c r="C2" s="21">
        <f>'Données pop de l''année de ref'!C52</f>
        <v>3.2</v>
      </c>
      <c r="D2" s="21">
        <f>'Données pop de l''année de ref'!C53</f>
        <v>3.2</v>
      </c>
      <c r="E2" s="21">
        <f>'Données pop de l''année de ref'!C54</f>
        <v>3.2</v>
      </c>
      <c r="F2" s="21">
        <f>'Données pop de l''année de ref'!C55</f>
        <v>3.2</v>
      </c>
    </row>
    <row r="3" spans="1:6" ht="15.75" customHeight="1" x14ac:dyDescent="0.25">
      <c r="A3" s="3" t="s">
        <v>238</v>
      </c>
      <c r="B3" s="21">
        <f>frac_mam_1month * 2.6</f>
        <v>3.8016680000000004E-2</v>
      </c>
      <c r="C3" s="21">
        <f>frac_mam_1_5months * 2.6</f>
        <v>3.8016680000000004E-2</v>
      </c>
      <c r="D3" s="21">
        <f>frac_mam_6_11months * 2.6</f>
        <v>2.7946099999999998E-2</v>
      </c>
      <c r="E3" s="21">
        <f>frac_mam_12_23months * 2.6</f>
        <v>1.8330260000000001E-2</v>
      </c>
      <c r="F3" s="21">
        <f>frac_mam_24_59months * 2.6</f>
        <v>1.52789E-2</v>
      </c>
    </row>
    <row r="4" spans="1:6" ht="15.75" customHeight="1" x14ac:dyDescent="0.25">
      <c r="A4" s="3" t="s">
        <v>237</v>
      </c>
      <c r="B4" s="21">
        <f>frac_sam_1month * 2.6</f>
        <v>2.3426520000000003E-2</v>
      </c>
      <c r="C4" s="21">
        <f>frac_sam_1_5months * 2.6</f>
        <v>2.3426520000000003E-2</v>
      </c>
      <c r="D4" s="21">
        <f>frac_sam_6_11months * 2.6</f>
        <v>3.1233800000000003E-3</v>
      </c>
      <c r="E4" s="21">
        <f>frac_sam_12_23months * 2.6</f>
        <v>3.8105600000000002E-3</v>
      </c>
      <c r="F4" s="21">
        <f>frac_sam_24_59months * 2.6</f>
        <v>2.07142E-3</v>
      </c>
    </row>
  </sheetData>
  <sheetProtection algorithmName="SHA-512" hashValue="wg8Jr5o478+ANTpWehDI11mRATeggsyAbNs4ham7S/gQ9RblYq8ln49gEBOR/MA996ofeOxXzJRgT6Ac6JvlDg==" saltValue="ov4k/85CVfh4l81VNQj1Z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4.0999999999999988E-2</v>
      </c>
      <c r="F2" s="60">
        <f>food_insecure</f>
        <v>4.0999999999999988E-2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4.0999999999999988E-2</v>
      </c>
      <c r="F5" s="60">
        <f>food_insecure</f>
        <v>4.0999999999999988E-2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4.0999999999999988E-2</v>
      </c>
      <c r="F8" s="60">
        <f>food_insecure</f>
        <v>4.0999999999999988E-2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4.0999999999999988E-2</v>
      </c>
      <c r="F9" s="60">
        <f>food_insecure</f>
        <v>4.0999999999999988E-2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4.0999999999999988E-2</v>
      </c>
      <c r="I15" s="60">
        <f t="shared" si="0"/>
        <v>4.0999999999999988E-2</v>
      </c>
      <c r="J15" s="60">
        <f t="shared" si="0"/>
        <v>4.0999999999999988E-2</v>
      </c>
      <c r="K15" s="60">
        <f t="shared" si="0"/>
        <v>4.0999999999999988E-2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4.0999999999999988E-2</v>
      </c>
      <c r="I16" s="60">
        <f t="shared" si="0"/>
        <v>4.0999999999999988E-2</v>
      </c>
      <c r="J16" s="60">
        <f t="shared" si="0"/>
        <v>4.0999999999999988E-2</v>
      </c>
      <c r="K16" s="60">
        <f t="shared" si="0"/>
        <v>4.0999999999999988E-2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0.13500000000000001</v>
      </c>
      <c r="M24" s="60">
        <f>famplan_unmet_need</f>
        <v>0.13500000000000001</v>
      </c>
      <c r="N24" s="60">
        <f>famplan_unmet_need</f>
        <v>0.13500000000000001</v>
      </c>
      <c r="O24" s="60">
        <f>famplan_unmet_need</f>
        <v>0.13500000000000001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9.1794461627960414E-2</v>
      </c>
      <c r="M25" s="60">
        <f>(1-food_insecure)*(0.49)+food_insecure*(0.7)</f>
        <v>0.49861</v>
      </c>
      <c r="N25" s="60">
        <f>(1-food_insecure)*(0.49)+food_insecure*(0.7)</f>
        <v>0.49861</v>
      </c>
      <c r="O25" s="60">
        <f>(1-food_insecure)*(0.49)+food_insecure*(0.7)</f>
        <v>0.49861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3.9340483554840169E-2</v>
      </c>
      <c r="M26" s="60">
        <f>(1-food_insecure)*(0.21)+food_insecure*(0.3)</f>
        <v>0.21368999999999999</v>
      </c>
      <c r="N26" s="60">
        <f>(1-food_insecure)*(0.21)+food_insecure*(0.3)</f>
        <v>0.21368999999999999</v>
      </c>
      <c r="O26" s="60">
        <f>(1-food_insecure)*(0.21)+food_insecure*(0.3)</f>
        <v>0.21368999999999999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5.2965778083801381E-2</v>
      </c>
      <c r="M27" s="60">
        <f>(1-food_insecure)*(0.3)</f>
        <v>0.28769999999999996</v>
      </c>
      <c r="N27" s="60">
        <f>(1-food_insecure)*(0.3)</f>
        <v>0.28769999999999996</v>
      </c>
      <c r="O27" s="60">
        <f>(1-food_insecure)*(0.3)</f>
        <v>0.28769999999999996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0.81589927673339802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dmoXf4So7PzuQfbFYSwVTt0qSyt4O9Mw3ao3DmeleIo1u0vrMAA3NCKa5gjr/LYpIrKV5FGAngTuqRnuNKDQmA==" saltValue="xe65XrexlWpUIn3ITw79I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w4ZS7q0Ns0ub6MeK/kABtRkJ5e+NQFbQ3X0NSWvG9HnzrT6RAl0G2SFatY9TOsl2vOVjvqoVTEjbzZSIBrxVWw==" saltValue="ruomr/kKveZFl90dGH0hyw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0AEGaNMJasTlBHNyq1WEted4APBodBJm9biUQF8/2wbdcxVr3w3t1EaE7TrErNTzn9GWX5aQhwtnKpNFLN49Vg==" saltValue="vpEokpEQxdbBEaRz8vGfJ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OC6/VsyHTly/oqeW3n95EkA99r3Jw204brKsco5kA1gJY+LzVFw1I5pgVEceagkNPkb1P1ehFOtpWvXOHuBd/Q==" saltValue="H60WGGiLsOXR9TiSuwqpf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2" workbookViewId="0">
      <selection activeCell="D2" sqref="D2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189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13" t="s">
        <v>197</v>
      </c>
      <c r="B2" s="114"/>
      <c r="C2" s="114"/>
      <c r="D2" s="114"/>
      <c r="E2" s="114"/>
      <c r="F2" s="114"/>
      <c r="G2" s="114"/>
      <c r="H2" s="114"/>
      <c r="I2" s="114" t="s">
        <v>4</v>
      </c>
      <c r="J2" s="114"/>
      <c r="K2" s="114"/>
      <c r="L2" s="114"/>
    </row>
    <row r="3" spans="1:12" x14ac:dyDescent="0.25">
      <c r="A3" s="113" t="s">
        <v>198</v>
      </c>
      <c r="B3" s="114"/>
      <c r="C3" s="114"/>
      <c r="D3" s="114"/>
      <c r="E3" s="114"/>
      <c r="F3" s="114"/>
      <c r="G3" s="114"/>
      <c r="H3" s="114" t="s">
        <v>4</v>
      </c>
      <c r="I3" s="114" t="s">
        <v>4</v>
      </c>
      <c r="J3" s="114"/>
      <c r="K3" s="114"/>
      <c r="L3" s="114"/>
    </row>
    <row r="4" spans="1:12" x14ac:dyDescent="0.25">
      <c r="A4" s="113" t="s">
        <v>199</v>
      </c>
      <c r="B4" s="114" t="s">
        <v>4</v>
      </c>
      <c r="C4" s="114"/>
      <c r="D4" s="114" t="s">
        <v>4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200</v>
      </c>
      <c r="B5" s="114"/>
      <c r="C5" s="114" t="s">
        <v>4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201</v>
      </c>
      <c r="B6" s="114"/>
      <c r="C6" s="114"/>
      <c r="D6" s="114"/>
      <c r="E6" s="114"/>
      <c r="F6" s="114"/>
      <c r="G6" s="114"/>
      <c r="H6" s="114"/>
      <c r="I6" s="114"/>
      <c r="J6" s="114" t="s">
        <v>4</v>
      </c>
      <c r="K6" s="114" t="s">
        <v>4</v>
      </c>
      <c r="L6" s="114"/>
    </row>
    <row r="7" spans="1:12" x14ac:dyDescent="0.25">
      <c r="A7" s="113" t="s">
        <v>202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/>
      <c r="J7" s="114"/>
      <c r="K7" s="114"/>
      <c r="L7" s="114"/>
    </row>
    <row r="8" spans="1:12" x14ac:dyDescent="0.25">
      <c r="A8" s="113" t="s">
        <v>203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/>
      <c r="J8" s="114"/>
      <c r="K8" s="114"/>
      <c r="L8" s="114"/>
    </row>
    <row r="9" spans="1:12" x14ac:dyDescent="0.25">
      <c r="A9" s="113" t="s">
        <v>204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/>
      <c r="J9" s="114"/>
      <c r="K9" s="114"/>
      <c r="L9" s="114"/>
    </row>
    <row r="10" spans="1:12" x14ac:dyDescent="0.25">
      <c r="A10" s="113" t="s">
        <v>205</v>
      </c>
      <c r="B10" s="114"/>
      <c r="C10" s="114" t="s">
        <v>4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206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207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208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209</v>
      </c>
      <c r="B14" s="114"/>
      <c r="C14" s="114" t="s">
        <v>4</v>
      </c>
      <c r="D14" s="114"/>
      <c r="E14" s="114"/>
      <c r="F14" s="114"/>
      <c r="G14" s="114"/>
      <c r="H14" s="114"/>
      <c r="I14" s="114" t="s">
        <v>4</v>
      </c>
      <c r="J14" s="114"/>
      <c r="K14" s="114"/>
      <c r="L14" s="114"/>
    </row>
    <row r="15" spans="1:12" x14ac:dyDescent="0.25">
      <c r="A15" s="115" t="s">
        <v>210</v>
      </c>
      <c r="B15" s="114"/>
      <c r="C15" s="114" t="s">
        <v>4</v>
      </c>
      <c r="D15" s="114"/>
      <c r="E15" s="114"/>
      <c r="F15" s="114"/>
      <c r="G15" s="114"/>
      <c r="H15" s="114"/>
      <c r="I15" s="114" t="s">
        <v>4</v>
      </c>
      <c r="J15" s="114"/>
      <c r="K15" s="114"/>
      <c r="L15" s="114"/>
    </row>
    <row r="16" spans="1:12" x14ac:dyDescent="0.25">
      <c r="A16" s="113" t="s">
        <v>211</v>
      </c>
      <c r="B16" s="114"/>
      <c r="C16" s="114" t="s">
        <v>4</v>
      </c>
      <c r="D16" s="114"/>
      <c r="E16" s="114"/>
      <c r="F16" s="114"/>
      <c r="G16" s="114"/>
      <c r="H16" s="114" t="s">
        <v>4</v>
      </c>
      <c r="I16" s="114" t="s">
        <v>4</v>
      </c>
      <c r="J16" s="114"/>
      <c r="K16" s="114"/>
      <c r="L16" s="114"/>
    </row>
    <row r="17" spans="1:12" x14ac:dyDescent="0.25">
      <c r="A17" s="113" t="s">
        <v>212</v>
      </c>
      <c r="B17" s="114"/>
      <c r="C17" s="114" t="s">
        <v>4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186</v>
      </c>
      <c r="B18" s="114" t="s">
        <v>4</v>
      </c>
      <c r="C18" s="114"/>
      <c r="D18" s="114"/>
      <c r="E18" s="114"/>
      <c r="F18" s="114" t="s">
        <v>4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187</v>
      </c>
      <c r="B19" s="114" t="s">
        <v>4</v>
      </c>
      <c r="C19" s="114"/>
      <c r="D19" s="114"/>
      <c r="E19" s="114"/>
      <c r="F19" s="114" t="s">
        <v>4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188</v>
      </c>
      <c r="B20" s="114" t="s">
        <v>4</v>
      </c>
      <c r="C20" s="114"/>
      <c r="D20" s="114"/>
      <c r="E20" s="114"/>
      <c r="F20" s="114" t="s">
        <v>4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213</v>
      </c>
      <c r="B21" s="114"/>
      <c r="C21" s="114"/>
      <c r="D21" s="114"/>
      <c r="E21" s="114"/>
      <c r="F21" s="114"/>
      <c r="G21" s="114"/>
      <c r="H21" s="114" t="s">
        <v>4</v>
      </c>
      <c r="I21" s="114" t="s">
        <v>4</v>
      </c>
      <c r="J21" s="114"/>
      <c r="K21" s="114"/>
      <c r="L21" s="114"/>
    </row>
    <row r="22" spans="1:12" x14ac:dyDescent="0.25">
      <c r="A22" s="113" t="s">
        <v>214</v>
      </c>
      <c r="B22" s="114" t="s">
        <v>4</v>
      </c>
      <c r="C22" s="114" t="s">
        <v>4</v>
      </c>
      <c r="D22" s="114" t="s">
        <v>4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215</v>
      </c>
      <c r="B23" s="114"/>
      <c r="C23" s="114" t="s">
        <v>4</v>
      </c>
      <c r="D23" s="114"/>
      <c r="E23" s="114"/>
      <c r="F23" s="114"/>
      <c r="G23" s="114"/>
      <c r="H23" s="114"/>
      <c r="I23" s="114" t="s">
        <v>4</v>
      </c>
      <c r="J23" s="114"/>
      <c r="K23" s="114"/>
      <c r="L23" s="114"/>
    </row>
    <row r="24" spans="1:12" x14ac:dyDescent="0.25">
      <c r="A24" s="113" t="s">
        <v>216</v>
      </c>
      <c r="B24" s="114"/>
      <c r="C24" s="114"/>
      <c r="D24" s="114"/>
      <c r="E24" s="114"/>
      <c r="F24" s="114"/>
      <c r="G24" s="114"/>
      <c r="H24" s="114" t="s">
        <v>4</v>
      </c>
      <c r="I24" s="114"/>
      <c r="J24" s="114"/>
      <c r="K24" s="114"/>
      <c r="L24" s="114"/>
    </row>
    <row r="25" spans="1:12" x14ac:dyDescent="0.25">
      <c r="A25" s="113" t="s">
        <v>217</v>
      </c>
      <c r="B25" s="114"/>
      <c r="C25" s="114"/>
      <c r="D25" s="114"/>
      <c r="E25" s="114"/>
      <c r="F25" s="114"/>
      <c r="G25" s="114"/>
      <c r="H25" s="114" t="s">
        <v>4</v>
      </c>
      <c r="I25" s="114"/>
      <c r="J25" s="114"/>
      <c r="K25" s="114"/>
      <c r="L25" s="114"/>
    </row>
    <row r="26" spans="1:12" x14ac:dyDescent="0.25">
      <c r="A26" s="113" t="s">
        <v>218</v>
      </c>
      <c r="B26" s="114"/>
      <c r="C26" s="114" t="s">
        <v>4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219</v>
      </c>
      <c r="B27" s="114"/>
      <c r="C27" s="114" t="s">
        <v>4</v>
      </c>
      <c r="D27" s="114"/>
      <c r="E27" s="114"/>
      <c r="F27" s="114"/>
      <c r="G27" s="114"/>
      <c r="H27" s="114"/>
      <c r="I27" s="114" t="s">
        <v>4</v>
      </c>
      <c r="J27" s="114"/>
      <c r="K27" s="114"/>
      <c r="L27" s="114" t="s">
        <v>4</v>
      </c>
    </row>
    <row r="28" spans="1:12" x14ac:dyDescent="0.25">
      <c r="A28" s="113" t="s">
        <v>220</v>
      </c>
      <c r="B28" s="114"/>
      <c r="C28" s="114"/>
      <c r="D28" s="114"/>
      <c r="E28" s="114"/>
      <c r="F28" s="114"/>
      <c r="G28" s="114"/>
      <c r="H28" s="114" t="s">
        <v>4</v>
      </c>
      <c r="I28" s="114"/>
      <c r="J28" s="114"/>
      <c r="K28" s="114"/>
      <c r="L28" s="114"/>
    </row>
    <row r="29" spans="1:12" x14ac:dyDescent="0.25">
      <c r="A29" s="113" t="s">
        <v>221</v>
      </c>
      <c r="B29" s="114" t="s">
        <v>4</v>
      </c>
      <c r="C29" s="114"/>
      <c r="D29" s="114" t="s">
        <v>4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234</v>
      </c>
      <c r="B30" s="114" t="s">
        <v>4</v>
      </c>
      <c r="C30" s="114" t="s">
        <v>4</v>
      </c>
      <c r="D30" s="114" t="s">
        <v>4</v>
      </c>
      <c r="E30" s="114"/>
      <c r="F30" s="114"/>
      <c r="G30" s="114"/>
      <c r="H30" s="114" t="s">
        <v>4</v>
      </c>
      <c r="I30" s="114"/>
      <c r="J30" s="114"/>
      <c r="K30" s="114"/>
      <c r="L30" s="114"/>
    </row>
    <row r="31" spans="1:12" x14ac:dyDescent="0.25">
      <c r="A31" s="113" t="s">
        <v>190</v>
      </c>
      <c r="B31" s="114"/>
      <c r="C31" s="114"/>
      <c r="D31" s="114"/>
      <c r="E31" s="114" t="s">
        <v>4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222</v>
      </c>
      <c r="B32" s="114"/>
      <c r="C32" s="114"/>
      <c r="D32" s="114"/>
      <c r="E32" s="114"/>
      <c r="F32" s="114"/>
      <c r="G32" s="114" t="s">
        <v>4</v>
      </c>
      <c r="H32" s="114" t="s">
        <v>4</v>
      </c>
      <c r="I32" s="114"/>
      <c r="J32" s="114"/>
      <c r="K32" s="114"/>
      <c r="L32" s="114"/>
    </row>
    <row r="33" spans="1:12" x14ac:dyDescent="0.25">
      <c r="A33" s="113" t="s">
        <v>223</v>
      </c>
      <c r="B33" s="114"/>
      <c r="C33" s="114"/>
      <c r="D33" s="114"/>
      <c r="E33" s="114"/>
      <c r="F33" s="114"/>
      <c r="G33" s="114" t="s">
        <v>4</v>
      </c>
      <c r="H33" s="114" t="s">
        <v>4</v>
      </c>
      <c r="I33" s="114"/>
      <c r="J33" s="114"/>
      <c r="K33" s="114"/>
      <c r="L33" s="114"/>
    </row>
    <row r="34" spans="1:12" x14ac:dyDescent="0.25">
      <c r="A34" s="113" t="s">
        <v>224</v>
      </c>
      <c r="B34" s="114"/>
      <c r="C34" s="114"/>
      <c r="D34" s="114"/>
      <c r="E34" s="114"/>
      <c r="F34" s="114"/>
      <c r="G34" s="114" t="s">
        <v>4</v>
      </c>
      <c r="H34" s="114" t="s">
        <v>4</v>
      </c>
      <c r="I34" s="114"/>
      <c r="J34" s="114"/>
      <c r="K34" s="114"/>
      <c r="L34" s="114"/>
    </row>
    <row r="35" spans="1:12" x14ac:dyDescent="0.25">
      <c r="A35" s="113" t="s">
        <v>225</v>
      </c>
      <c r="B35" s="114"/>
      <c r="C35" s="114"/>
      <c r="D35" s="114"/>
      <c r="E35" s="114"/>
      <c r="F35" s="114"/>
      <c r="G35" s="114" t="s">
        <v>4</v>
      </c>
      <c r="H35" s="114" t="s">
        <v>4</v>
      </c>
      <c r="I35" s="114"/>
      <c r="J35" s="114"/>
      <c r="K35" s="114"/>
      <c r="L35" s="114"/>
    </row>
    <row r="36" spans="1:12" x14ac:dyDescent="0.25">
      <c r="A36" s="113" t="s">
        <v>226</v>
      </c>
      <c r="B36" s="114"/>
      <c r="C36" s="114"/>
      <c r="D36" s="114"/>
      <c r="E36" s="114"/>
      <c r="F36" s="114"/>
      <c r="G36" s="114" t="s">
        <v>4</v>
      </c>
      <c r="H36" s="114" t="s">
        <v>4</v>
      </c>
      <c r="I36" s="114"/>
      <c r="J36" s="114"/>
      <c r="K36" s="114"/>
      <c r="L36" s="114"/>
    </row>
    <row r="37" spans="1:12" x14ac:dyDescent="0.25">
      <c r="A37" s="113" t="s">
        <v>227</v>
      </c>
      <c r="B37" s="114"/>
      <c r="C37" s="114"/>
      <c r="D37" s="114"/>
      <c r="E37" s="114"/>
      <c r="F37" s="114"/>
      <c r="G37" s="114" t="s">
        <v>4</v>
      </c>
      <c r="H37" s="114" t="s">
        <v>4</v>
      </c>
      <c r="I37" s="114"/>
      <c r="J37" s="114"/>
      <c r="K37" s="114"/>
      <c r="L37" s="114"/>
    </row>
    <row r="38" spans="1:12" x14ac:dyDescent="0.25">
      <c r="A38" s="113" t="s">
        <v>228</v>
      </c>
      <c r="B38" s="114"/>
      <c r="C38" s="114"/>
      <c r="D38" s="114"/>
      <c r="E38" s="114"/>
      <c r="F38" s="114"/>
      <c r="G38" s="114"/>
      <c r="H38" s="114" t="s">
        <v>4</v>
      </c>
      <c r="I38" s="114"/>
      <c r="J38" s="114"/>
      <c r="K38" s="114"/>
      <c r="L38" s="114"/>
    </row>
    <row r="39" spans="1:12" x14ac:dyDescent="0.25">
      <c r="A39" s="113" t="s">
        <v>229</v>
      </c>
      <c r="B39" s="114" t="s">
        <v>4</v>
      </c>
      <c r="C39" s="114"/>
      <c r="D39" s="114"/>
      <c r="E39" s="114"/>
      <c r="F39" s="114"/>
      <c r="G39" s="114" t="s">
        <v>4</v>
      </c>
      <c r="H39" s="114" t="s">
        <v>4</v>
      </c>
      <c r="I39" s="114"/>
      <c r="J39" s="114"/>
      <c r="K39" s="114"/>
      <c r="L39" s="114"/>
    </row>
  </sheetData>
  <sheetProtection algorithmName="SHA-512" hashValue="10qehKGM169yyfCZ53nzRTBVzHB+cUIioDvGfRPz2xv+wtQ7ZEpo1sATOIJlnbt8t8b6V8y+amuIYVXjgJzW4g==" saltValue="JP2TuZFbj2j8c+c8VLLSH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261</v>
      </c>
      <c r="B1" s="106" t="s">
        <v>256</v>
      </c>
      <c r="C1" s="106" t="s">
        <v>139</v>
      </c>
      <c r="D1" s="106" t="s">
        <v>257</v>
      </c>
      <c r="E1" s="106" t="s">
        <v>258</v>
      </c>
      <c r="F1" s="106" t="s">
        <v>146</v>
      </c>
      <c r="G1" s="106" t="s">
        <v>105</v>
      </c>
      <c r="H1" s="106" t="s">
        <v>61</v>
      </c>
      <c r="I1" s="106" t="s">
        <v>259</v>
      </c>
      <c r="J1" s="106" t="s">
        <v>54</v>
      </c>
      <c r="K1" s="106" t="s">
        <v>86</v>
      </c>
      <c r="L1" s="106" t="s">
        <v>260</v>
      </c>
    </row>
    <row r="2" spans="1:12" x14ac:dyDescent="0.25">
      <c r="A2" s="106" t="s">
        <v>127</v>
      </c>
      <c r="B2" s="114" t="s">
        <v>4</v>
      </c>
      <c r="C2" s="114" t="s">
        <v>4</v>
      </c>
      <c r="D2" s="114" t="s">
        <v>4</v>
      </c>
      <c r="E2" s="114" t="s">
        <v>4</v>
      </c>
      <c r="F2" s="114" t="s">
        <v>4</v>
      </c>
      <c r="G2" s="114" t="s">
        <v>4</v>
      </c>
      <c r="H2" s="114" t="s">
        <v>4</v>
      </c>
      <c r="I2" s="114"/>
      <c r="J2" s="114"/>
      <c r="K2" s="114"/>
      <c r="L2" s="114"/>
    </row>
    <row r="3" spans="1:12" x14ac:dyDescent="0.25">
      <c r="A3" s="106" t="s">
        <v>114</v>
      </c>
      <c r="B3" s="114" t="s">
        <v>4</v>
      </c>
      <c r="C3" s="114" t="s">
        <v>4</v>
      </c>
      <c r="D3" s="114" t="s">
        <v>4</v>
      </c>
      <c r="E3" s="114" t="s">
        <v>4</v>
      </c>
      <c r="F3" s="114" t="s">
        <v>4</v>
      </c>
      <c r="G3" s="114" t="s">
        <v>4</v>
      </c>
      <c r="H3" s="114" t="s">
        <v>4</v>
      </c>
      <c r="I3" s="114"/>
      <c r="J3" s="114"/>
      <c r="K3" s="114"/>
      <c r="L3" s="114"/>
    </row>
    <row r="4" spans="1:12" x14ac:dyDescent="0.25">
      <c r="A4" s="106" t="s">
        <v>115</v>
      </c>
      <c r="B4" s="114" t="s">
        <v>4</v>
      </c>
      <c r="C4" s="114" t="s">
        <v>4</v>
      </c>
      <c r="D4" s="114" t="s">
        <v>4</v>
      </c>
      <c r="E4" s="114" t="s">
        <v>4</v>
      </c>
      <c r="F4" s="114" t="s">
        <v>4</v>
      </c>
      <c r="G4" s="114" t="s">
        <v>4</v>
      </c>
      <c r="H4" s="114" t="s">
        <v>4</v>
      </c>
      <c r="I4" s="114"/>
      <c r="J4" s="114"/>
      <c r="K4" s="114"/>
      <c r="L4" s="114"/>
    </row>
    <row r="5" spans="1:12" x14ac:dyDescent="0.25">
      <c r="A5" s="106" t="s">
        <v>116</v>
      </c>
      <c r="B5" s="114" t="s">
        <v>4</v>
      </c>
      <c r="C5" s="114" t="s">
        <v>4</v>
      </c>
      <c r="D5" s="114" t="s">
        <v>4</v>
      </c>
      <c r="E5" s="114" t="s">
        <v>4</v>
      </c>
      <c r="F5" s="114" t="s">
        <v>4</v>
      </c>
      <c r="G5" s="114" t="s">
        <v>4</v>
      </c>
      <c r="H5" s="114" t="s">
        <v>4</v>
      </c>
      <c r="I5" s="114"/>
      <c r="J5" s="114"/>
      <c r="K5" s="114"/>
      <c r="L5" s="114"/>
    </row>
    <row r="6" spans="1:12" x14ac:dyDescent="0.25">
      <c r="A6" s="106" t="s">
        <v>117</v>
      </c>
      <c r="B6" s="114" t="s">
        <v>4</v>
      </c>
      <c r="C6" s="114" t="s">
        <v>4</v>
      </c>
      <c r="D6" s="114" t="s">
        <v>4</v>
      </c>
      <c r="E6" s="114" t="s">
        <v>4</v>
      </c>
      <c r="F6" s="114" t="s">
        <v>4</v>
      </c>
      <c r="G6" s="114" t="s">
        <v>4</v>
      </c>
      <c r="H6" s="114" t="s">
        <v>4</v>
      </c>
      <c r="I6" s="114"/>
      <c r="J6" s="114"/>
      <c r="K6" s="114"/>
      <c r="L6" s="114"/>
    </row>
    <row r="7" spans="1:12" x14ac:dyDescent="0.25">
      <c r="A7" s="106" t="s">
        <v>140</v>
      </c>
      <c r="B7" s="114"/>
      <c r="C7" s="114" t="s">
        <v>4</v>
      </c>
      <c r="D7" s="114"/>
      <c r="E7" s="114"/>
      <c r="F7" s="114"/>
      <c r="G7" s="114"/>
      <c r="H7" s="114" t="s">
        <v>4</v>
      </c>
      <c r="I7" s="114" t="s">
        <v>4</v>
      </c>
      <c r="J7" s="114"/>
      <c r="K7" s="114"/>
      <c r="L7" s="114" t="s">
        <v>4</v>
      </c>
    </row>
    <row r="8" spans="1:12" x14ac:dyDescent="0.25">
      <c r="A8" s="106" t="s">
        <v>141</v>
      </c>
      <c r="B8" s="114"/>
      <c r="C8" s="114" t="s">
        <v>4</v>
      </c>
      <c r="D8" s="114"/>
      <c r="E8" s="114"/>
      <c r="F8" s="114"/>
      <c r="G8" s="114"/>
      <c r="H8" s="114" t="s">
        <v>4</v>
      </c>
      <c r="I8" s="114" t="s">
        <v>4</v>
      </c>
      <c r="J8" s="114"/>
      <c r="K8" s="114"/>
      <c r="L8" s="114" t="s">
        <v>4</v>
      </c>
    </row>
    <row r="9" spans="1:12" x14ac:dyDescent="0.25">
      <c r="A9" s="106" t="s">
        <v>142</v>
      </c>
      <c r="B9" s="114"/>
      <c r="C9" s="114" t="s">
        <v>4</v>
      </c>
      <c r="D9" s="114"/>
      <c r="E9" s="114"/>
      <c r="F9" s="114"/>
      <c r="G9" s="114"/>
      <c r="H9" s="114" t="s">
        <v>4</v>
      </c>
      <c r="I9" s="114" t="s">
        <v>4</v>
      </c>
      <c r="J9" s="114"/>
      <c r="K9" s="114"/>
      <c r="L9" s="114" t="s">
        <v>4</v>
      </c>
    </row>
    <row r="10" spans="1:12" x14ac:dyDescent="0.25">
      <c r="A10" s="106" t="s">
        <v>143</v>
      </c>
      <c r="B10" s="114"/>
      <c r="C10" s="114" t="s">
        <v>4</v>
      </c>
      <c r="D10" s="114"/>
      <c r="E10" s="114"/>
      <c r="F10" s="114"/>
      <c r="G10" s="114"/>
      <c r="H10" s="114" t="s">
        <v>4</v>
      </c>
      <c r="I10" s="114" t="s">
        <v>4</v>
      </c>
      <c r="J10" s="114"/>
      <c r="K10" s="114"/>
      <c r="L10" s="114" t="s">
        <v>4</v>
      </c>
    </row>
    <row r="11" spans="1:12" x14ac:dyDescent="0.25">
      <c r="A11" s="106" t="s">
        <v>87</v>
      </c>
      <c r="B11" s="114"/>
      <c r="C11" s="114" t="s">
        <v>4</v>
      </c>
      <c r="D11" s="114"/>
      <c r="E11" s="114"/>
      <c r="F11" s="114"/>
      <c r="G11" s="114"/>
      <c r="H11" s="114"/>
      <c r="I11" s="114"/>
      <c r="J11" s="114" t="s">
        <v>4</v>
      </c>
      <c r="K11" s="114" t="s">
        <v>4</v>
      </c>
      <c r="L11" s="114"/>
    </row>
    <row r="12" spans="1:12" x14ac:dyDescent="0.25">
      <c r="A12" s="106" t="s">
        <v>88</v>
      </c>
      <c r="B12" s="114"/>
      <c r="C12" s="114" t="s">
        <v>4</v>
      </c>
      <c r="D12" s="114"/>
      <c r="E12" s="114"/>
      <c r="F12" s="114"/>
      <c r="G12" s="114"/>
      <c r="H12" s="114"/>
      <c r="I12" s="114"/>
      <c r="J12" s="114"/>
      <c r="K12" s="114" t="s">
        <v>4</v>
      </c>
      <c r="L12" s="114"/>
    </row>
    <row r="13" spans="1:12" x14ac:dyDescent="0.25">
      <c r="A13" s="106" t="s">
        <v>89</v>
      </c>
      <c r="B13" s="114"/>
      <c r="C13" s="114" t="s">
        <v>4</v>
      </c>
      <c r="D13" s="114"/>
      <c r="E13" s="114"/>
      <c r="F13" s="114"/>
      <c r="G13" s="114"/>
      <c r="H13" s="114"/>
      <c r="I13" s="114"/>
      <c r="J13" s="114"/>
      <c r="K13" s="114" t="s">
        <v>4</v>
      </c>
      <c r="L13" s="114"/>
    </row>
    <row r="14" spans="1:12" x14ac:dyDescent="0.25">
      <c r="A14" s="106" t="s">
        <v>90</v>
      </c>
      <c r="B14" s="114"/>
      <c r="C14" s="114" t="s">
        <v>4</v>
      </c>
      <c r="D14" s="114"/>
      <c r="E14" s="114"/>
      <c r="F14" s="114"/>
      <c r="G14" s="114"/>
      <c r="H14" s="114"/>
      <c r="I14" s="114"/>
      <c r="J14" s="114"/>
      <c r="K14" s="114" t="s">
        <v>4</v>
      </c>
      <c r="L14" s="114"/>
    </row>
  </sheetData>
  <sheetProtection algorithmName="SHA-512" hashValue="Xwlad9bMli95+DHwWmH7sMloojWn2flDbNypQS4yTWPFc9cbgjLZrBMb6/7OH77EfCgM9f69CXwDUPBxZomixg==" saltValue="lOB2yW0tIgxJ0iK6/FG7O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6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6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6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6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6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6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6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6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6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d3KP+W8cS6gjJc+/9LWDFER2GUncpFoOqJgBeq9GZEIaFdwYrOAClQIh5CenLgF101aE79NfU326CMgnhf/eRQ==" saltValue="983l3gXFpYVp+M26mPY4bQ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264</v>
      </c>
    </row>
    <row r="2" spans="1:7" ht="14.25" customHeight="1" x14ac:dyDescent="0.3">
      <c r="A2" s="120" t="s">
        <v>6</v>
      </c>
      <c r="B2" s="105"/>
      <c r="C2" s="103" t="s">
        <v>127</v>
      </c>
      <c r="D2" s="103" t="s">
        <v>114</v>
      </c>
      <c r="E2" s="103" t="s">
        <v>115</v>
      </c>
      <c r="F2" s="103" t="s">
        <v>116</v>
      </c>
      <c r="G2" s="103" t="s">
        <v>117</v>
      </c>
    </row>
    <row r="3" spans="1:7" ht="14.25" customHeight="1" x14ac:dyDescent="0.25">
      <c r="B3" s="115" t="s">
        <v>274</v>
      </c>
      <c r="C3" s="116" t="s">
        <v>10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275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276</v>
      </c>
    </row>
    <row r="6" spans="1:7" ht="14.25" customHeight="1" x14ac:dyDescent="0.25">
      <c r="B6" s="115" t="s">
        <v>221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214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199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234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229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280</v>
      </c>
    </row>
    <row r="13" spans="1:7" ht="14.25" customHeight="1" x14ac:dyDescent="0.3">
      <c r="A13" s="121"/>
      <c r="B13" s="115" t="s">
        <v>213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277</v>
      </c>
    </row>
    <row r="16" spans="1:7" ht="14.25" customHeight="1" x14ac:dyDescent="0.3">
      <c r="A16" s="120" t="s">
        <v>283</v>
      </c>
      <c r="B16" s="115" t="s">
        <v>278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281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139</v>
      </c>
      <c r="B18" s="115" t="s">
        <v>279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282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201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264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6</v>
      </c>
      <c r="B26" s="105"/>
      <c r="C26" s="103" t="s">
        <v>127</v>
      </c>
      <c r="D26" s="103" t="s">
        <v>114</v>
      </c>
      <c r="E26" s="103" t="s">
        <v>115</v>
      </c>
      <c r="F26" s="103" t="s">
        <v>116</v>
      </c>
      <c r="G26" s="103" t="s">
        <v>117</v>
      </c>
    </row>
    <row r="27" spans="1:7" x14ac:dyDescent="0.25">
      <c r="B27" s="115" t="s">
        <v>284</v>
      </c>
      <c r="C27" s="116" t="s">
        <v>10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285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286</v>
      </c>
    </row>
    <row r="30" spans="1:7" x14ac:dyDescent="0.25">
      <c r="B30" s="115" t="s">
        <v>287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288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29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310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289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290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291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277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283</v>
      </c>
      <c r="B40" s="115" t="s">
        <v>292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293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139</v>
      </c>
      <c r="B42" s="115" t="s">
        <v>294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295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296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270</v>
      </c>
    </row>
    <row r="49" spans="1:7" ht="13" x14ac:dyDescent="0.3">
      <c r="A49" s="118" t="s">
        <v>264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6</v>
      </c>
      <c r="B50" s="105"/>
      <c r="C50" s="103" t="s">
        <v>127</v>
      </c>
      <c r="D50" s="103" t="s">
        <v>114</v>
      </c>
      <c r="E50" s="103" t="s">
        <v>115</v>
      </c>
      <c r="F50" s="103" t="s">
        <v>116</v>
      </c>
      <c r="G50" s="103" t="s">
        <v>117</v>
      </c>
    </row>
    <row r="51" spans="1:7" x14ac:dyDescent="0.25">
      <c r="B51" s="115" t="s">
        <v>297</v>
      </c>
      <c r="C51" s="116" t="s">
        <v>10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298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299</v>
      </c>
    </row>
    <row r="54" spans="1:7" x14ac:dyDescent="0.25">
      <c r="B54" s="115" t="s">
        <v>300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301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30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311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302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304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277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283</v>
      </c>
      <c r="B64" s="115" t="s">
        <v>305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306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139</v>
      </c>
      <c r="B66" s="115" t="s">
        <v>307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308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309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VyN2Jq4tlWMWWj0HX0w9zNvCew9Mm7sbmRGdRtMlfX5nj7tcPr9cLGkg+GznjyoQ/ZqanalLWvIs6P9Um4IodQ==" saltValue="cdBLZVf5+avoLlXNrM22M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189</v>
      </c>
      <c r="B1" s="103"/>
      <c r="C1" s="103" t="s">
        <v>69</v>
      </c>
      <c r="D1" s="103" t="s">
        <v>71</v>
      </c>
      <c r="E1" s="103" t="s">
        <v>70</v>
      </c>
      <c r="F1" s="105" t="s">
        <v>72</v>
      </c>
    </row>
    <row r="2" spans="1:6" ht="15.75" customHeight="1" x14ac:dyDescent="0.25">
      <c r="A2" s="115" t="s">
        <v>197</v>
      </c>
      <c r="B2" s="115" t="s">
        <v>312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313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198</v>
      </c>
      <c r="B4" s="115" t="s">
        <v>312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209</v>
      </c>
      <c r="B6" s="115" t="s">
        <v>312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313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210</v>
      </c>
      <c r="B8" s="115" t="s">
        <v>312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313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211</v>
      </c>
      <c r="B10" s="115" t="s">
        <v>312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313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215</v>
      </c>
      <c r="B12" s="115" t="s">
        <v>312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313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219</v>
      </c>
      <c r="B14" s="115" t="s">
        <v>312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313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189</v>
      </c>
      <c r="B18" s="103"/>
      <c r="C18" s="103" t="s">
        <v>69</v>
      </c>
      <c r="D18" s="103" t="s">
        <v>71</v>
      </c>
      <c r="E18" s="103" t="s">
        <v>70</v>
      </c>
      <c r="F18" s="105" t="s">
        <v>72</v>
      </c>
    </row>
    <row r="19" spans="1:6" ht="15.75" customHeight="1" x14ac:dyDescent="0.25">
      <c r="A19" s="115" t="s">
        <v>197</v>
      </c>
      <c r="B19" s="115" t="s">
        <v>312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313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198</v>
      </c>
      <c r="B21" s="115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209</v>
      </c>
      <c r="B23" s="115" t="s">
        <v>312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313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210</v>
      </c>
      <c r="B25" s="115" t="s">
        <v>312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313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211</v>
      </c>
      <c r="B27" s="115" t="s">
        <v>312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313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215</v>
      </c>
      <c r="B29" s="115" t="s">
        <v>312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313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219</v>
      </c>
      <c r="B31" s="115" t="s">
        <v>312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313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270</v>
      </c>
    </row>
    <row r="35" spans="1:6" ht="15.75" customHeight="1" x14ac:dyDescent="0.3">
      <c r="A35" s="105" t="s">
        <v>189</v>
      </c>
      <c r="B35" s="103"/>
      <c r="C35" s="103" t="s">
        <v>69</v>
      </c>
      <c r="D35" s="103" t="s">
        <v>71</v>
      </c>
      <c r="E35" s="103" t="s">
        <v>70</v>
      </c>
      <c r="F35" s="105" t="s">
        <v>72</v>
      </c>
    </row>
    <row r="36" spans="1:6" ht="15.75" customHeight="1" x14ac:dyDescent="0.25">
      <c r="A36" s="115" t="s">
        <v>197</v>
      </c>
      <c r="B36" s="115" t="s">
        <v>312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313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198</v>
      </c>
      <c r="B38" s="115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209</v>
      </c>
      <c r="B40" s="115" t="s">
        <v>312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313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210</v>
      </c>
      <c r="B42" s="115" t="s">
        <v>312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313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211</v>
      </c>
      <c r="B44" s="115" t="s">
        <v>312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313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215</v>
      </c>
      <c r="B46" s="115" t="s">
        <v>312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313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219</v>
      </c>
      <c r="B48" s="115" t="s">
        <v>312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313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o4xWAl6l4XFXPPlAcbwAZxf3yb64sXwRw4N3GFMkHG1JV02aGdYhzrLkNCnubwEhtPnl0cnDwWGSe1C0xjLPsQ==" saltValue="Sh+rlB6RESk7Jpgz6I5fH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pIhZ3K+3tOCAlwlrP48cVcMds6bndBYZfuEBrIL7mrtRKIhvjUoRcEBvlgYYUBIMvQV619u7fJHBbOZQA7fxSQ==" saltValue="I/VwIybLKY5CJeV+dek7q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fR7TEVzfHu9BIh0cueir7fAJlt0kbnFwjPYKg/ytQHl7m5ZGnkTeAkFSuaoCotNbxzkJjnflQeX0+6CxBu8WRw==" saltValue="uIww6mZEKu4abqClSDADY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214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hiHbn3AOjZYzD+4u8aqpWE+NpShdnAOWevSGM7mfY0CSqQmXqzPyB6flhOa2+VGP3SvoxA3p0pPBowxuaGSVvQ==" saltValue="31P7FsaiXZy4ttPlXfxcP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aAGv/wTqB8T8M/YgN5AuFVZfBQDBXy6mxY255AawM8TNQCpl0DjSMoK6iNEVG5EO9AT5aRGjUA7Q9NTFCk3ktw==" saltValue="qW30BAIq7UbZEuc4uf4C2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2" sqref="D2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189</v>
      </c>
      <c r="B1" s="103" t="s">
        <v>364</v>
      </c>
      <c r="C1" s="120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113" t="s">
        <v>222</v>
      </c>
      <c r="B2" s="113" t="s">
        <v>105</v>
      </c>
      <c r="C2" s="113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221</v>
      </c>
      <c r="B5" s="113" t="s">
        <v>237</v>
      </c>
      <c r="C5" s="113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238</v>
      </c>
      <c r="C7" s="113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214</v>
      </c>
      <c r="B9" s="113" t="s">
        <v>237</v>
      </c>
      <c r="C9" s="113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238</v>
      </c>
      <c r="C11" s="113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234</v>
      </c>
      <c r="B13" s="113" t="s">
        <v>237</v>
      </c>
      <c r="C13" s="113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238</v>
      </c>
      <c r="C15" s="113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368</v>
      </c>
      <c r="C17" s="113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366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199</v>
      </c>
      <c r="B19" s="113" t="s">
        <v>237</v>
      </c>
      <c r="C19" s="113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238</v>
      </c>
      <c r="C21" s="113" t="s">
        <v>365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367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204</v>
      </c>
      <c r="B23" s="113" t="s">
        <v>102</v>
      </c>
      <c r="C23" s="113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202</v>
      </c>
      <c r="B25" s="113" t="s">
        <v>102</v>
      </c>
      <c r="C25" s="113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203</v>
      </c>
      <c r="B27" s="113" t="s">
        <v>102</v>
      </c>
      <c r="C27" s="113" t="s">
        <v>365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366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226</v>
      </c>
      <c r="B29" s="113" t="s">
        <v>105</v>
      </c>
      <c r="C29" s="113" t="s">
        <v>365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366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367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227</v>
      </c>
      <c r="B32" s="113" t="s">
        <v>105</v>
      </c>
      <c r="C32" s="113" t="s">
        <v>365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366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367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225</v>
      </c>
      <c r="B35" s="113" t="s">
        <v>105</v>
      </c>
      <c r="C35" s="113" t="s">
        <v>365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366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367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224</v>
      </c>
      <c r="B38" s="113" t="s">
        <v>105</v>
      </c>
      <c r="C38" s="113" t="s">
        <v>365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366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367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223</v>
      </c>
      <c r="B41" s="113" t="s">
        <v>105</v>
      </c>
      <c r="C41" s="113" t="s">
        <v>365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366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367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229</v>
      </c>
      <c r="B44" s="113" t="s">
        <v>105</v>
      </c>
      <c r="C44" s="113" t="s">
        <v>365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366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367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106</v>
      </c>
      <c r="C47" s="113" t="s">
        <v>365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366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367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220</v>
      </c>
      <c r="B50" s="113" t="s">
        <v>105</v>
      </c>
      <c r="C50" s="113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366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228</v>
      </c>
      <c r="B52" s="113" t="s">
        <v>105</v>
      </c>
      <c r="C52" s="113" t="s">
        <v>365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366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213</v>
      </c>
      <c r="B54" s="113" t="s">
        <v>100</v>
      </c>
      <c r="C54" s="113" t="s">
        <v>365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366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362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189</v>
      </c>
      <c r="B58" s="103" t="s">
        <v>364</v>
      </c>
      <c r="C58" s="120" t="s">
        <v>11</v>
      </c>
      <c r="D58" s="4" t="s">
        <v>127</v>
      </c>
      <c r="E58" s="4" t="s">
        <v>114</v>
      </c>
      <c r="F58" s="4" t="s">
        <v>115</v>
      </c>
      <c r="G58" s="4" t="s">
        <v>116</v>
      </c>
      <c r="H58" s="4" t="s">
        <v>117</v>
      </c>
    </row>
    <row r="59" spans="1:8" x14ac:dyDescent="0.25">
      <c r="A59" s="113" t="s">
        <v>222</v>
      </c>
      <c r="B59" s="113" t="s">
        <v>105</v>
      </c>
      <c r="C59" s="113" t="s">
        <v>365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366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367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221</v>
      </c>
      <c r="B62" s="113" t="s">
        <v>237</v>
      </c>
      <c r="C62" s="113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238</v>
      </c>
      <c r="C64" s="113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214</v>
      </c>
      <c r="B66" s="113" t="s">
        <v>237</v>
      </c>
      <c r="C66" s="113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238</v>
      </c>
      <c r="C68" s="113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367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234</v>
      </c>
      <c r="B70" s="113" t="s">
        <v>237</v>
      </c>
      <c r="C70" s="113" t="s">
        <v>365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367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238</v>
      </c>
      <c r="C72" s="113" t="s">
        <v>365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368</v>
      </c>
      <c r="C74" s="113" t="s">
        <v>365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366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199</v>
      </c>
      <c r="B76" s="113" t="s">
        <v>237</v>
      </c>
      <c r="C76" s="113" t="s">
        <v>365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367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238</v>
      </c>
      <c r="C78" s="113" t="s">
        <v>365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367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204</v>
      </c>
      <c r="B80" s="113" t="s">
        <v>102</v>
      </c>
      <c r="C80" s="113" t="s">
        <v>365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366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202</v>
      </c>
      <c r="B82" s="113" t="s">
        <v>102</v>
      </c>
      <c r="C82" s="113" t="s">
        <v>365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366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203</v>
      </c>
      <c r="B84" s="113" t="s">
        <v>102</v>
      </c>
      <c r="C84" s="113" t="s">
        <v>365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366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226</v>
      </c>
      <c r="B86" s="113" t="s">
        <v>105</v>
      </c>
      <c r="C86" s="113" t="s">
        <v>365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366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367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227</v>
      </c>
      <c r="B89" s="113" t="s">
        <v>105</v>
      </c>
      <c r="C89" s="113" t="s">
        <v>365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366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367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225</v>
      </c>
      <c r="B92" s="113" t="s">
        <v>105</v>
      </c>
      <c r="C92" s="113" t="s">
        <v>365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366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367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224</v>
      </c>
      <c r="B95" s="113" t="s">
        <v>105</v>
      </c>
      <c r="C95" s="113" t="s">
        <v>365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366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367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223</v>
      </c>
      <c r="B98" s="113" t="s">
        <v>105</v>
      </c>
      <c r="C98" s="113" t="s">
        <v>365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366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367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229</v>
      </c>
      <c r="B101" s="113" t="s">
        <v>105</v>
      </c>
      <c r="C101" s="113" t="s">
        <v>365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366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367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106</v>
      </c>
      <c r="C104" s="113" t="s">
        <v>365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366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367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220</v>
      </c>
      <c r="B107" s="113" t="s">
        <v>105</v>
      </c>
      <c r="C107" s="113" t="s">
        <v>365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366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228</v>
      </c>
      <c r="B109" s="113" t="s">
        <v>105</v>
      </c>
      <c r="C109" s="113" t="s">
        <v>365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366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213</v>
      </c>
      <c r="B111" s="113" t="s">
        <v>100</v>
      </c>
      <c r="C111" s="113" t="s">
        <v>365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366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363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189</v>
      </c>
      <c r="B115" s="103" t="s">
        <v>364</v>
      </c>
      <c r="C115" s="120" t="s">
        <v>11</v>
      </c>
      <c r="D115" s="4" t="s">
        <v>127</v>
      </c>
      <c r="E115" s="4" t="s">
        <v>114</v>
      </c>
      <c r="F115" s="4" t="s">
        <v>115</v>
      </c>
      <c r="G115" s="4" t="s">
        <v>116</v>
      </c>
      <c r="H115" s="4" t="s">
        <v>117</v>
      </c>
    </row>
    <row r="116" spans="1:8" x14ac:dyDescent="0.25">
      <c r="A116" s="113" t="s">
        <v>222</v>
      </c>
      <c r="B116" s="113" t="s">
        <v>105</v>
      </c>
      <c r="C116" s="113" t="s">
        <v>365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366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367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221</v>
      </c>
      <c r="B119" s="113" t="s">
        <v>237</v>
      </c>
      <c r="C119" s="113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238</v>
      </c>
      <c r="C121" s="113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214</v>
      </c>
      <c r="B123" s="113" t="s">
        <v>237</v>
      </c>
      <c r="C123" s="113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367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238</v>
      </c>
      <c r="C125" s="113" t="s">
        <v>365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367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234</v>
      </c>
      <c r="B127" s="113" t="s">
        <v>237</v>
      </c>
      <c r="C127" s="113" t="s">
        <v>365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367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238</v>
      </c>
      <c r="C129" s="113" t="s">
        <v>365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367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368</v>
      </c>
      <c r="C131" s="113" t="s">
        <v>365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366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199</v>
      </c>
      <c r="B133" s="113" t="s">
        <v>237</v>
      </c>
      <c r="C133" s="113" t="s">
        <v>365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367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238</v>
      </c>
      <c r="C135" s="113" t="s">
        <v>365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367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204</v>
      </c>
      <c r="B137" s="113" t="s">
        <v>102</v>
      </c>
      <c r="C137" s="113" t="s">
        <v>365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366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202</v>
      </c>
      <c r="B139" s="113" t="s">
        <v>102</v>
      </c>
      <c r="C139" s="113" t="s">
        <v>365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366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203</v>
      </c>
      <c r="B141" s="113" t="s">
        <v>102</v>
      </c>
      <c r="C141" s="113" t="s">
        <v>365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366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226</v>
      </c>
      <c r="B143" s="113" t="s">
        <v>105</v>
      </c>
      <c r="C143" s="113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366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227</v>
      </c>
      <c r="B146" s="113" t="s">
        <v>105</v>
      </c>
      <c r="C146" s="113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225</v>
      </c>
      <c r="B149" s="113" t="s">
        <v>105</v>
      </c>
      <c r="C149" s="113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224</v>
      </c>
      <c r="B152" s="113" t="s">
        <v>105</v>
      </c>
      <c r="C152" s="113" t="s">
        <v>365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366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367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223</v>
      </c>
      <c r="B155" s="113" t="s">
        <v>105</v>
      </c>
      <c r="C155" s="113" t="s">
        <v>365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229</v>
      </c>
      <c r="B158" s="113" t="s">
        <v>105</v>
      </c>
      <c r="C158" s="113" t="s">
        <v>365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366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367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106</v>
      </c>
      <c r="C161" s="113" t="s">
        <v>365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366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367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220</v>
      </c>
      <c r="B164" s="113" t="s">
        <v>105</v>
      </c>
      <c r="C164" s="113" t="s">
        <v>365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366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228</v>
      </c>
      <c r="B166" s="113" t="s">
        <v>105</v>
      </c>
      <c r="C166" s="113" t="s">
        <v>365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366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213</v>
      </c>
      <c r="B168" s="113" t="s">
        <v>100</v>
      </c>
      <c r="C168" s="113" t="s">
        <v>365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366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Soq4cojVNxze7veI/0VDTWpM+4mE2WmC+Ro2Um+qfhhb0iV6XzOVoZIN2/HCOilCoHtPWaNm7w97+09awPArvQ==" saltValue="k/JBpddZF/XnPQOVsfNw9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244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244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244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QI3r9gypKUpM/aaHgNfa08irRUQi1Ed3Ql5LqCHDAwku3nybEgd7CeZg/6itRrecsVqS7NqW+SH0cC6QAmmuDQ==" saltValue="HKK03vSE1pZhMoQECfVvQA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2025-07-30T02:04:35Z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