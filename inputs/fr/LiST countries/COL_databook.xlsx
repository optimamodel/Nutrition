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9A017644-E9FF-4E1D-A185-2CF7C002105B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2" i="2" l="1"/>
  <c r="A23" i="2"/>
  <c r="I3" i="2"/>
  <c r="I7" i="2"/>
  <c r="I11" i="2"/>
  <c r="A36" i="2"/>
  <c r="A37" i="2"/>
  <c r="I4" i="2"/>
  <c r="A25" i="2"/>
  <c r="A26" i="2"/>
  <c r="I39" i="2"/>
  <c r="I9" i="2"/>
  <c r="I13" i="2"/>
  <c r="A31" i="2"/>
  <c r="A34" i="2"/>
  <c r="A40" i="2"/>
  <c r="I2" i="2"/>
  <c r="I6" i="2"/>
  <c r="A19" i="2"/>
  <c r="A35" i="2"/>
  <c r="A2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<sst xmlns="http://schemas.openxmlformats.org/spreadsheetml/2006/main" count="2159" uniqueCount="368">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</sst>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3535711.5</v>
      </c>
    </row>
    <row r="8" spans="1:3" ht="15" customHeight="1" x14ac:dyDescent="0.25">
      <c r="B8" s="5" t="s">
        <v>37</v>
      </c>
      <c r="C8" s="44">
        <v>4.0999999999999988E-2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0.81589927673339802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0.13500000000000001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0.14069999999999999</v>
      </c>
    </row>
    <row r="24" spans="1:3" ht="15" customHeight="1" x14ac:dyDescent="0.25">
      <c r="B24" s="15" t="s">
        <v>51</v>
      </c>
      <c r="C24" s="45">
        <v>0.54339999999999999</v>
      </c>
    </row>
    <row r="25" spans="1:3" ht="15" customHeight="1" x14ac:dyDescent="0.25">
      <c r="B25" s="15" t="s">
        <v>52</v>
      </c>
      <c r="C25" s="45">
        <v>0.26979999999999998</v>
      </c>
    </row>
    <row r="26" spans="1:3" ht="15" customHeight="1" x14ac:dyDescent="0.25">
      <c r="B26" s="15" t="s">
        <v>53</v>
      </c>
      <c r="C26" s="45">
        <v>4.6100000000000002E-2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0.43013027417118699</v>
      </c>
    </row>
    <row r="30" spans="1:3" ht="14.25" customHeight="1" x14ac:dyDescent="0.25">
      <c r="B30" s="25" t="s">
        <v>56</v>
      </c>
      <c r="C30" s="99">
        <v>3.6306215717705301E-2</v>
      </c>
    </row>
    <row r="31" spans="1:3" ht="14.25" customHeight="1" x14ac:dyDescent="0.25">
      <c r="B31" s="25" t="s">
        <v>57</v>
      </c>
      <c r="C31" s="99">
        <v>5.3639561550891501E-2</v>
      </c>
    </row>
    <row r="32" spans="1:3" ht="14.25" customHeight="1" x14ac:dyDescent="0.25">
      <c r="B32" s="25" t="s">
        <v>58</v>
      </c>
      <c r="C32" s="99">
        <v>0.47992394856021697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6.9927799999999998</v>
      </c>
    </row>
    <row r="38" spans="1:5" ht="15" customHeight="1" x14ac:dyDescent="0.25">
      <c r="B38" s="11" t="s">
        <v>63</v>
      </c>
      <c r="C38" s="43">
        <v>11.05827</v>
      </c>
      <c r="D38" s="12"/>
      <c r="E38" s="13"/>
    </row>
    <row r="39" spans="1:5" ht="15" customHeight="1" x14ac:dyDescent="0.25">
      <c r="B39" s="11" t="s">
        <v>64</v>
      </c>
      <c r="C39" s="43">
        <v>12.84816</v>
      </c>
      <c r="D39" s="12"/>
      <c r="E39" s="12"/>
    </row>
    <row r="40" spans="1:5" ht="15" customHeight="1" x14ac:dyDescent="0.25">
      <c r="B40" s="11" t="s">
        <v>65</v>
      </c>
      <c r="C40" s="100">
        <v>0.75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7.1447500000000002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7.6820999999999999E-3</v>
      </c>
      <c r="D45" s="12"/>
    </row>
    <row r="46" spans="1:5" ht="15.75" customHeight="1" x14ac:dyDescent="0.25">
      <c r="B46" s="11" t="s">
        <v>70</v>
      </c>
      <c r="C46" s="45">
        <v>8.2543399999999989E-2</v>
      </c>
      <c r="D46" s="12"/>
    </row>
    <row r="47" spans="1:5" ht="15.75" customHeight="1" x14ac:dyDescent="0.25">
      <c r="B47" s="11" t="s">
        <v>71</v>
      </c>
      <c r="C47" s="45">
        <v>7.3695200000000002E-2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3.2</v>
      </c>
      <c r="D51" s="12"/>
    </row>
    <row r="52" spans="1:4" ht="15" customHeight="1" x14ac:dyDescent="0.25">
      <c r="B52" s="11" t="s">
        <v>75</v>
      </c>
      <c r="C52" s="100">
        <v>3.2</v>
      </c>
    </row>
    <row r="53" spans="1:4" ht="15.75" customHeight="1" x14ac:dyDescent="0.25">
      <c r="B53" s="11" t="s">
        <v>76</v>
      </c>
      <c r="C53" s="100">
        <v>3.2</v>
      </c>
    </row>
    <row r="54" spans="1:4" ht="15.75" customHeight="1" x14ac:dyDescent="0.25">
      <c r="B54" s="11" t="s">
        <v>77</v>
      </c>
      <c r="C54" s="100">
        <v>3.2</v>
      </c>
    </row>
    <row r="55" spans="1:4" ht="15.75" customHeight="1" x14ac:dyDescent="0.25">
      <c r="B55" s="11" t="s">
        <v>78</v>
      </c>
      <c r="C55" s="100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0.55688800000000005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9.9555930999999903E-2</v>
      </c>
    </row>
    <row r="63" spans="1:4" ht="15.75" customHeight="1" x14ac:dyDescent="0.3">
      <c r="A63" s="4"/>
    </row>
  </sheetData>
  <sheetProtection algorithmName="SHA-512" hashValue="1lD/7CBqO8XkK+qjDdCkEcUg/9Zqfjrz03lU//0G7P37QFJWzhTMJwLJR4gwwmeaGXlrlXjAJaZI9X8Nr/Weuw==" saltValue="bQrqMvFOUqlIR0LSxYmQ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700784</v>
      </c>
      <c r="C2" s="49">
        <v>1948399</v>
      </c>
      <c r="D2" s="49">
        <v>4445415.4999999991</v>
      </c>
      <c r="E2" s="49">
        <v>4277973</v>
      </c>
      <c r="F2" s="49">
        <v>3588210.5</v>
      </c>
      <c r="G2" s="17">
        <f t="shared" ref="G2:G13" si="0">C2+D2+E2+F2</f>
        <v>14259998</v>
      </c>
      <c r="H2" s="17">
        <f t="shared" ref="H2:H13" si="1">(B2 + stillbirth*B2/(1000-stillbirth))/(1-abortion)</f>
        <v>802076.08767285512</v>
      </c>
      <c r="I2" s="17">
        <f t="shared" ref="I2:I13" si="2">G2-H2</f>
        <v>13457921.912327144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692792</v>
      </c>
      <c r="C3" s="50">
        <v>1918232.5</v>
      </c>
      <c r="D3" s="50">
        <v>4405021.0000000009</v>
      </c>
      <c r="E3" s="50">
        <v>4360050.4999999991</v>
      </c>
      <c r="F3" s="50">
        <v>3657191</v>
      </c>
      <c r="G3" s="17">
        <f t="shared" si="0"/>
        <v>14340495</v>
      </c>
      <c r="H3" s="17">
        <f t="shared" si="1"/>
        <v>792928.91523073113</v>
      </c>
      <c r="I3" s="17">
        <f t="shared" si="2"/>
        <v>13547566.084769269</v>
      </c>
    </row>
    <row r="4" spans="1:9" ht="15.75" customHeight="1" x14ac:dyDescent="0.25">
      <c r="A4" s="5">
        <f t="shared" si="3"/>
        <v>2026</v>
      </c>
      <c r="B4" s="49">
        <v>684798</v>
      </c>
      <c r="C4" s="50">
        <v>1887995</v>
      </c>
      <c r="D4" s="50">
        <v>4356732.5</v>
      </c>
      <c r="E4" s="50">
        <v>4432068.5</v>
      </c>
      <c r="F4" s="50">
        <v>3723419.5</v>
      </c>
      <c r="G4" s="17">
        <f t="shared" si="0"/>
        <v>14400215.5</v>
      </c>
      <c r="H4" s="17">
        <f t="shared" si="1"/>
        <v>783779.45370641432</v>
      </c>
      <c r="I4" s="17">
        <f t="shared" si="2"/>
        <v>13616436.046293586</v>
      </c>
    </row>
    <row r="5" spans="1:9" ht="15.75" customHeight="1" x14ac:dyDescent="0.25">
      <c r="A5" s="5">
        <f t="shared" si="3"/>
        <v>2027</v>
      </c>
      <c r="B5" s="49">
        <v>677447</v>
      </c>
      <c r="C5" s="50">
        <v>1858870.5</v>
      </c>
      <c r="D5" s="50">
        <v>4301379</v>
      </c>
      <c r="E5" s="50">
        <v>4495246.9999999991</v>
      </c>
      <c r="F5" s="50">
        <v>3789044.5</v>
      </c>
      <c r="G5" s="17">
        <f t="shared" si="0"/>
        <v>14444541</v>
      </c>
      <c r="H5" s="17">
        <f t="shared" si="1"/>
        <v>775365.93210705824</v>
      </c>
      <c r="I5" s="17">
        <f t="shared" si="2"/>
        <v>13669175.067892943</v>
      </c>
    </row>
    <row r="6" spans="1:9" ht="15.75" customHeight="1" x14ac:dyDescent="0.25">
      <c r="A6" s="5">
        <f t="shared" si="3"/>
        <v>2028</v>
      </c>
      <c r="B6" s="49">
        <v>671111</v>
      </c>
      <c r="C6" s="50">
        <v>1830871</v>
      </c>
      <c r="D6" s="50">
        <v>4239128.5</v>
      </c>
      <c r="E6" s="50">
        <v>4551946</v>
      </c>
      <c r="F6" s="50">
        <v>3856606</v>
      </c>
      <c r="G6" s="17">
        <f t="shared" si="0"/>
        <v>14478551.5</v>
      </c>
      <c r="H6" s="17">
        <f t="shared" si="1"/>
        <v>768114.11972050951</v>
      </c>
      <c r="I6" s="17">
        <f t="shared" si="2"/>
        <v>13710437.380279491</v>
      </c>
    </row>
    <row r="7" spans="1:9" ht="15.75" customHeight="1" x14ac:dyDescent="0.25">
      <c r="A7" s="5">
        <f t="shared" si="3"/>
        <v>2029</v>
      </c>
      <c r="B7" s="49">
        <v>664211</v>
      </c>
      <c r="C7" s="50">
        <v>1804726.5</v>
      </c>
      <c r="D7" s="50">
        <v>4173611.5</v>
      </c>
      <c r="E7" s="50">
        <v>4595625</v>
      </c>
      <c r="F7" s="50">
        <v>3926865.5</v>
      </c>
      <c r="G7" s="17">
        <f t="shared" si="0"/>
        <v>14500828.5</v>
      </c>
      <c r="H7" s="17">
        <f t="shared" si="1"/>
        <v>760216.78615561267</v>
      </c>
      <c r="I7" s="17">
        <f t="shared" si="2"/>
        <v>13740611.713844387</v>
      </c>
    </row>
    <row r="8" spans="1:9" ht="15.75" customHeight="1" x14ac:dyDescent="0.25">
      <c r="A8" s="5">
        <f t="shared" si="3"/>
        <v>2030</v>
      </c>
      <c r="B8" s="49">
        <v>656778</v>
      </c>
      <c r="C8" s="50">
        <v>1783022.5</v>
      </c>
      <c r="D8" s="50">
        <v>4105526.5</v>
      </c>
      <c r="E8" s="50">
        <v>4621189</v>
      </c>
      <c r="F8" s="50">
        <v>3998145.0000000005</v>
      </c>
      <c r="G8" s="17">
        <f t="shared" si="0"/>
        <v>14507883</v>
      </c>
      <c r="H8" s="17">
        <f t="shared" si="1"/>
        <v>751709.41218635486</v>
      </c>
      <c r="I8" s="17">
        <f t="shared" si="2"/>
        <v>13756173.587813646</v>
      </c>
    </row>
    <row r="9" spans="1:9" ht="15.75" customHeight="1" x14ac:dyDescent="0.25">
      <c r="A9" s="5">
        <f t="shared" si="3"/>
        <v>2031</v>
      </c>
      <c r="B9" s="49">
        <v>649285</v>
      </c>
      <c r="C9" s="50">
        <v>1764848</v>
      </c>
      <c r="D9" s="50">
        <v>4033734.0000000005</v>
      </c>
      <c r="E9" s="50">
        <v>4628873.5</v>
      </c>
      <c r="F9" s="50">
        <v>4070007</v>
      </c>
      <c r="G9" s="17">
        <f t="shared" si="0"/>
        <v>14497462.5</v>
      </c>
      <c r="H9" s="17">
        <f t="shared" si="1"/>
        <v>743133.36575131526</v>
      </c>
      <c r="I9" s="17">
        <f t="shared" si="2"/>
        <v>13754329.134248685</v>
      </c>
    </row>
    <row r="10" spans="1:9" ht="15.75" customHeight="1" x14ac:dyDescent="0.25">
      <c r="A10" s="5">
        <f t="shared" si="3"/>
        <v>2032</v>
      </c>
      <c r="B10" s="49">
        <v>641703</v>
      </c>
      <c r="C10" s="50">
        <v>1750589.5</v>
      </c>
      <c r="D10" s="50">
        <v>3961364.5</v>
      </c>
      <c r="E10" s="50">
        <v>4619783.5</v>
      </c>
      <c r="F10" s="50">
        <v>4142868.0000000005</v>
      </c>
      <c r="G10" s="17">
        <f t="shared" si="0"/>
        <v>14474605.5</v>
      </c>
      <c r="H10" s="17">
        <f t="shared" si="1"/>
        <v>734455.45515869965</v>
      </c>
      <c r="I10" s="17">
        <f t="shared" si="2"/>
        <v>13740150.044841301</v>
      </c>
    </row>
    <row r="11" spans="1:9" ht="15.75" customHeight="1" x14ac:dyDescent="0.25">
      <c r="A11" s="5">
        <f t="shared" si="3"/>
        <v>2033</v>
      </c>
      <c r="B11" s="49">
        <v>634613</v>
      </c>
      <c r="C11" s="50">
        <v>1743083</v>
      </c>
      <c r="D11" s="50">
        <v>3891280.5</v>
      </c>
      <c r="E11" s="50">
        <v>4594761</v>
      </c>
      <c r="F11" s="50">
        <v>4218761</v>
      </c>
      <c r="G11" s="17">
        <f t="shared" si="0"/>
        <v>14447885.5</v>
      </c>
      <c r="H11" s="17">
        <f t="shared" si="1"/>
        <v>726340.65878549404</v>
      </c>
      <c r="I11" s="17">
        <f t="shared" si="2"/>
        <v>13721544.841214506</v>
      </c>
    </row>
    <row r="12" spans="1:9" ht="15.75" customHeight="1" x14ac:dyDescent="0.25">
      <c r="A12" s="5">
        <f t="shared" si="3"/>
        <v>2034</v>
      </c>
      <c r="B12" s="49">
        <v>627450</v>
      </c>
      <c r="C12" s="50">
        <v>1742728.5</v>
      </c>
      <c r="D12" s="50">
        <v>3826209.5</v>
      </c>
      <c r="E12" s="50">
        <v>4554651.5</v>
      </c>
      <c r="F12" s="50">
        <v>4297891.5</v>
      </c>
      <c r="G12" s="17">
        <f t="shared" si="0"/>
        <v>14421481</v>
      </c>
      <c r="H12" s="17">
        <f t="shared" si="1"/>
        <v>718142.31091225403</v>
      </c>
      <c r="I12" s="17">
        <f t="shared" si="2"/>
        <v>13703338.689087747</v>
      </c>
    </row>
    <row r="13" spans="1:9" ht="15.75" customHeight="1" x14ac:dyDescent="0.25">
      <c r="A13" s="5">
        <f t="shared" si="3"/>
        <v>2035</v>
      </c>
      <c r="B13" s="49">
        <v>619700</v>
      </c>
      <c r="C13" s="50">
        <v>1748604.5</v>
      </c>
      <c r="D13" s="50">
        <v>3767119</v>
      </c>
      <c r="E13" s="50">
        <v>4503207.5</v>
      </c>
      <c r="F13" s="50">
        <v>4374228.4999999991</v>
      </c>
      <c r="G13" s="17">
        <f t="shared" si="0"/>
        <v>14393159.5</v>
      </c>
      <c r="H13" s="17">
        <f t="shared" si="1"/>
        <v>709272.11741544958</v>
      </c>
      <c r="I13" s="17">
        <f t="shared" si="2"/>
        <v>13683887.382584549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xaAK5QWrN8qgLwOBjRfI+GjxDRUpXAIBgg0igUw/rMSeO94q6v9yGtjfgpkWJR2zUiYKfXAdUChbc07ziAQHg==" saltValue="TSIQC2moAmqBpZ0nAyh/a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0.14711110000000011</v>
      </c>
    </row>
    <row r="5" spans="1:8" ht="15.75" customHeight="1" x14ac:dyDescent="0.25">
      <c r="B5" s="19" t="s">
        <v>98</v>
      </c>
      <c r="C5" s="101">
        <v>4.0477800000000022E-2</v>
      </c>
    </row>
    <row r="6" spans="1:8" ht="15.75" customHeight="1" x14ac:dyDescent="0.25">
      <c r="B6" s="19" t="s">
        <v>99</v>
      </c>
      <c r="C6" s="101">
        <v>9.7223000000000004E-2</v>
      </c>
    </row>
    <row r="7" spans="1:8" ht="15.75" customHeight="1" x14ac:dyDescent="0.25">
      <c r="B7" s="19" t="s">
        <v>100</v>
      </c>
      <c r="C7" s="101">
        <v>0.32530749999999958</v>
      </c>
    </row>
    <row r="8" spans="1:8" ht="15.75" customHeight="1" x14ac:dyDescent="0.25">
      <c r="B8" s="19" t="s">
        <v>101</v>
      </c>
      <c r="C8" s="101">
        <v>0</v>
      </c>
    </row>
    <row r="9" spans="1:8" ht="15.75" customHeight="1" x14ac:dyDescent="0.25">
      <c r="B9" s="19" t="s">
        <v>102</v>
      </c>
      <c r="C9" s="101">
        <v>0.27405230000000008</v>
      </c>
    </row>
    <row r="10" spans="1:8" ht="15.75" customHeight="1" x14ac:dyDescent="0.25">
      <c r="B10" s="19" t="s">
        <v>103</v>
      </c>
      <c r="C10" s="101">
        <v>0.1158283</v>
      </c>
    </row>
    <row r="11" spans="1:8" ht="15.75" customHeight="1" x14ac:dyDescent="0.25">
      <c r="B11" s="27" t="s">
        <v>59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7.5650692706176817E-2</v>
      </c>
      <c r="D14" s="55">
        <v>7.5650692706176817E-2</v>
      </c>
      <c r="E14" s="55">
        <v>7.5650692706176817E-2</v>
      </c>
      <c r="F14" s="55">
        <v>7.5650692706176817E-2</v>
      </c>
    </row>
    <row r="15" spans="1:8" ht="15.75" customHeight="1" x14ac:dyDescent="0.25">
      <c r="B15" s="19" t="s">
        <v>106</v>
      </c>
      <c r="C15" s="101">
        <v>0.33829228028107838</v>
      </c>
      <c r="D15" s="101">
        <v>0.33829228028107838</v>
      </c>
      <c r="E15" s="101">
        <v>0.33829228028107838</v>
      </c>
      <c r="F15" s="101">
        <v>0.33829228028107838</v>
      </c>
    </row>
    <row r="16" spans="1:8" ht="15.75" customHeight="1" x14ac:dyDescent="0.25">
      <c r="B16" s="19" t="s">
        <v>107</v>
      </c>
      <c r="C16" s="101">
        <v>4.0471888956131262E-2</v>
      </c>
      <c r="D16" s="101">
        <v>4.0471888956131262E-2</v>
      </c>
      <c r="E16" s="101">
        <v>4.0471888956131262E-2</v>
      </c>
      <c r="F16" s="101">
        <v>4.0471888956131262E-2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8.6409764688803227E-4</v>
      </c>
      <c r="D18" s="101">
        <v>8.6409764688803227E-4</v>
      </c>
      <c r="E18" s="101">
        <v>8.6409764688803227E-4</v>
      </c>
      <c r="F18" s="101">
        <v>8.6409764688803227E-4</v>
      </c>
    </row>
    <row r="19" spans="1:8" ht="15.75" customHeight="1" x14ac:dyDescent="0.25">
      <c r="B19" s="19" t="s">
        <v>110</v>
      </c>
      <c r="C19" s="101">
        <v>1.100088805803145E-2</v>
      </c>
      <c r="D19" s="101">
        <v>1.100088805803145E-2</v>
      </c>
      <c r="E19" s="101">
        <v>1.100088805803145E-2</v>
      </c>
      <c r="F19" s="101">
        <v>1.100088805803145E-2</v>
      </c>
    </row>
    <row r="20" spans="1:8" ht="15.75" customHeight="1" x14ac:dyDescent="0.25">
      <c r="B20" s="19" t="s">
        <v>111</v>
      </c>
      <c r="C20" s="101">
        <v>3.2865733487814998E-2</v>
      </c>
      <c r="D20" s="101">
        <v>3.2865733487814998E-2</v>
      </c>
      <c r="E20" s="101">
        <v>3.2865733487814998E-2</v>
      </c>
      <c r="F20" s="101">
        <v>3.2865733487814998E-2</v>
      </c>
    </row>
    <row r="21" spans="1:8" ht="15.75" customHeight="1" x14ac:dyDescent="0.25">
      <c r="B21" s="19" t="s">
        <v>112</v>
      </c>
      <c r="C21" s="101">
        <v>0.23867431234891051</v>
      </c>
      <c r="D21" s="101">
        <v>0.23867431234891051</v>
      </c>
      <c r="E21" s="101">
        <v>0.23867431234891051</v>
      </c>
      <c r="F21" s="101">
        <v>0.23867431234891051</v>
      </c>
    </row>
    <row r="22" spans="1:8" ht="15.75" customHeight="1" x14ac:dyDescent="0.25">
      <c r="B22" s="19" t="s">
        <v>113</v>
      </c>
      <c r="C22" s="101">
        <v>0.26218010651496848</v>
      </c>
      <c r="D22" s="101">
        <v>0.26218010651496848</v>
      </c>
      <c r="E22" s="101">
        <v>0.26218010651496848</v>
      </c>
      <c r="F22" s="101">
        <v>0.26218010651496848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3.6445469000000001E-2</v>
      </c>
    </row>
    <row r="27" spans="1:8" ht="15.75" customHeight="1" x14ac:dyDescent="0.25">
      <c r="B27" s="19" t="s">
        <v>120</v>
      </c>
      <c r="C27" s="101">
        <v>2.0200972000000001E-2</v>
      </c>
    </row>
    <row r="28" spans="1:8" ht="15.75" customHeight="1" x14ac:dyDescent="0.25">
      <c r="B28" s="19" t="s">
        <v>121</v>
      </c>
      <c r="C28" s="101">
        <v>0.121636906</v>
      </c>
    </row>
    <row r="29" spans="1:8" ht="15.75" customHeight="1" x14ac:dyDescent="0.25">
      <c r="B29" s="19" t="s">
        <v>122</v>
      </c>
      <c r="C29" s="101">
        <v>0.27379125199999998</v>
      </c>
    </row>
    <row r="30" spans="1:8" ht="15.75" customHeight="1" x14ac:dyDescent="0.25">
      <c r="B30" s="19" t="s">
        <v>2</v>
      </c>
      <c r="C30" s="101">
        <v>4.8980840999999997E-2</v>
      </c>
    </row>
    <row r="31" spans="1:8" ht="15.75" customHeight="1" x14ac:dyDescent="0.25">
      <c r="B31" s="19" t="s">
        <v>123</v>
      </c>
      <c r="C31" s="101">
        <v>9.9634768999999998E-2</v>
      </c>
    </row>
    <row r="32" spans="1:8" ht="15.75" customHeight="1" x14ac:dyDescent="0.25">
      <c r="B32" s="19" t="s">
        <v>124</v>
      </c>
      <c r="C32" s="101">
        <v>4.4642563000000003E-2</v>
      </c>
    </row>
    <row r="33" spans="2:3" ht="15.75" customHeight="1" x14ac:dyDescent="0.25">
      <c r="B33" s="19" t="s">
        <v>125</v>
      </c>
      <c r="C33" s="101">
        <v>9.3728627999999994E-2</v>
      </c>
    </row>
    <row r="34" spans="2:3" ht="15.75" customHeight="1" x14ac:dyDescent="0.25">
      <c r="B34" s="19" t="s">
        <v>126</v>
      </c>
      <c r="C34" s="101">
        <v>0.26093860099999999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KN5yfAqnMu/Iddrkp1fLreLFeB/N/53ufd0RUDgDTWRHMo3uzsL5rF/t+wNx8MXGyytfdgsuOcjUXefOPAG8aQ==" saltValue="BnwIkOyZyor6z3q9n4NWw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0.61705174061548995</v>
      </c>
      <c r="D2" s="52">
        <f>IFERROR(1-_xlfn.NORM.DIST(_xlfn.NORM.INV(SUM(D4:D5), 0, 1) + 1, 0, 1, TRUE), "")</f>
        <v>0.61705174061548995</v>
      </c>
      <c r="E2" s="52">
        <f>IFERROR(1-_xlfn.NORM.DIST(_xlfn.NORM.INV(SUM(E4:E5), 0, 1) + 1, 0, 1, TRUE), "")</f>
        <v>0.63192611963028966</v>
      </c>
      <c r="F2" s="52">
        <f>IFERROR(1-_xlfn.NORM.DIST(_xlfn.NORM.INV(SUM(F4:F5), 0, 1) + 1, 0, 1, TRUE), "")</f>
        <v>0.51219827988174838</v>
      </c>
      <c r="G2" s="52">
        <f>IFERROR(1-_xlfn.NORM.DIST(_xlfn.NORM.INV(SUM(G4:G5), 0, 1) + 1, 0, 1, TRUE), "")</f>
        <v>0.55310171614147607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0.28576105938451002</v>
      </c>
      <c r="D3" s="52">
        <f>IFERROR(_xlfn.NORM.DIST(_xlfn.NORM.INV(SUM(D4:D5), 0, 1) + 1, 0, 1, TRUE) - SUM(D4:D5), "")</f>
        <v>0.28576105938451002</v>
      </c>
      <c r="E3" s="52">
        <f>IFERROR(_xlfn.NORM.DIST(_xlfn.NORM.INV(SUM(E4:E5), 0, 1) + 1, 0, 1, TRUE) - SUM(E4:E5), "")</f>
        <v>0.27745588036971025</v>
      </c>
      <c r="F3" s="52">
        <f>IFERROR(_xlfn.NORM.DIST(_xlfn.NORM.INV(SUM(F4:F5), 0, 1) + 1, 0, 1, TRUE) - SUM(F4:F5), "")</f>
        <v>0.33643312011825166</v>
      </c>
      <c r="G3" s="52">
        <f>IFERROR(_xlfn.NORM.DIST(_xlfn.NORM.INV(SUM(G4:G5), 0, 1) + 1, 0, 1, TRUE) - SUM(G4:G5), "")</f>
        <v>0.31839648385852393</v>
      </c>
    </row>
    <row r="4" spans="1:15" ht="15.75" customHeight="1" x14ac:dyDescent="0.25">
      <c r="B4" s="5" t="s">
        <v>132</v>
      </c>
      <c r="C4" s="45">
        <v>6.5141400000000002E-2</v>
      </c>
      <c r="D4" s="53">
        <v>6.5141400000000002E-2</v>
      </c>
      <c r="E4" s="53">
        <v>6.9816200000000009E-2</v>
      </c>
      <c r="F4" s="53">
        <v>0.11459809999999999</v>
      </c>
      <c r="G4" s="53">
        <v>0.1062206</v>
      </c>
    </row>
    <row r="5" spans="1:15" ht="15.75" customHeight="1" x14ac:dyDescent="0.25">
      <c r="B5" s="5" t="s">
        <v>133</v>
      </c>
      <c r="C5" s="45">
        <v>3.2045799999999999E-2</v>
      </c>
      <c r="D5" s="53">
        <v>3.2045799999999999E-2</v>
      </c>
      <c r="E5" s="53">
        <v>2.0801799999999999E-2</v>
      </c>
      <c r="F5" s="53">
        <v>3.6770499999999998E-2</v>
      </c>
      <c r="G5" s="53">
        <v>2.2281200000000001E-2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0.8374242490020587</v>
      </c>
      <c r="D8" s="52">
        <f>IFERROR(1-_xlfn.NORM.DIST(_xlfn.NORM.INV(SUM(D10:D11), 0, 1) + 1, 0, 1, TRUE), "")</f>
        <v>0.8374242490020587</v>
      </c>
      <c r="E8" s="52">
        <f>IFERROR(1-_xlfn.NORM.DIST(_xlfn.NORM.INV(SUM(E10:E11), 0, 1) + 1, 0, 1, TRUE), "")</f>
        <v>0.89593776260339264</v>
      </c>
      <c r="F8" s="52">
        <f>IFERROR(1-_xlfn.NORM.DIST(_xlfn.NORM.INV(SUM(F10:F11), 0, 1) + 1, 0, 1, TRUE), "")</f>
        <v>0.91713100205574305</v>
      </c>
      <c r="G8" s="52">
        <f>IFERROR(1-_xlfn.NORM.DIST(_xlfn.NORM.INV(SUM(G10:G11), 0, 1) + 1, 0, 1, TRUE), "")</f>
        <v>0.92981166123398229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0.13894375099794132</v>
      </c>
      <c r="D9" s="52">
        <f>IFERROR(_xlfn.NORM.DIST(_xlfn.NORM.INV(SUM(D10:D11), 0, 1) + 1, 0, 1, TRUE) - SUM(D10:D11), "")</f>
        <v>0.13894375099794132</v>
      </c>
      <c r="E9" s="52">
        <f>IFERROR(_xlfn.NORM.DIST(_xlfn.NORM.INV(SUM(E10:E11), 0, 1) + 1, 0, 1, TRUE) - SUM(E10:E11), "")</f>
        <v>9.2112437396607377E-2</v>
      </c>
      <c r="F9" s="52">
        <f>IFERROR(_xlfn.NORM.DIST(_xlfn.NORM.INV(SUM(F10:F11), 0, 1) + 1, 0, 1, TRUE) - SUM(F10:F11), "")</f>
        <v>7.4353297944256963E-2</v>
      </c>
      <c r="G9" s="52">
        <f>IFERROR(_xlfn.NORM.DIST(_xlfn.NORM.INV(SUM(G10:G11), 0, 1) + 1, 0, 1, TRUE) - SUM(G10:G11), "")</f>
        <v>6.3515138766017679E-2</v>
      </c>
    </row>
    <row r="10" spans="1:15" ht="15.75" customHeight="1" x14ac:dyDescent="0.25">
      <c r="B10" s="5" t="s">
        <v>137</v>
      </c>
      <c r="C10" s="45">
        <v>1.4621800000000001E-2</v>
      </c>
      <c r="D10" s="53">
        <v>1.4621800000000001E-2</v>
      </c>
      <c r="E10" s="53">
        <v>1.0748499999999999E-2</v>
      </c>
      <c r="F10" s="53">
        <v>7.0501000000000001E-3</v>
      </c>
      <c r="G10" s="53">
        <v>5.8764999999999998E-3</v>
      </c>
    </row>
    <row r="11" spans="1:15" ht="15.75" customHeight="1" x14ac:dyDescent="0.25">
      <c r="B11" s="5" t="s">
        <v>138</v>
      </c>
      <c r="C11" s="45">
        <v>9.0102000000000012E-3</v>
      </c>
      <c r="D11" s="53">
        <v>9.0102000000000012E-3</v>
      </c>
      <c r="E11" s="53">
        <v>1.2013E-3</v>
      </c>
      <c r="F11" s="53">
        <v>1.4656000000000001E-3</v>
      </c>
      <c r="G11" s="53">
        <v>7.9670000000000001E-4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0.33551805200000001</v>
      </c>
      <c r="D14" s="54">
        <v>0.31433103722400002</v>
      </c>
      <c r="E14" s="54">
        <v>0.31433103722400002</v>
      </c>
      <c r="F14" s="54">
        <v>9.9518045944200009E-2</v>
      </c>
      <c r="G14" s="54">
        <v>9.9518045944200009E-2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0.20899999999999999</v>
      </c>
      <c r="M14" s="55">
        <v>0.20899999999999999</v>
      </c>
      <c r="N14" s="55">
        <v>0.20899999999999999</v>
      </c>
      <c r="O14" s="55">
        <v>0.20899999999999999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0.18684597694217603</v>
      </c>
      <c r="D15" s="52">
        <f t="shared" si="0"/>
        <v>0.17504718265759894</v>
      </c>
      <c r="E15" s="52">
        <f t="shared" si="0"/>
        <v>0.17504718265759894</v>
      </c>
      <c r="F15" s="52">
        <f t="shared" si="0"/>
        <v>5.5420405569773658E-2</v>
      </c>
      <c r="G15" s="52">
        <f t="shared" si="0"/>
        <v>5.5420405569773658E-2</v>
      </c>
      <c r="H15" s="52">
        <f t="shared" si="0"/>
        <v>0.15147353600000002</v>
      </c>
      <c r="I15" s="52">
        <f t="shared" si="0"/>
        <v>0.15147353600000002</v>
      </c>
      <c r="J15" s="52">
        <f t="shared" si="0"/>
        <v>0.15147353600000002</v>
      </c>
      <c r="K15" s="52">
        <f t="shared" si="0"/>
        <v>0.15147353600000002</v>
      </c>
      <c r="L15" s="52">
        <f t="shared" si="0"/>
        <v>0.116389592</v>
      </c>
      <c r="M15" s="52">
        <f t="shared" si="0"/>
        <v>0.116389592</v>
      </c>
      <c r="N15" s="52">
        <f t="shared" si="0"/>
        <v>0.116389592</v>
      </c>
      <c r="O15" s="52">
        <f t="shared" si="0"/>
        <v>0.116389592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dSrKAWUyIEdk8OunBSUG2CJdfT/mFhNI3cDMSztkrxkJ4hSOWKnP5qtbrzchKgAmJC3yLv9+DKoJq4bRxnYi4Q==" saltValue="SmgWdzXpgFD3vAZRKBnT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0.63326949999999993</v>
      </c>
      <c r="D2" s="53">
        <v>0.40198139999999999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7.0307599999999998E-2</v>
      </c>
      <c r="D3" s="53">
        <v>0.10907890000000001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0.26577980000000001</v>
      </c>
      <c r="D4" s="53">
        <v>0.43609550000000002</v>
      </c>
      <c r="E4" s="53">
        <v>0.74256719999999998</v>
      </c>
      <c r="F4" s="53">
        <v>0.4472005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3.0643100000000034E-2</v>
      </c>
      <c r="D5" s="52">
        <f t="shared" si="0"/>
        <v>5.2844200000000008E-2</v>
      </c>
      <c r="E5" s="52">
        <f>1-SUM(E2:E4)</f>
        <v>0.25743280000000002</v>
      </c>
      <c r="F5" s="52">
        <f>1-SUM(F2:F4)</f>
        <v>0.5527995</v>
      </c>
      <c r="G5" s="52">
        <f>1-SUM(G2:G4)</f>
        <v>1</v>
      </c>
    </row>
  </sheetData>
  <sheetProtection algorithmName="SHA-512" hashValue="J8TKaaJRcGHtSCJQpOwsV/caIy01xOEuxZ7JvaSQdYRW1gjvA89ZpyeyO8wFW7zrA7RiILIZzQkQqOLARCVAKQ==" saltValue="MyMwdpufw63lMJ4aPAFBc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vijiCKxzEVt0KWJxTxFbruiPZeG3ZlKy68zeWlV/CC4+FUgoVF4L8YIL4XX3xpR1dxeFwIjIzXN3KK67gquE9w==" saltValue="DBkk+VanS0lZEHR7XGNWy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6624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0.54654999999999998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0.56340000000000001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1.6795589644483393E-2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98681.224740000005</v>
      </c>
      <c r="C22" s="109">
        <v>98573.172439999995</v>
      </c>
      <c r="D22" s="109">
        <v>98436.281579999995</v>
      </c>
      <c r="E22" s="109">
        <v>98004.155710000006</v>
      </c>
      <c r="F22" s="109">
        <v>97399.07677</v>
      </c>
      <c r="G22" s="109">
        <v>96815.067899999995</v>
      </c>
      <c r="H22" s="109">
        <v>96181.43389</v>
      </c>
      <c r="I22" s="109">
        <v>95525.14215</v>
      </c>
      <c r="J22" s="109">
        <v>94746.592069999999</v>
      </c>
      <c r="K22" s="109">
        <v>93749.380539999998</v>
      </c>
      <c r="L22" s="109">
        <v>92317.887409999996</v>
      </c>
      <c r="M22" s="109">
        <v>90021.152300000002</v>
      </c>
      <c r="N22" s="109">
        <v>86622.256840000002</v>
      </c>
      <c r="O22" s="109">
        <v>81789.838159999999</v>
      </c>
    </row>
  </sheetData>
  <sheetProtection algorithmName="SHA-512" hashValue="zy6Hq/rA/AAHJDlo9lxV6uHIBBGugP09llJzSQShqRl8llUZ8haYIbUFtcA0ZynOdPPr1fhnzCfibMJYRFvRhQ==" saltValue="Ttw1Sym80nBu8L71Cn+vt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pUj93J9mULGKs5jDkc1t49zTCbaC2hd+HN3dk5s99nuT2+5/fTN30X7o8mfSBQRvh4yJdsxnVIxe7M0pUTQKiw==" saltValue="5TQEeelmT8/nRxd3aJlRO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SAZ4c4viVilkovwAohO1mtegRze+Z82xVBb/4xnFcpwo5KAZFatcgYLXhL34uQX6UF6weR0HbJeo+ws6mzKoRw==" saltValue="TKwc2w+qywtMozfkNEm/l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21.195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0.32855565777368906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0.80700000000000005</v>
      </c>
      <c r="C10" s="98">
        <v>0.95</v>
      </c>
      <c r="D10" s="56">
        <v>13.249980434335621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13.249980434335621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13.249980434335621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13.249980434335621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0.80700000000000005</v>
      </c>
      <c r="C14" s="98">
        <v>0.95</v>
      </c>
      <c r="D14" s="56">
        <v>13.249980434335621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13.249980434335621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0.19779928666666699</v>
      </c>
      <c r="C17" s="98">
        <v>0.95</v>
      </c>
      <c r="D17" s="56">
        <v>0.14000000000000001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0.40198139999999999</v>
      </c>
      <c r="C18" s="98">
        <v>0.95</v>
      </c>
      <c r="D18" s="56">
        <v>21.195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0.40198139999999999</v>
      </c>
      <c r="C19" s="98">
        <v>0.95</v>
      </c>
      <c r="D19" s="56">
        <v>13.33399039011101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21.195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4.4279632813135006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0.90059688330367194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0.80700000000000005</v>
      </c>
      <c r="C26" s="98">
        <v>0.95</v>
      </c>
      <c r="D26" s="56">
        <v>4.4421306161984946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9.2958524157825622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0.54084730000000003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0.61478450000000007</v>
      </c>
      <c r="C29" s="98">
        <v>0.95</v>
      </c>
      <c r="D29" s="56">
        <v>137.83733365130871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8.9999999999999998E-4</v>
      </c>
      <c r="C31" s="98">
        <v>0.95</v>
      </c>
      <c r="D31" s="56">
        <v>123.05968780269725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1.5917274986535743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0.70153599999999994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0.14358209999999999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0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0.88614170000000003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</v>
      </c>
      <c r="C38" s="98">
        <v>0.95</v>
      </c>
      <c r="D38" s="56">
        <v>2.4500000000000002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gSaKsNzZ132yxg3rMMH+/yFScq4Ac87K2S3uzdhQ2eGUojT9SssjdY75klbAxY707VWzK3vnnbe22WNcx0ro1Q==" saltValue="GxuyL9bPlvG4DtsGSHH6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jmKcpUVKelDEwHOoPX1dA8AJwORLoBEBY8WhiIrxb30b0NEs+j3nvFbJcWuKcvIPU5c9oHxnOVsjPdhPWGlZFA==" saltValue="4zpz7tz3RxKzXp5Xztdv5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jFjQWL7c9+DOSEMcHSn5DwqQb7zPdy/pPq3ITEtAMaYY8fSOjtCUzFXkl2KTQvdawDJvc6lneWIJAVydqfS/AQ==" saltValue="QFEQFVnMGM+0YcHL1CAKI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3.8016680000000004E-2</v>
      </c>
      <c r="C3" s="21">
        <f>frac_mam_1_5months * 2.6</f>
        <v>3.8016680000000004E-2</v>
      </c>
      <c r="D3" s="21">
        <f>frac_mam_6_11months * 2.6</f>
        <v>2.7946099999999998E-2</v>
      </c>
      <c r="E3" s="21">
        <f>frac_mam_12_23months * 2.6</f>
        <v>1.8330260000000001E-2</v>
      </c>
      <c r="F3" s="21">
        <f>frac_mam_24_59months * 2.6</f>
        <v>1.52789E-2</v>
      </c>
    </row>
    <row r="4" spans="1:6" ht="15.75" customHeight="1" x14ac:dyDescent="0.25">
      <c r="A4" s="3" t="s">
        <v>237</v>
      </c>
      <c r="B4" s="21">
        <f>frac_sam_1month * 2.6</f>
        <v>2.3426520000000003E-2</v>
      </c>
      <c r="C4" s="21">
        <f>frac_sam_1_5months * 2.6</f>
        <v>2.3426520000000003E-2</v>
      </c>
      <c r="D4" s="21">
        <f>frac_sam_6_11months * 2.6</f>
        <v>3.1233800000000003E-3</v>
      </c>
      <c r="E4" s="21">
        <f>frac_sam_12_23months * 2.6</f>
        <v>3.8105600000000002E-3</v>
      </c>
      <c r="F4" s="21">
        <f>frac_sam_24_59months * 2.6</f>
        <v>2.07142E-3</v>
      </c>
    </row>
  </sheetData>
  <sheetProtection algorithmName="SHA-512" hashValue="YS0Ckr5rAkw/DtUh4MuuhmT23l5eljZPqrbjyW5QzINZJPX+lUDKpf/9Gj6vhuYcheMHmgJmQb+7aQeM+BUHVg==" saltValue="DauNbIYjjpnApPUMBjn2c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4.0999999999999988E-2</v>
      </c>
      <c r="F2" s="60">
        <f>food_insecure</f>
        <v>4.0999999999999988E-2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4.0999999999999988E-2</v>
      </c>
      <c r="F5" s="60">
        <f>food_insecure</f>
        <v>4.0999999999999988E-2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4.0999999999999988E-2</v>
      </c>
      <c r="F8" s="60">
        <f>food_insecure</f>
        <v>4.0999999999999988E-2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4.0999999999999988E-2</v>
      </c>
      <c r="F9" s="60">
        <f>food_insecure</f>
        <v>4.0999999999999988E-2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4.0999999999999988E-2</v>
      </c>
      <c r="I15" s="60">
        <f t="shared" si="0"/>
        <v>4.0999999999999988E-2</v>
      </c>
      <c r="J15" s="60">
        <f t="shared" si="0"/>
        <v>4.0999999999999988E-2</v>
      </c>
      <c r="K15" s="60">
        <f t="shared" si="0"/>
        <v>4.0999999999999988E-2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4.0999999999999988E-2</v>
      </c>
      <c r="I16" s="60">
        <f t="shared" si="0"/>
        <v>4.0999999999999988E-2</v>
      </c>
      <c r="J16" s="60">
        <f t="shared" si="0"/>
        <v>4.0999999999999988E-2</v>
      </c>
      <c r="K16" s="60">
        <f t="shared" si="0"/>
        <v>4.0999999999999988E-2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0.13500000000000001</v>
      </c>
      <c r="M24" s="60">
        <f>famplan_unmet_need</f>
        <v>0.13500000000000001</v>
      </c>
      <c r="N24" s="60">
        <f>famplan_unmet_need</f>
        <v>0.13500000000000001</v>
      </c>
      <c r="O24" s="60">
        <f>famplan_unmet_need</f>
        <v>0.13500000000000001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9.1794461627960414E-2</v>
      </c>
      <c r="M25" s="60">
        <f>(1-food_insecure)*(0.49)+food_insecure*(0.7)</f>
        <v>0.49861</v>
      </c>
      <c r="N25" s="60">
        <f>(1-food_insecure)*(0.49)+food_insecure*(0.7)</f>
        <v>0.49861</v>
      </c>
      <c r="O25" s="60">
        <f>(1-food_insecure)*(0.49)+food_insecure*(0.7)</f>
        <v>0.49861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3.9340483554840169E-2</v>
      </c>
      <c r="M26" s="60">
        <f>(1-food_insecure)*(0.21)+food_insecure*(0.3)</f>
        <v>0.21368999999999999</v>
      </c>
      <c r="N26" s="60">
        <f>(1-food_insecure)*(0.21)+food_insecure*(0.3)</f>
        <v>0.21368999999999999</v>
      </c>
      <c r="O26" s="60">
        <f>(1-food_insecure)*(0.21)+food_insecure*(0.3)</f>
        <v>0.21368999999999999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5.2965778083801381E-2</v>
      </c>
      <c r="M27" s="60">
        <f>(1-food_insecure)*(0.3)</f>
        <v>0.28769999999999996</v>
      </c>
      <c r="N27" s="60">
        <f>(1-food_insecure)*(0.3)</f>
        <v>0.28769999999999996</v>
      </c>
      <c r="O27" s="60">
        <f>(1-food_insecure)*(0.3)</f>
        <v>0.28769999999999996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0.81589927673339802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6FLAdOtIxHqvN/vArGlTn4V1KMDmgyha4vq07Xl0LX/8kxmkwwnJYHruPnhnCcbTJSBWpC3Y1Rmegfw/VdPHyA==" saltValue="zRipF/NXXSN28O0PQt0xY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BTEQmrS8opFibuXqY6YP+Y780SxPgI7J3JZh57HYgB9s/pVPoAT2Y0LpSuYhIiOPlv3a4OP+fDCHn6gtKoeOOw==" saltValue="fPE/xqiMdG3tmFY72ueZS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qarsFZLSXtJVlccis3Am6odJI31zqFXvk11+2GQZgOnB2v0mr7Y6Ux1e3ieADT5Zd5uuqWGXK7EhTJOhGHXPQ==" saltValue="EEBSkWR9kayKRKHU/nRb+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n0VL1VKeJlcfQUgWfEDJagR8KK4zr87gipMEBc7MOZTcylGlrlRT3uatYc2FgaeCdCIXGgsLovx9ZKrlr/vY4w==" saltValue="MfPuDMN3WZ0S6KKS20NJx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ske/QzN9Ei1PMw+IVCoqcojYTEQZlEcZGUsZIW6dRrVp03gxIjs0oleq+eCeBfqwIkSsGOVJlda71DjFPo2loA==" saltValue="JG2bq1vK/1OklXtCgY9GL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KtbEdy+9wESSIK+8GjNHcKfQdu/lpl1sB1fJCEvelZZHzOwbkFPWTZSk+rhl3/hKSIu1sap/rUIVEXzG3zR7+Q==" saltValue="12D9Sih8yMY5xgw+XoLiE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mYyukagkdbxkWlNnlFBGGJaJLKxGUXiEd2JdehTMnXyncEmVzjI4WUtMbHtYe/fOmqSE1IT9ndRiAX949N1QrQ==" saltValue="TplHZC63NXyzLn109DhMr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fEDpFaNS8FkuuUD+ShhEbbrMAHM4SottPsXJU5mWAXQy1l5JnrA2uxfNWljhuDWvlLvSRz9HTLsXwtfvcbMnpg==" saltValue="7vHzvyC4FordcS5Gd9mv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EwLpWibUfeSknn9xjPcR6lXtsnZYdVToFcH5LObG053avxNlcnPDdO8ILgO4sqKifI2LQ6FbxEZRBRp8BTwt+g==" saltValue="EFOZjeIAT1BKAyi+9f2i2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CQT8xHXarodFTbldk1ur8KP+21YQaEEX7kHRHwpv4r6s0IbUL7DG7esXKtWFjoyV3a2eTDR0zevlRJA0OEmug==" saltValue="u4R4qS/ZvZG6KDvU7sfY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Bh9aU2IaUmQzp+l5faRoDAVZOH48TleosZjkr/yeLrTOlux7XcYDb2D/6pD49VHEZI5Iqd8oEaG8+5DekFAIQ==" saltValue="AgamcYjPDP5vlkiniPDG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uFmcZcN5G8Yx6QS/yEknW1bGDhyj4+KIf0rnCOeFBEEb8aQxu+t804FSOkFMlyArBkxItL0I7lL5vclNm3g2Q==" saltValue="U+SrjAiO07aicmRKOwcxA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sUMZy6BZFSZ6CJzW6rPSpytLRQ41XlUrGc+1FoGHOObq0W12WNQyiS3OO5Z+bU/K372uoEaNsytaq9LLnPV7VQ==" saltValue="CI5F8+tFBJhTbbndNbsX2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ciqCj56d+/+qiMGwC+RYOgqAz1PUqOMtRQ02j+EWKE1u+SENq8D1Wtz7ddx13Z03/2srckVhVrkUbvnipOIGow==" saltValue="JVSJkMoQyYIRLaBOlbh8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Bql7O0JislQxkIYr6VxCWLNAy4sjfvFgLfbrTZoHyWiLLaoB2jUJdsSe4gXlp7wkW/miyO/W6Yt6V96fIzItYQ==" saltValue="ymV9A3FNr7HQp580FBSGn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2025-07-04T03:33:23Z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