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069E27A-0D60-49FA-9F94-23F918CA517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1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13" i="2" l="1"/>
  <c r="A40" i="2"/>
  <c r="A19" i="2"/>
  <c r="A24" i="2"/>
  <c r="A25" i="2"/>
  <c r="I6" i="2"/>
  <c r="I12" i="2"/>
  <c r="A35" i="2"/>
  <c r="A34" i="2"/>
  <c r="A36" i="2"/>
  <c r="A22" i="2"/>
  <c r="I7" i="2"/>
  <c r="I3" i="2"/>
  <c r="I9" i="2"/>
  <c r="A23" i="2"/>
  <c r="I4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<sst xmlns="http://schemas.openxmlformats.org/spreadsheetml/2006/main" count="2169" uniqueCount="369">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</sst>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28779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0.59512580869999998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4.9799999999999997E-2</v>
      </c>
    </row>
    <row r="24" spans="1:3" ht="15" customHeight="1" x14ac:dyDescent="0.25">
      <c r="B24" s="15" t="s">
        <v>51</v>
      </c>
      <c r="C24" s="45">
        <v>0.55979999999999996</v>
      </c>
    </row>
    <row r="25" spans="1:3" ht="15" customHeight="1" x14ac:dyDescent="0.25">
      <c r="B25" s="15" t="s">
        <v>52</v>
      </c>
      <c r="C25" s="45">
        <v>0.36509999999999998</v>
      </c>
    </row>
    <row r="26" spans="1:3" ht="15" customHeight="1" x14ac:dyDescent="0.25">
      <c r="B26" s="15" t="s">
        <v>53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0.39599847873399902</v>
      </c>
    </row>
    <row r="30" spans="1:3" ht="14.25" customHeight="1" x14ac:dyDescent="0.25">
      <c r="B30" s="25" t="s">
        <v>56</v>
      </c>
      <c r="C30" s="97">
        <v>2.7072411186337599E-2</v>
      </c>
    </row>
    <row r="31" spans="1:3" ht="14.25" customHeight="1" x14ac:dyDescent="0.25">
      <c r="B31" s="25" t="s">
        <v>57</v>
      </c>
      <c r="C31" s="97">
        <v>4.2587227841301499E-2</v>
      </c>
    </row>
    <row r="32" spans="1:3" ht="14.25" customHeight="1" x14ac:dyDescent="0.25">
      <c r="B32" s="25" t="s">
        <v>58</v>
      </c>
      <c r="C32" s="97">
        <v>0.53434188223836199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4.0605599999999997</v>
      </c>
    </row>
    <row r="38" spans="1:5" ht="15" customHeight="1" x14ac:dyDescent="0.25">
      <c r="B38" s="11" t="s">
        <v>63</v>
      </c>
      <c r="C38" s="43">
        <v>5.0968799999999996</v>
      </c>
      <c r="D38" s="12"/>
      <c r="E38" s="13"/>
    </row>
    <row r="39" spans="1:5" ht="15" customHeight="1" x14ac:dyDescent="0.25">
      <c r="B39" s="11" t="s">
        <v>64</v>
      </c>
      <c r="C39" s="43">
        <v>5.9616100000000003</v>
      </c>
      <c r="D39" s="12"/>
      <c r="E39" s="12"/>
    </row>
    <row r="40" spans="1:5" ht="15" customHeight="1" x14ac:dyDescent="0.25">
      <c r="B40" s="11" t="s">
        <v>65</v>
      </c>
      <c r="C40" s="98">
        <v>0.56999999999999995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8.3797999999999997E-3</v>
      </c>
      <c r="D45" s="12"/>
    </row>
    <row r="46" spans="1:5" ht="15.75" customHeight="1" x14ac:dyDescent="0.25">
      <c r="B46" s="11" t="s">
        <v>70</v>
      </c>
      <c r="C46" s="45">
        <v>9.0039499999999995E-2</v>
      </c>
      <c r="D46" s="12"/>
    </row>
    <row r="47" spans="1:5" ht="15.75" customHeight="1" x14ac:dyDescent="0.25">
      <c r="B47" s="11" t="s">
        <v>71</v>
      </c>
      <c r="C47" s="45">
        <v>7.3031499999999999E-2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0.55161899999999997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eT3CzibouILrRimARjQcIPu0uErIp+IB3d1iL3sh2yRsPECXyEVkHRKZR8QuzHLadmwhtoguKY/RzqEfGpv9mQ==" saltValue="dyb+3Y73Kh6HV3OaMNj2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5588</v>
      </c>
      <c r="C2" s="49">
        <v>15051.5</v>
      </c>
      <c r="D2" s="49">
        <v>29702</v>
      </c>
      <c r="E2" s="49">
        <v>41910</v>
      </c>
      <c r="F2" s="49">
        <v>28693.5</v>
      </c>
      <c r="G2" s="17">
        <f t="shared" ref="G2:G13" si="0">C2+D2+E2+F2</f>
        <v>115357</v>
      </c>
      <c r="H2" s="17">
        <f t="shared" ref="H2:H13" si="1">(B2 + stillbirth*B2/(1000-stillbirth))/(1-abortion)</f>
        <v>6380.7549837916758</v>
      </c>
      <c r="I2" s="17">
        <f t="shared" ref="I2:I13" si="2">G2-H2</f>
        <v>108976.24501620833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5403</v>
      </c>
      <c r="C3" s="50">
        <v>16076.5</v>
      </c>
      <c r="D3" s="50">
        <v>28502.499999999996</v>
      </c>
      <c r="E3" s="50">
        <v>41394</v>
      </c>
      <c r="F3" s="50">
        <v>30429.000000000004</v>
      </c>
      <c r="G3" s="17">
        <f t="shared" si="0"/>
        <v>116402</v>
      </c>
      <c r="H3" s="17">
        <f t="shared" si="1"/>
        <v>6169.5095163612077</v>
      </c>
      <c r="I3" s="17">
        <f t="shared" si="2"/>
        <v>110232.49048363879</v>
      </c>
    </row>
    <row r="4" spans="1:9" ht="15.75" customHeight="1" x14ac:dyDescent="0.25">
      <c r="A4" s="5">
        <f t="shared" si="3"/>
        <v>2026</v>
      </c>
      <c r="B4" s="49">
        <v>5224</v>
      </c>
      <c r="C4" s="50">
        <v>16989</v>
      </c>
      <c r="D4" s="50">
        <v>27736.5</v>
      </c>
      <c r="E4" s="50">
        <v>40539</v>
      </c>
      <c r="F4" s="50">
        <v>32232.5</v>
      </c>
      <c r="G4" s="17">
        <f t="shared" si="0"/>
        <v>117497</v>
      </c>
      <c r="H4" s="17">
        <f t="shared" si="1"/>
        <v>5965.1152532798351</v>
      </c>
      <c r="I4" s="17">
        <f t="shared" si="2"/>
        <v>111531.88474672017</v>
      </c>
    </row>
    <row r="5" spans="1:9" ht="15.75" customHeight="1" x14ac:dyDescent="0.25">
      <c r="A5" s="5">
        <f t="shared" si="3"/>
        <v>2027</v>
      </c>
      <c r="B5" s="49">
        <v>5073</v>
      </c>
      <c r="C5" s="50">
        <v>17666.5</v>
      </c>
      <c r="D5" s="50">
        <v>27500.500000000004</v>
      </c>
      <c r="E5" s="50">
        <v>39384.5</v>
      </c>
      <c r="F5" s="50">
        <v>34033</v>
      </c>
      <c r="G5" s="17">
        <f t="shared" si="0"/>
        <v>118584.5</v>
      </c>
      <c r="H5" s="17">
        <f t="shared" si="1"/>
        <v>5792.6932771609117</v>
      </c>
      <c r="I5" s="17">
        <f t="shared" si="2"/>
        <v>112791.80672283909</v>
      </c>
    </row>
    <row r="6" spans="1:9" ht="15.75" customHeight="1" x14ac:dyDescent="0.25">
      <c r="A6" s="5">
        <f t="shared" si="3"/>
        <v>2028</v>
      </c>
      <c r="B6" s="49">
        <v>4950</v>
      </c>
      <c r="C6" s="50">
        <v>18031.5</v>
      </c>
      <c r="D6" s="50">
        <v>27833</v>
      </c>
      <c r="E6" s="50">
        <v>37981</v>
      </c>
      <c r="F6" s="50">
        <v>35761</v>
      </c>
      <c r="G6" s="17">
        <f t="shared" si="0"/>
        <v>119606.5</v>
      </c>
      <c r="H6" s="17">
        <f t="shared" si="1"/>
        <v>5652.2435880044377</v>
      </c>
      <c r="I6" s="17">
        <f t="shared" si="2"/>
        <v>113954.25641199556</v>
      </c>
    </row>
    <row r="7" spans="1:9" ht="15.75" customHeight="1" x14ac:dyDescent="0.25">
      <c r="A7" s="5">
        <f t="shared" si="3"/>
        <v>2029</v>
      </c>
      <c r="B7" s="49">
        <v>4855</v>
      </c>
      <c r="C7" s="50">
        <v>18093</v>
      </c>
      <c r="D7" s="50">
        <v>28652.5</v>
      </c>
      <c r="E7" s="50">
        <v>36381</v>
      </c>
      <c r="F7" s="50">
        <v>37337.5</v>
      </c>
      <c r="G7" s="17">
        <f t="shared" si="0"/>
        <v>120464</v>
      </c>
      <c r="H7" s="17">
        <f t="shared" si="1"/>
        <v>5543.7661858104138</v>
      </c>
      <c r="I7" s="17">
        <f t="shared" si="2"/>
        <v>114920.23381418959</v>
      </c>
    </row>
    <row r="8" spans="1:9" ht="15.75" customHeight="1" x14ac:dyDescent="0.25">
      <c r="A8" s="5">
        <f t="shared" si="3"/>
        <v>2030</v>
      </c>
      <c r="B8" s="49">
        <v>4782</v>
      </c>
      <c r="C8" s="50">
        <v>17927.5</v>
      </c>
      <c r="D8" s="50">
        <v>29828</v>
      </c>
      <c r="E8" s="50">
        <v>34665</v>
      </c>
      <c r="F8" s="50">
        <v>38684.5</v>
      </c>
      <c r="G8" s="17">
        <f t="shared" si="0"/>
        <v>121105</v>
      </c>
      <c r="H8" s="17">
        <f t="shared" si="1"/>
        <v>5460.409866229742</v>
      </c>
      <c r="I8" s="17">
        <f t="shared" si="2"/>
        <v>115644.59013377025</v>
      </c>
    </row>
    <row r="9" spans="1:9" ht="15.75" customHeight="1" x14ac:dyDescent="0.25">
      <c r="A9" s="5">
        <f t="shared" si="3"/>
        <v>2031</v>
      </c>
      <c r="B9" s="49">
        <v>4731</v>
      </c>
      <c r="C9" s="50">
        <v>17612</v>
      </c>
      <c r="D9" s="50">
        <v>31227.5</v>
      </c>
      <c r="E9" s="50">
        <v>32926.500000000007</v>
      </c>
      <c r="F9" s="50">
        <v>39747.5</v>
      </c>
      <c r="G9" s="17">
        <f t="shared" si="0"/>
        <v>121513.5</v>
      </c>
      <c r="H9" s="17">
        <f t="shared" si="1"/>
        <v>5402.174629262423</v>
      </c>
      <c r="I9" s="17">
        <f t="shared" si="2"/>
        <v>116111.32537073758</v>
      </c>
    </row>
    <row r="10" spans="1:9" ht="15.75" customHeight="1" x14ac:dyDescent="0.25">
      <c r="A10" s="5">
        <f t="shared" si="3"/>
        <v>2032</v>
      </c>
      <c r="B10" s="49">
        <v>4709</v>
      </c>
      <c r="C10" s="50">
        <v>17219</v>
      </c>
      <c r="D10" s="50">
        <v>32690.5</v>
      </c>
      <c r="E10" s="50">
        <v>31245.5</v>
      </c>
      <c r="F10" s="50">
        <v>40477.000000000007</v>
      </c>
      <c r="G10" s="17">
        <f t="shared" si="0"/>
        <v>121632</v>
      </c>
      <c r="H10" s="17">
        <f t="shared" si="1"/>
        <v>5377.0535466490701</v>
      </c>
      <c r="I10" s="17">
        <f t="shared" si="2"/>
        <v>116254.94645335093</v>
      </c>
    </row>
    <row r="11" spans="1:9" ht="15.75" customHeight="1" x14ac:dyDescent="0.25">
      <c r="A11" s="5">
        <f t="shared" si="3"/>
        <v>2033</v>
      </c>
      <c r="B11" s="49">
        <v>4711</v>
      </c>
      <c r="C11" s="50">
        <v>16807</v>
      </c>
      <c r="D11" s="50">
        <v>34083.5</v>
      </c>
      <c r="E11" s="50">
        <v>29710</v>
      </c>
      <c r="F11" s="50">
        <v>40824.5</v>
      </c>
      <c r="G11" s="17">
        <f t="shared" si="0"/>
        <v>121425</v>
      </c>
      <c r="H11" s="17">
        <f t="shared" si="1"/>
        <v>5379.3372814321019</v>
      </c>
      <c r="I11" s="17">
        <f t="shared" si="2"/>
        <v>116045.6627185679</v>
      </c>
    </row>
    <row r="12" spans="1:9" ht="15.75" customHeight="1" x14ac:dyDescent="0.25">
      <c r="A12" s="5">
        <f t="shared" si="3"/>
        <v>2034</v>
      </c>
      <c r="B12" s="49">
        <v>4737</v>
      </c>
      <c r="C12" s="50">
        <v>16388.5</v>
      </c>
      <c r="D12" s="50">
        <v>35304</v>
      </c>
      <c r="E12" s="50">
        <v>28406</v>
      </c>
      <c r="F12" s="50">
        <v>40783</v>
      </c>
      <c r="G12" s="17">
        <f t="shared" si="0"/>
        <v>120881.5</v>
      </c>
      <c r="H12" s="17">
        <f t="shared" si="1"/>
        <v>5409.0258336115194</v>
      </c>
      <c r="I12" s="17">
        <f t="shared" si="2"/>
        <v>115472.47416638848</v>
      </c>
    </row>
    <row r="13" spans="1:9" ht="15.75" customHeight="1" x14ac:dyDescent="0.25">
      <c r="A13" s="5">
        <f t="shared" si="3"/>
        <v>2035</v>
      </c>
      <c r="B13" s="49">
        <v>4770</v>
      </c>
      <c r="C13" s="50">
        <v>15949</v>
      </c>
      <c r="D13" s="50">
        <v>36298.500000000007</v>
      </c>
      <c r="E13" s="50">
        <v>27427.500000000004</v>
      </c>
      <c r="F13" s="50">
        <v>40373.5</v>
      </c>
      <c r="G13" s="17">
        <f t="shared" si="0"/>
        <v>120048.50000000001</v>
      </c>
      <c r="H13" s="17">
        <f t="shared" si="1"/>
        <v>5446.7074575315492</v>
      </c>
      <c r="I13" s="17">
        <f t="shared" si="2"/>
        <v>114601.79254246847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L9MyV0KRI6zENYuA4B6vLWpmEee208RlGDe3le9Abar2sQeqpcAUKbJK3Qpb8voc/SoofP2zwrCkIrCNbk5ag==" saltValue="5ULN6HUst1lPx8Ypl0aD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6.5867286826542651E-2</v>
      </c>
    </row>
    <row r="5" spans="1:8" ht="15.75" customHeight="1" x14ac:dyDescent="0.25">
      <c r="B5" s="19" t="s">
        <v>98</v>
      </c>
      <c r="C5" s="99">
        <v>2.445029510994097E-2</v>
      </c>
    </row>
    <row r="6" spans="1:8" ht="15.75" customHeight="1" x14ac:dyDescent="0.25">
      <c r="B6" s="19" t="s">
        <v>99</v>
      </c>
      <c r="C6" s="99">
        <v>0.1371583725683255</v>
      </c>
    </row>
    <row r="7" spans="1:8" ht="15.75" customHeight="1" x14ac:dyDescent="0.25">
      <c r="B7" s="19" t="s">
        <v>100</v>
      </c>
      <c r="C7" s="99">
        <v>0.42002271599545637</v>
      </c>
    </row>
    <row r="8" spans="1:8" ht="15.75" customHeight="1" x14ac:dyDescent="0.25">
      <c r="B8" s="19" t="s">
        <v>101</v>
      </c>
      <c r="C8" s="99">
        <v>4.8633990273201973E-3</v>
      </c>
    </row>
    <row r="9" spans="1:8" ht="15.75" customHeight="1" x14ac:dyDescent="0.25">
      <c r="B9" s="19" t="s">
        <v>102</v>
      </c>
      <c r="C9" s="99">
        <v>0.25171934965613052</v>
      </c>
    </row>
    <row r="10" spans="1:8" ht="15.75" customHeight="1" x14ac:dyDescent="0.25">
      <c r="B10" s="19" t="s">
        <v>103</v>
      </c>
      <c r="C10" s="99">
        <v>9.5918580816283766E-2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106</v>
      </c>
      <c r="C15" s="99">
        <v>0.34415592372124182</v>
      </c>
      <c r="D15" s="99">
        <v>0.34415592372124182</v>
      </c>
      <c r="E15" s="99">
        <v>0.34415592372124182</v>
      </c>
      <c r="F15" s="99">
        <v>0.34415592372124182</v>
      </c>
    </row>
    <row r="16" spans="1:8" ht="15.75" customHeight="1" x14ac:dyDescent="0.25">
      <c r="B16" s="19" t="s">
        <v>107</v>
      </c>
      <c r="C16" s="99">
        <v>6.7951622788939819E-2</v>
      </c>
      <c r="D16" s="99">
        <v>6.7951622788939819E-2</v>
      </c>
      <c r="E16" s="99">
        <v>6.7951622788939819E-2</v>
      </c>
      <c r="F16" s="99">
        <v>6.7951622788939819E-2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5.2061214258508001E-2</v>
      </c>
      <c r="D19" s="99">
        <v>5.2061214258508001E-2</v>
      </c>
      <c r="E19" s="99">
        <v>5.2061214258508001E-2</v>
      </c>
      <c r="F19" s="99">
        <v>5.2061214258508001E-2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0.39264628016308611</v>
      </c>
      <c r="D21" s="99">
        <v>0.39264628016308611</v>
      </c>
      <c r="E21" s="99">
        <v>0.39264628016308611</v>
      </c>
      <c r="F21" s="99">
        <v>0.39264628016308611</v>
      </c>
    </row>
    <row r="22" spans="1:8" ht="15.75" customHeight="1" x14ac:dyDescent="0.25">
      <c r="B22" s="19" t="s">
        <v>113</v>
      </c>
      <c r="C22" s="99">
        <v>4.6564017213740219E-2</v>
      </c>
      <c r="D22" s="99">
        <v>4.6564017213740219E-2</v>
      </c>
      <c r="E22" s="99">
        <v>4.6564017213740219E-2</v>
      </c>
      <c r="F22" s="99">
        <v>4.6564017213740219E-2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3.7058319999999999E-2</v>
      </c>
    </row>
    <row r="27" spans="1:8" ht="15.75" customHeight="1" x14ac:dyDescent="0.25">
      <c r="B27" s="19" t="s">
        <v>120</v>
      </c>
      <c r="C27" s="99">
        <v>3.1722030000000002E-3</v>
      </c>
    </row>
    <row r="28" spans="1:8" ht="15.75" customHeight="1" x14ac:dyDescent="0.25">
      <c r="B28" s="19" t="s">
        <v>121</v>
      </c>
      <c r="C28" s="99">
        <v>0.26537214399999998</v>
      </c>
    </row>
    <row r="29" spans="1:8" ht="15.75" customHeight="1" x14ac:dyDescent="0.25">
      <c r="B29" s="19" t="s">
        <v>122</v>
      </c>
      <c r="C29" s="99">
        <v>8.9267518000000004E-2</v>
      </c>
    </row>
    <row r="30" spans="1:8" ht="15.75" customHeight="1" x14ac:dyDescent="0.25">
      <c r="B30" s="19" t="s">
        <v>2</v>
      </c>
      <c r="C30" s="99">
        <v>3.4850704000000003E-2</v>
      </c>
    </row>
    <row r="31" spans="1:8" ht="15.75" customHeight="1" x14ac:dyDescent="0.25">
      <c r="B31" s="19" t="s">
        <v>123</v>
      </c>
      <c r="C31" s="99">
        <v>5.2997323999999998E-2</v>
      </c>
    </row>
    <row r="32" spans="1:8" ht="15.75" customHeight="1" x14ac:dyDescent="0.25">
      <c r="B32" s="19" t="s">
        <v>124</v>
      </c>
      <c r="C32" s="99">
        <v>4.1757296000000013E-2</v>
      </c>
    </row>
    <row r="33" spans="2:3" ht="15.75" customHeight="1" x14ac:dyDescent="0.25">
      <c r="B33" s="19" t="s">
        <v>125</v>
      </c>
      <c r="C33" s="99">
        <v>5.6826768999999999E-2</v>
      </c>
    </row>
    <row r="34" spans="2:3" ht="15.75" customHeight="1" x14ac:dyDescent="0.25">
      <c r="B34" s="19" t="s">
        <v>126</v>
      </c>
      <c r="C34" s="99">
        <v>0.41869772199999999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xarFfZnirIG9HBt0+J2ttxTpvPkS+iLJAqMQiHmLRvDit+4LLZFvRpJ50+y3bQc6thmpkwGtAWTZAPGu3whPVg==" saltValue="IlJuMwxXjYKi123W2IRH8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132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133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137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138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W5YLjilR+oA33dO5GTeLWPQWFbE1uEm6TOwPAuUdBdVkp0yjkk80PuZQB7Hzh+fX5Cef4ABrErOsvVhV4NEGw==" saltValue="a0f8QKELRjfFlzemxrk0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3.4062999999999732E-3</v>
      </c>
      <c r="D5" s="52">
        <f t="shared" si="0"/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xu+dPKq8Sjsljk8y3+ArYCg0nO8g4LcYJRB14Iuhhd7XBAs96BIMm+sesnZYgFtd8/ClvrIjY5mu+Vh/VGwhAQ==" saltValue="NVRT22PY5mu4pTWhJpvau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KH8UxaZoWyNTAxemdY/elVrGUajf23/NEzpvoHpWBrhvsfD3RJDRg3a4x8rwuVvy2l6eanFShOfTYcJJnvrzQ==" saltValue="NPOe+kGNs/cj41y0NASW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11780.8169102421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0.42679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1.2119662952833449E-2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99214.013449999999</v>
      </c>
      <c r="C22" s="107">
        <v>99135.294670000003</v>
      </c>
      <c r="D22" s="107">
        <v>99030.307939999999</v>
      </c>
      <c r="E22" s="107">
        <v>98811.151719999994</v>
      </c>
      <c r="F22" s="107">
        <v>98657.195989999993</v>
      </c>
      <c r="G22" s="107">
        <v>98462.288860000001</v>
      </c>
      <c r="H22" s="107">
        <v>98253.816879999998</v>
      </c>
      <c r="I22" s="107">
        <v>98005.938179999997</v>
      </c>
      <c r="J22" s="107">
        <v>97701.482860000004</v>
      </c>
      <c r="K22" s="107">
        <v>97010.996039999998</v>
      </c>
      <c r="L22" s="107">
        <v>96061.805269999997</v>
      </c>
      <c r="M22" s="107">
        <v>93696.145080000002</v>
      </c>
      <c r="N22" s="107">
        <v>90209.273650000003</v>
      </c>
      <c r="O22" s="107">
        <v>84595.016359999994</v>
      </c>
    </row>
  </sheetData>
  <sheetProtection algorithmName="SHA-512" hashValue="nU2+jd3iTRmfQvGRQXSWiQMQoJ7eM1CyfXH1TVGK9Czjk0oRIe23H3yHCaef4+uvnAa8xIncjxIiKf8D/8i/NQ==" saltValue="13tWlpylEPdi6x0hbTQpR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1J3pzMeSCxYC0Mqmr+8k8nTka62Gp8ocNmyM5cZEV0JCbiEsttvv9xhkloGb/tIDbW605pU70jIJG0Gm9rvbQ==" saltValue="mlu9BGAenjduxegpicR1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8IXsnhjtiT5yhAPElbvPGxno4lixTPCAW2YuuVDLRr6EyEG2bkJlx5A733bumjBuIaAUS7qpQC+A5aSg420WA==" saltValue="AQjqYt0VFZef1GbN1kva1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17.026484135107474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17.026484135107474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0.24171699078812695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0.46280009999999999</v>
      </c>
      <c r="C10" s="96">
        <v>0.95</v>
      </c>
      <c r="D10" s="56">
        <v>13.83180634055519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13.83180634055519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13.83180634055519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13.83180634055519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0.46280009999999999</v>
      </c>
      <c r="C14" s="96">
        <v>0.95</v>
      </c>
      <c r="D14" s="56">
        <v>13.83180634055519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13.83180634055519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9.7330203637492063E-2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0.58960089999999998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0.58960089999999998</v>
      </c>
      <c r="C19" s="96">
        <v>0.95</v>
      </c>
      <c r="D19" s="56">
        <v>22.59355597690848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4.7916044727007323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0.67559760093265997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0.46280009999999999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0.74756310000000004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0.7137907</v>
      </c>
      <c r="C29" s="96">
        <v>0.95</v>
      </c>
      <c r="D29" s="56">
        <v>197.08344135615161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175.48809161556471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0.69</v>
      </c>
      <c r="C32" s="96">
        <v>0.95</v>
      </c>
      <c r="D32" s="56">
        <v>0.45463218100922231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0.95839099999999999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9.0976199999999993E-2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0.17225019999999999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0.52304919999999999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0.48344549999999997</v>
      </c>
      <c r="C38" s="96">
        <v>0.95</v>
      </c>
      <c r="D38" s="56">
        <v>1.6798709086682517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iLxsNEyenIAktz2T2ZySema6WMNWQhTW9KvrNti5L2W45SizC9k54HdePNR0rlYPX2b/44ve49hOk9yb23hlqQ==" saltValue="3X13p/QkQc7U8AcJsz84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/CnB3dNpAnDaaazJoA5rddKxKTuvBazN6ct4tqcfH8xjCXK9kOs2bNT8oItetpy5AZYQyrAh9j4N1HwE27j2g==" saltValue="QFTQbZYJpAQ8vFhdiYcw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IXishW/Keh/cWSPyKAcptN2vvJnf0Okv7hCe0ICiWE7LJfNnamRNrXgfRZ3+/VMj3WAFoGj1jmVZ0ffxvp09w==" saltValue="9KHi4t4Hmuz9+Q2v9qvT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237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zRx6Nqjt0Ra121q2TfGiIn3aA23YlK54R4C3aqIKdSQqv/JRuJ953bjPQZA1GLzT6WXEFwnsicv1bE/3xazwaA==" saltValue="eO9hkc4XZKHwrxnGkbzFb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0.19923858953873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8.5387966945169994E-2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0.1202476348161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y46Pwl+clpMH8XENDT+uLVKyTqUCaJ/I7UxKILSWV2V7Kd73x1uVkFEAD898ie/Q1vSHP3s0z3vKgMQtE7wZA==" saltValue="1+i+mkwDrxKkQQorurde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Ys6X50tDv+YAS1hRkK5uVLnrlXo1vqqvdzMLeHkvFoRUiblwNJ68tEB58roqhwaK9uk4deezXheouTUtoGJeA==" saltValue="H7re4d3lTrYAUC4irT6B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iycbL5MxhjcETzB30xgyrj6VDgiBPe1TmzavsuAR41lzgvnfMWbY5vsjfZiUhY1v+yUKiMWzSfkLGBsNI22eQ==" saltValue="JkyuO77/WXLvkMshpWVb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l9JzgFY2+uyycb4KgYbeCB+ARsd6HTFFKL4weyeLlU+TP5Bcp/JvCtoYnUjN31/dXtUcxPmLsHWaGKYrUxs9A==" saltValue="7CIkox5EqTLol0iXmCMU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TZ3POOe8DMqyRqe4Dps+J0MnBFaHJ+rmKTbIEvg8bYTXPAp1+jNHBn3Kp1FRoch4uuKGLT6vGh86KSPiek7jeQ==" saltValue="K6iUSulGUileOKoiy/y0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34vxhnm4MWf+fGxIG6NOMe8Kmu7X7Q+coFXO1BFHoKPutnVHyvMp8xb136M0YWPyt7AOqOE0equsdi7MwlaIQ==" saltValue="edSNBjYDZP9V0p4pWXLu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fLz26WGtMK0M7Y3/RamPcxzfDoWKi42CHmt2N19KoKButUBmXvNE3KihD4/oIsxjPVU9FVo2l059L4PWLGmRA==" saltValue="wQ5mWdO2gXGJ6FnYniBTz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2L4b4rBG1+bvGl/maMP52XtTuWtVLjoKE/6SErCdMvHKwj75YRSg5lgK8pGQUeGHAv+8pIlmj2h7U87vMnuXQ==" saltValue="UpO07pA4RMTKQG1ZaQ2l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htMilnMBuLEMQkhuGuruydVIg36uzeVUjnwDJLBvDJsH60ym7H40bB6dOc4VraXMMTbQip3DaBPfmWJGvxncg==" saltValue="b2Xp0RihR0R4WwWy7o9z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Utnr+zBa+YTpYAPHOKHzUtYrxYtgX7K7SqVo0TBaYLhZvvwGnUnXeoy2r8c2vARtZvuT2eD5wXO8x5ncJbTFA==" saltValue="kjWvUS3q8x6Vk5fa1QzH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ZBLZsHqyFVHOiTZkrqNbTGmJ+LyQVD0jVKhlMspglomot4MQ8B+xdgrehnbC8svVcqd3bwkaYfakXLPNVmTfQ==" saltValue="pZjtdgjlCrbutjJ3PJA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c2JUcxRxNg7FXAFUySjmo2aO/nXl9aVCaOAqS2rihdDj4DqTgaCXuTh81OOwowQTx5yW+1XLBwC8wCTxzz0rQ==" saltValue="wPcgmq+UdyZwaXr+NmJs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Sp5oZ/w7SMf04lofeTkPVM1wGgsF2JKTosSHvjTrfZqSDYGV3tCrhoY58Rim6qm1AgSsKf4hDkVCA4iwXbPOQ==" saltValue="hR+ISCMmif4JHdQlmB1F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9gdkou+svkO2OJfVjlG0/xj7UCoLw5dm2WmJBCvc0vsPnpIf9OGrXq6Q6MEQckxH4QTIeMfceKSaJfp0Wf0qag==" saltValue="T2Jq7YdysJyadl9qjGNA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wqDmoDFXTabPVbfquCDK+dTtXlus5VqCNG0hrvGv5rmrP1To4/B6rEYlB/wjnu2VTA0S3GOjbrniXH8G4yZng==" saltValue="nu8+FhYAPFhpmtH0dmHoI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