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F4F86C0-2919-4927-BBC5-FBEBB3CBA73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37" i="2"/>
  <c r="A31" i="2"/>
  <c r="A29" i="2"/>
  <c r="A25" i="2"/>
  <c r="A23" i="2"/>
  <c r="A21" i="2"/>
  <c r="A15" i="2"/>
  <c r="H13" i="2"/>
  <c r="I13" i="2" s="1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I4" i="2" l="1"/>
  <c r="A33" i="2"/>
  <c r="I8" i="2"/>
  <c r="A17" i="2"/>
  <c r="I38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<sst xmlns="http://schemas.openxmlformats.org/spreadsheetml/2006/main" count="2101" uniqueCount="337">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</sst>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34364.923828125029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0.59512580869999998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4.9799999999999997E-2</v>
      </c>
    </row>
    <row r="24" spans="1:3" ht="15" customHeight="1" x14ac:dyDescent="0.25">
      <c r="B24" s="15" t="s">
        <v>33</v>
      </c>
      <c r="C24" s="45">
        <v>0.55979999999999996</v>
      </c>
    </row>
    <row r="25" spans="1:3" ht="15" customHeight="1" x14ac:dyDescent="0.25">
      <c r="B25" s="15" t="s">
        <v>34</v>
      </c>
      <c r="C25" s="45">
        <v>0.36509999999999998</v>
      </c>
    </row>
    <row r="26" spans="1:3" ht="15" customHeight="1" x14ac:dyDescent="0.25">
      <c r="B26" s="15" t="s">
        <v>35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0.39599847873399902</v>
      </c>
    </row>
    <row r="30" spans="1:3" ht="14.25" customHeight="1" x14ac:dyDescent="0.25">
      <c r="B30" s="25" t="s">
        <v>38</v>
      </c>
      <c r="C30" s="99">
        <v>2.7072411186337599E-2</v>
      </c>
    </row>
    <row r="31" spans="1:3" ht="14.25" customHeight="1" x14ac:dyDescent="0.25">
      <c r="B31" s="25" t="s">
        <v>39</v>
      </c>
      <c r="C31" s="99">
        <v>4.2587227841301499E-2</v>
      </c>
    </row>
    <row r="32" spans="1:3" ht="14.25" customHeight="1" x14ac:dyDescent="0.25">
      <c r="B32" s="25" t="s">
        <v>40</v>
      </c>
      <c r="C32" s="99">
        <v>0.53434188223836199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4.0605599999999997</v>
      </c>
    </row>
    <row r="38" spans="1:5" ht="15" customHeight="1" x14ac:dyDescent="0.25">
      <c r="B38" s="11" t="s">
        <v>45</v>
      </c>
      <c r="C38" s="43">
        <v>5.0968799999999996</v>
      </c>
      <c r="D38" s="12"/>
      <c r="E38" s="13"/>
    </row>
    <row r="39" spans="1:5" ht="15" customHeight="1" x14ac:dyDescent="0.25">
      <c r="B39" s="11" t="s">
        <v>46</v>
      </c>
      <c r="C39" s="43">
        <v>5.9616100000000003</v>
      </c>
      <c r="D39" s="12"/>
      <c r="E39" s="12"/>
    </row>
    <row r="40" spans="1:5" ht="15" customHeight="1" x14ac:dyDescent="0.25">
      <c r="B40" s="11" t="s">
        <v>47</v>
      </c>
      <c r="C40" s="100">
        <v>0.56999999999999995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8.3797999999999997E-3</v>
      </c>
      <c r="D45" s="12"/>
    </row>
    <row r="46" spans="1:5" ht="15.75" customHeight="1" x14ac:dyDescent="0.25">
      <c r="B46" s="11" t="s">
        <v>52</v>
      </c>
      <c r="C46" s="45">
        <v>9.0039499999999995E-2</v>
      </c>
      <c r="D46" s="12"/>
    </row>
    <row r="47" spans="1:5" ht="15.75" customHeight="1" x14ac:dyDescent="0.25">
      <c r="B47" s="11" t="s">
        <v>53</v>
      </c>
      <c r="C47" s="45">
        <v>7.3031499999999999E-2</v>
      </c>
      <c r="D47" s="12"/>
      <c r="E47" s="13"/>
    </row>
    <row r="48" spans="1:5" ht="15" customHeight="1" x14ac:dyDescent="0.25">
      <c r="B48" s="11" t="s">
        <v>54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0.55161899999999997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QuOn/9rrZA2+QsNpePN6fpaeAoXybn/qcy5vQZiceOD+/NXfKiBH4rtRb1IpEpVPMI1dwxxZ4gvxRT1gmwFnSA==" saltValue="E3juVjTSIk+wjMqi6iGJ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lzwMQ6VAGgoEjx6woFp7d0UmoKfQgx4//ct2nXQU+l/RfHHi6wIecftzT8JIhK89C7K/kcN3hrH6LuP4uuPeA==" saltValue="90Ee8bSk0Wv6hXGvoBC/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6.5867286826542651E-2</v>
      </c>
    </row>
    <row r="5" spans="1:8" ht="15.75" customHeight="1" x14ac:dyDescent="0.25">
      <c r="B5" s="19" t="s">
        <v>80</v>
      </c>
      <c r="C5" s="101">
        <v>2.445029510994097E-2</v>
      </c>
    </row>
    <row r="6" spans="1:8" ht="15.75" customHeight="1" x14ac:dyDescent="0.25">
      <c r="B6" s="19" t="s">
        <v>81</v>
      </c>
      <c r="C6" s="101">
        <v>0.1371583725683255</v>
      </c>
    </row>
    <row r="7" spans="1:8" ht="15.75" customHeight="1" x14ac:dyDescent="0.25">
      <c r="B7" s="19" t="s">
        <v>82</v>
      </c>
      <c r="C7" s="101">
        <v>0.42002271599545637</v>
      </c>
    </row>
    <row r="8" spans="1:8" ht="15.75" customHeight="1" x14ac:dyDescent="0.25">
      <c r="B8" s="19" t="s">
        <v>83</v>
      </c>
      <c r="C8" s="101">
        <v>4.8633990273201973E-3</v>
      </c>
    </row>
    <row r="9" spans="1:8" ht="15.75" customHeight="1" x14ac:dyDescent="0.25">
      <c r="B9" s="19" t="s">
        <v>84</v>
      </c>
      <c r="C9" s="101">
        <v>0.25171934965613052</v>
      </c>
    </row>
    <row r="10" spans="1:8" ht="15.75" customHeight="1" x14ac:dyDescent="0.25">
      <c r="B10" s="19" t="s">
        <v>85</v>
      </c>
      <c r="C10" s="101">
        <v>9.5918580816283766E-2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88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89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95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3.7058319999999999E-2</v>
      </c>
    </row>
    <row r="27" spans="1:8" ht="15.75" customHeight="1" x14ac:dyDescent="0.25">
      <c r="B27" s="19" t="s">
        <v>102</v>
      </c>
      <c r="C27" s="101">
        <v>3.1722030000000002E-3</v>
      </c>
    </row>
    <row r="28" spans="1:8" ht="15.75" customHeight="1" x14ac:dyDescent="0.25">
      <c r="B28" s="19" t="s">
        <v>103</v>
      </c>
      <c r="C28" s="101">
        <v>0.26537214399999998</v>
      </c>
    </row>
    <row r="29" spans="1:8" ht="15.75" customHeight="1" x14ac:dyDescent="0.25">
      <c r="B29" s="19" t="s">
        <v>104</v>
      </c>
      <c r="C29" s="101">
        <v>8.9267518000000004E-2</v>
      </c>
    </row>
    <row r="30" spans="1:8" ht="15.75" customHeight="1" x14ac:dyDescent="0.25">
      <c r="B30" s="19" t="s">
        <v>2</v>
      </c>
      <c r="C30" s="101">
        <v>3.4850704000000003E-2</v>
      </c>
    </row>
    <row r="31" spans="1:8" ht="15.75" customHeight="1" x14ac:dyDescent="0.25">
      <c r="B31" s="19" t="s">
        <v>105</v>
      </c>
      <c r="C31" s="101">
        <v>5.2997323999999998E-2</v>
      </c>
    </row>
    <row r="32" spans="1:8" ht="15.75" customHeight="1" x14ac:dyDescent="0.25">
      <c r="B32" s="19" t="s">
        <v>106</v>
      </c>
      <c r="C32" s="101">
        <v>4.1757296000000013E-2</v>
      </c>
    </row>
    <row r="33" spans="2:3" ht="15.75" customHeight="1" x14ac:dyDescent="0.25">
      <c r="B33" s="19" t="s">
        <v>107</v>
      </c>
      <c r="C33" s="101">
        <v>5.6826768999999999E-2</v>
      </c>
    </row>
    <row r="34" spans="2:3" ht="15.75" customHeight="1" x14ac:dyDescent="0.25">
      <c r="B34" s="19" t="s">
        <v>108</v>
      </c>
      <c r="C34" s="101">
        <v>0.41869772199999999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HmldBQXmarwpttGUgN93v1Eh8IOgaJADveCEJ57/XdVN6/DYpNH7ItWjXcytu1w3q5i4/Hw0oIcW1I29Pmhurg==" saltValue="7QH21qGlKZqC8DqQbGzq8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114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115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119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120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lbd/x1tZkGss2HZ7UbvInrURj7rEH03xL9nvUtE9Yc2pCBN/oR/NbO6v3TnZa6kUFqg0AAMrd860aZwIT8eLw==" saltValue="jhyWKST/jAwuUE00Wu30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132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G5RJoPXquKDCdHl9I0SJgtxoI4237GZNfwovAZzZEdvDJpjrpnQbBNFKuhAGimmOdZr+J8nlA0zOvSz6SooBpg==" saltValue="dZ2r6X0dB5j76MGrJ561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ucqckAOYNPeHrzB5lFWfCXaC6EQpiPxyURFrBJU6MapdOHCwS7+v8x9Vn4mF4fwgGqu3asEOpDvlMJznmT7Fw==" saltValue="guBUobYCUQf6d5INkC1O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gBOvMh1ypDxETBPLED1I3ulpN7MjD5UoRj8TCG/tgPi8JDFWkkwKRJjV0m/Kq449PeOXgcRkUjTOL9Sz+H1scQ==" saltValue="bx8GNcLczMXlAHZ6+0SJ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IhbDFSt2Th6TXBf9ytnkDp5FaUmNgthPoBiiqbZTc3RrhdknkdXriHlzWpCUioO3BbwSJY7uCXVrXQA068+/mg==" saltValue="w9NEP9JKACn8iWB9pDpBz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x4ei7CoPNBhqmSu0p5yZYrc1bDe5wHpx3UUle4JPPtQETAhqBN1eV/vmQuAFZect7B3g+79lC5qFqaxNwU30Pg==" saltValue="rn6JIkU8b/SDCm+7l386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94.586213594378066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40.699506896759281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987.5278427956996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7.5286638135477881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0.46280009999999999</v>
      </c>
      <c r="C10" s="98">
        <v>0.95</v>
      </c>
      <c r="D10" s="56">
        <v>13.83180634055519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13.83180634055519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13.83180634055519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13.83180634055519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0.46280009999999999</v>
      </c>
      <c r="C14" s="98">
        <v>0.95</v>
      </c>
      <c r="D14" s="56">
        <v>13.83180634055519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13.83180634055519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1.538572140450539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0.58960089999999998</v>
      </c>
      <c r="C18" s="98">
        <v>0.95</v>
      </c>
      <c r="D18" s="56">
        <v>22.59355597690848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0.58960089999999998</v>
      </c>
      <c r="C19" s="98">
        <v>0.95</v>
      </c>
      <c r="D19" s="56">
        <v>22.59355597690848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89.248141599385079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24.299027096709931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4.7916044727007323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0.67559760093265997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0.46280009999999999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19.508595698257331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0.74756310000000004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0.7137907</v>
      </c>
      <c r="C29" s="98">
        <v>0.95</v>
      </c>
      <c r="D29" s="56">
        <v>197.08344135615161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2.1314125469028462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0.69</v>
      </c>
      <c r="C32" s="98">
        <v>0.95</v>
      </c>
      <c r="D32" s="56">
        <v>3.387837434899573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0.95839099999999999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9.0976199999999993E-2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0.17225019999999999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0.52304919999999999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0.48344549999999997</v>
      </c>
      <c r="C38" s="98">
        <v>0.95</v>
      </c>
      <c r="D38" s="56">
        <v>2.7208464683869868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HOqaFPgQuJMhp/V4erIZlRFe26hEeyZnr4bVbXyYJS37TgDI9RghPv0ozSxd2z9Wprd1bu44MljLayX/8b0apQ==" saltValue="ZBQTNzcd4uUQVwz5pBYS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L32kef8gMknMN8K/BGB/gAkgSyEMnS3fDkdpYfZSsrzF37O0dn60L0a/9tXIS75OZCXr+CRAitZxKhYdxKUDzg==" saltValue="eIB7wMVQldrp+UB5QocH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2wmU9fNuKetrKONMZHuruURjqrZACfPnkvpuJ9z3mQ4AxM2qDi4fD+SgiAyJTYdsjpfnRDSVR0Ds2CH4jj6HGg==" saltValue="fFLFsWn1rvAOqfC2u9IU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208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VXP4bLpYB6bONxr3vAFRygJN1V/MDkt/Wld+GVUMgtT7nq6aYWoYTi2W4OFTKNvjefIStcsYNn0BWcF2sLx+ZQ==" saltValue="DffvRJHMt5+xTssRrsKY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lF75PZYl/bhkxiPirnyz+K6z2hu24TmKhnr68gwyIne9fTAYdB8IwhyVElDC2bhjArQ+oO9P5/9FOeE8bZbxA==" saltValue="7cRVyKI6kD784mpKhdHEt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ywbsIZ9oeKsOS8tFbZqPjPU0X7/mJSdSNMcJZfRhHRjifU4vYxEekN6bLSOfF4xwZW0FXzHsXwg/mCiZ2kx8+A==" saltValue="4tOsodf+7DcMdYaTjMvH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6KYEAU8IvqFl4pBqUUBGgKCCyf1GchyVYuYb0EgTIXDCrn8JKGND/jT95AyOMuYGRnDSV2jwSwSojdoFkIkxA==" saltValue="2gpMwjmZbL34exei9cw9b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RRMRJp+ARqZi+mLlWo8rg0NtdFobupRMZSb8/Rjw7S5QVOGIWG7GJ2HU9U2sgaSPzs1d0HSa/Oof3T4JhY9Qw==" saltValue="RZeFabBJM+NZ/wvmZ1b2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H09DstRrr+pPGe6U/xSHP5O4gv/NO92VlsT4y9zxiQDxf0OKa/gtCwBhH1pFBPRU/cSCgXxkMfpMJioxmgGTg==" saltValue="XjRaaCovWfZsWCLPZG/r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1ERiITcKhWigwdrnlTsgHHAPdoNLiHiwzy0k37YMK3sFkRFOkxDDaBmhngnbcrDO7ztXMn6FStr88GT9yIZVQ==" saltValue="ro8PZLZURmBCbYgaRN1x4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2m5VNQHiwlD1rnZcGuzNHbAG+jE+w/wAnQKQq5SD49LBbOtEJb64nY0rrQdX/17jqzXZuQCBbbigds8PNLo8Q==" saltValue="SdsxzpT0v9X20tfJhixiV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YcByQw3W+2dh2/q7gyA0wAQFKjYZ7VHQY1uOJjbAVJIDmRGJ8mpI9aAv1SFgShuCotDkErQS0o4p1wPPEvtFQ==" saltValue="FXTyDiOroQfOW6cxEt4a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ZQKbiChB8dEoZGKGkWnniYk0PBU5VXvBAwyS/KAJs8qClqWwJL9H2jfiBD1tnV5bsN9Dp1WfaE1f+yvOlnaXw==" saltValue="zcCUFCkxOoGWK/+yufJm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VdfWbyC+6lSr2GW7Aweh49lQ6Rhp704xjTmGVmM0Lplyd84DCgFz2U2Sfa5yRVlQMx/RxgGOqliQA8BZr/q1Q==" saltValue="0mYe8KZ/YvoXqPwX+b1+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r+w9WQUzK8THujCmTfbR8+tk7d6el2OlZ8lwB8y2lUGUJuKYfcm4oPV46+OaKROXwAmr7mIC01uxa6XeSG4SA==" saltValue="OqRFVqi2dz0ZJT8TBcdW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HUMozsRjxG/XnvtJ0f7Kc7faHYYG1tMQg+KZWjFx6p0zwAzelzhkHufL7JqxSv6c7sh3iik3OQzjpGY50eD3A==" saltValue="aaWLdZAffjL3TdF4H5Wa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mA7R26L832ikQ73ZFh5WW0lOFLUqDazeiYaIh+PrEq29cQpZN3JHZt67h0Oj8ITiCYhbtp21fq+PWBp5KaS1A==" saltValue="BsgXz7MHF4OHxtWuA2Zz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0.10777127062889835</v>
      </c>
      <c r="G18" s="90">
        <f>MIN(MAX(1-0.89/(1-frac_sam_12_23months+(frac_sam_12_23months*0.89)),0),1)</f>
        <v>0.10935851814461806</v>
      </c>
      <c r="H18" s="90">
        <f>MIN(MAX(1-0.89/(1-frac_sam_24_59months+(frac_sam_24_59months*0.89)),0),1)</f>
        <v>0.1082941479792614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0.10571455822875442</v>
      </c>
      <c r="G20" s="90">
        <f>MIN(MAX(1-0.89/(1-frac_mam_12_23months+(frac_mam_12_23months*0.89)),0),1)</f>
        <v>0.10559820244774842</v>
      </c>
      <c r="H20" s="90">
        <f>MIN(MAX(1-0.89/(1-frac_mam_24_59months+(frac_mam_24_59months*0.89)),0),1)</f>
        <v>0.10130004068030996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9.775134786482953E-3</v>
      </c>
      <c r="G73" s="90">
        <f>MIN(MAX(1-0.99/(1-frac_sam_12_23months+(frac_sam_12_23months*0.99)),0),1)</f>
        <v>9.9351735253568885E-3</v>
      </c>
      <c r="H73" s="90">
        <f>MIN(MAX(1-0.99/(1-frac_sam_24_59months+(frac_sam_24_59months*0.99)),0),1)</f>
        <v>9.8277981622062471E-3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9.5685294245899666E-3</v>
      </c>
      <c r="G75" s="90">
        <f>MIN(MAX(1-0.99/(1-frac_mam_12_23months+(frac_mam_12_23months*0.99)),0),1)</f>
        <v>9.5568668282307589E-3</v>
      </c>
      <c r="H75" s="90">
        <f>MIN(MAX(1-0.99/(1-frac_mam_24_59months+(frac_mam_24_59months*0.99)),0),1)</f>
        <v>9.1279781227868728E-3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0.19635006308149716</v>
      </c>
      <c r="G128" s="90">
        <f>MIN(MAX(1-0.8/(1-frac_sam_12_23months+(frac_sam_12_23months*0.8)),0),1)</f>
        <v>0.19895099428505592</v>
      </c>
      <c r="H128" s="90">
        <f>MIN(MAX(1-0.8/(1-frac_sam_24_59months+(frac_sam_24_59months*0.8)),0),1)</f>
        <v>0.19720771180736263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0.19296851219367073</v>
      </c>
      <c r="G130" s="90">
        <f>MIN(MAX(1-0.8/(1-frac_mam_12_23months+(frac_mam_12_23months*0.8)),0),1)</f>
        <v>0.19277682170040311</v>
      </c>
      <c r="H130" s="90">
        <f>MIN(MAX(1-0.8/(1-frac_mam_24_59months+(frac_mam_24_59months*0.8)),0),1)</f>
        <v>0.18566684062858785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sUcU7nDgy+xbdV/NW6MfWDHEW20qJaM33Ki8bZXFGp1iOThsoQsWgxTSxyCXcHMvBEUUhzy8a7YObowb+ntnw==" saltValue="dqW+9YgA6zrQ+ux+N8ru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/J1i8CP0Lngq2bdOOTOcyqdoUj2l+/pun55vwQMgefdbEx/J+V+HdLmk0VA1rgOPxiDDZMnfhIZe5v86p3jmA==" saltValue="wyXxmSlb57IR7tsVGwnNn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2024-08-06T09:24:15Z</dcterms:modified>
</cp:coreProperties>
</file>