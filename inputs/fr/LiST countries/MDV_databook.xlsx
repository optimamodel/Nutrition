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748BDAAA-7F26-4A5B-9D3A-9C51166D8E91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3" i="2" l="1"/>
  <c r="A24" i="2"/>
  <c r="A22" i="2"/>
  <c r="A25" i="2"/>
  <c r="I4" i="2"/>
  <c r="I8" i="2"/>
  <c r="I12" i="2"/>
  <c r="A36" i="2"/>
  <c r="A37" i="2"/>
  <c r="I9" i="2"/>
  <c r="I13" i="2"/>
  <c r="I38" i="2"/>
  <c r="A26" i="2"/>
  <c r="I39" i="2"/>
  <c r="A31" i="2"/>
  <c r="A34" i="2"/>
  <c r="A40" i="2"/>
  <c r="I2" i="2"/>
  <c r="I6" i="2"/>
  <c r="A19" i="2"/>
  <c r="A35" i="2"/>
  <c r="I3" i="2"/>
  <c r="I7" i="2"/>
  <c r="I11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<sst xmlns="http://schemas.openxmlformats.org/spreadsheetml/2006/main" count="2169" uniqueCount="369">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</sst>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28779</v>
      </c>
    </row>
    <row r="8" spans="1:3" ht="15" customHeight="1" x14ac:dyDescent="0.25">
      <c r="B8" s="5" t="s">
        <v>37</v>
      </c>
      <c r="C8" s="44">
        <v>0.01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0.59512580869999998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0.57299999999999995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4.9799999999999997E-2</v>
      </c>
    </row>
    <row r="24" spans="1:3" ht="15" customHeight="1" x14ac:dyDescent="0.25">
      <c r="B24" s="15" t="s">
        <v>51</v>
      </c>
      <c r="C24" s="45">
        <v>0.55979999999999996</v>
      </c>
    </row>
    <row r="25" spans="1:3" ht="15" customHeight="1" x14ac:dyDescent="0.25">
      <c r="B25" s="15" t="s">
        <v>52</v>
      </c>
      <c r="C25" s="45">
        <v>0.36509999999999998</v>
      </c>
    </row>
    <row r="26" spans="1:3" ht="15" customHeight="1" x14ac:dyDescent="0.25">
      <c r="B26" s="15" t="s">
        <v>53</v>
      </c>
      <c r="C26" s="45">
        <v>2.53E-2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0.39599847873399902</v>
      </c>
    </row>
    <row r="30" spans="1:3" ht="14.25" customHeight="1" x14ac:dyDescent="0.25">
      <c r="B30" s="25" t="s">
        <v>56</v>
      </c>
      <c r="C30" s="97">
        <v>2.7072411186337599E-2</v>
      </c>
    </row>
    <row r="31" spans="1:3" ht="14.25" customHeight="1" x14ac:dyDescent="0.25">
      <c r="B31" s="25" t="s">
        <v>57</v>
      </c>
      <c r="C31" s="97">
        <v>4.2587227841301499E-2</v>
      </c>
    </row>
    <row r="32" spans="1:3" ht="14.25" customHeight="1" x14ac:dyDescent="0.25">
      <c r="B32" s="25" t="s">
        <v>58</v>
      </c>
      <c r="C32" s="97">
        <v>0.53434188223836199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4.0605599999999997</v>
      </c>
    </row>
    <row r="38" spans="1:5" ht="15" customHeight="1" x14ac:dyDescent="0.25">
      <c r="B38" s="11" t="s">
        <v>63</v>
      </c>
      <c r="C38" s="43">
        <v>5.0968799999999996</v>
      </c>
      <c r="D38" s="12"/>
      <c r="E38" s="13"/>
    </row>
    <row r="39" spans="1:5" ht="15" customHeight="1" x14ac:dyDescent="0.25">
      <c r="B39" s="11" t="s">
        <v>64</v>
      </c>
      <c r="C39" s="43">
        <v>5.9616100000000003</v>
      </c>
      <c r="D39" s="12"/>
      <c r="E39" s="12"/>
    </row>
    <row r="40" spans="1:5" ht="15" customHeight="1" x14ac:dyDescent="0.25">
      <c r="B40" s="11" t="s">
        <v>65</v>
      </c>
      <c r="C40" s="98">
        <v>0.56999999999999995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4.81996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8.3797999999999997E-3</v>
      </c>
      <c r="D45" s="12"/>
    </row>
    <row r="46" spans="1:5" ht="15.75" customHeight="1" x14ac:dyDescent="0.25">
      <c r="B46" s="11" t="s">
        <v>70</v>
      </c>
      <c r="C46" s="45">
        <v>9.0039499999999995E-2</v>
      </c>
      <c r="D46" s="12"/>
    </row>
    <row r="47" spans="1:5" ht="15.75" customHeight="1" x14ac:dyDescent="0.25">
      <c r="B47" s="11" t="s">
        <v>71</v>
      </c>
      <c r="C47" s="45">
        <v>7.3031499999999999E-2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2.4</v>
      </c>
      <c r="D51" s="12"/>
    </row>
    <row r="52" spans="1:4" ht="15" customHeight="1" x14ac:dyDescent="0.25">
      <c r="B52" s="11" t="s">
        <v>75</v>
      </c>
      <c r="C52" s="98">
        <v>2.4</v>
      </c>
    </row>
    <row r="53" spans="1:4" ht="15.75" customHeight="1" x14ac:dyDescent="0.25">
      <c r="B53" s="11" t="s">
        <v>76</v>
      </c>
      <c r="C53" s="98">
        <v>2.4</v>
      </c>
    </row>
    <row r="54" spans="1:4" ht="15.75" customHeight="1" x14ac:dyDescent="0.25">
      <c r="B54" s="11" t="s">
        <v>77</v>
      </c>
      <c r="C54" s="98">
        <v>2.4</v>
      </c>
    </row>
    <row r="55" spans="1:4" ht="15.75" customHeight="1" x14ac:dyDescent="0.25">
      <c r="B55" s="11" t="s">
        <v>78</v>
      </c>
      <c r="C55" s="98">
        <v>2.4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2.1666666666666671E-2</v>
      </c>
    </row>
    <row r="59" spans="1:4" ht="15.75" customHeight="1" x14ac:dyDescent="0.25">
      <c r="B59" s="11" t="s">
        <v>81</v>
      </c>
      <c r="C59" s="45">
        <v>0.55161899999999997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0.11717912999999899</v>
      </c>
    </row>
    <row r="63" spans="1:4" ht="15.75" customHeight="1" x14ac:dyDescent="0.3">
      <c r="A63" s="4"/>
    </row>
  </sheetData>
  <sheetProtection algorithmName="SHA-512" hashValue="fLRRu9JXz0WChuUi6DBLUMt8mA7KV5spri7WEMuotffqQBW4oNs983CmBKjfd/dD2hG+5v3mT+1kec059V/qpw==" saltValue="yVNs8ih/aUYkQUvLlRfx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5588</v>
      </c>
      <c r="C2" s="49">
        <v>15051.5</v>
      </c>
      <c r="D2" s="49">
        <v>29702</v>
      </c>
      <c r="E2" s="49">
        <v>41910</v>
      </c>
      <c r="F2" s="49">
        <v>28693.5</v>
      </c>
      <c r="G2" s="17">
        <f t="shared" ref="G2:G13" si="0">C2+D2+E2+F2</f>
        <v>115357</v>
      </c>
      <c r="H2" s="17">
        <f t="shared" ref="H2:H13" si="1">(B2 + stillbirth*B2/(1000-stillbirth))/(1-abortion)</f>
        <v>6380.7549837916758</v>
      </c>
      <c r="I2" s="17">
        <f t="shared" ref="I2:I13" si="2">G2-H2</f>
        <v>108976.24501620833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5403</v>
      </c>
      <c r="C3" s="50">
        <v>16076.5</v>
      </c>
      <c r="D3" s="50">
        <v>28502.499999999996</v>
      </c>
      <c r="E3" s="50">
        <v>41394</v>
      </c>
      <c r="F3" s="50">
        <v>30429.000000000004</v>
      </c>
      <c r="G3" s="17">
        <f t="shared" si="0"/>
        <v>116402</v>
      </c>
      <c r="H3" s="17">
        <f t="shared" si="1"/>
        <v>6169.5095163612077</v>
      </c>
      <c r="I3" s="17">
        <f t="shared" si="2"/>
        <v>110232.49048363879</v>
      </c>
    </row>
    <row r="4" spans="1:9" ht="15.75" customHeight="1" x14ac:dyDescent="0.25">
      <c r="A4" s="5">
        <f t="shared" si="3"/>
        <v>2026</v>
      </c>
      <c r="B4" s="49">
        <v>5224</v>
      </c>
      <c r="C4" s="50">
        <v>16989</v>
      </c>
      <c r="D4" s="50">
        <v>27736.5</v>
      </c>
      <c r="E4" s="50">
        <v>40539</v>
      </c>
      <c r="F4" s="50">
        <v>32232.5</v>
      </c>
      <c r="G4" s="17">
        <f t="shared" si="0"/>
        <v>117497</v>
      </c>
      <c r="H4" s="17">
        <f t="shared" si="1"/>
        <v>5965.1152532798351</v>
      </c>
      <c r="I4" s="17">
        <f t="shared" si="2"/>
        <v>111531.88474672017</v>
      </c>
    </row>
    <row r="5" spans="1:9" ht="15.75" customHeight="1" x14ac:dyDescent="0.25">
      <c r="A5" s="5">
        <f t="shared" si="3"/>
        <v>2027</v>
      </c>
      <c r="B5" s="49">
        <v>5073</v>
      </c>
      <c r="C5" s="50">
        <v>17666.5</v>
      </c>
      <c r="D5" s="50">
        <v>27500.500000000004</v>
      </c>
      <c r="E5" s="50">
        <v>39384.5</v>
      </c>
      <c r="F5" s="50">
        <v>34033</v>
      </c>
      <c r="G5" s="17">
        <f t="shared" si="0"/>
        <v>118584.5</v>
      </c>
      <c r="H5" s="17">
        <f t="shared" si="1"/>
        <v>5792.6932771609117</v>
      </c>
      <c r="I5" s="17">
        <f t="shared" si="2"/>
        <v>112791.80672283909</v>
      </c>
    </row>
    <row r="6" spans="1:9" ht="15.75" customHeight="1" x14ac:dyDescent="0.25">
      <c r="A6" s="5">
        <f t="shared" si="3"/>
        <v>2028</v>
      </c>
      <c r="B6" s="49">
        <v>4950</v>
      </c>
      <c r="C6" s="50">
        <v>18031.5</v>
      </c>
      <c r="D6" s="50">
        <v>27833</v>
      </c>
      <c r="E6" s="50">
        <v>37981</v>
      </c>
      <c r="F6" s="50">
        <v>35761</v>
      </c>
      <c r="G6" s="17">
        <f t="shared" si="0"/>
        <v>119606.5</v>
      </c>
      <c r="H6" s="17">
        <f t="shared" si="1"/>
        <v>5652.2435880044377</v>
      </c>
      <c r="I6" s="17">
        <f t="shared" si="2"/>
        <v>113954.25641199556</v>
      </c>
    </row>
    <row r="7" spans="1:9" ht="15.75" customHeight="1" x14ac:dyDescent="0.25">
      <c r="A7" s="5">
        <f t="shared" si="3"/>
        <v>2029</v>
      </c>
      <c r="B7" s="49">
        <v>4855</v>
      </c>
      <c r="C7" s="50">
        <v>18093</v>
      </c>
      <c r="D7" s="50">
        <v>28652.5</v>
      </c>
      <c r="E7" s="50">
        <v>36381</v>
      </c>
      <c r="F7" s="50">
        <v>37337.5</v>
      </c>
      <c r="G7" s="17">
        <f t="shared" si="0"/>
        <v>120464</v>
      </c>
      <c r="H7" s="17">
        <f t="shared" si="1"/>
        <v>5543.7661858104138</v>
      </c>
      <c r="I7" s="17">
        <f t="shared" si="2"/>
        <v>114920.23381418959</v>
      </c>
    </row>
    <row r="8" spans="1:9" ht="15.75" customHeight="1" x14ac:dyDescent="0.25">
      <c r="A8" s="5">
        <f t="shared" si="3"/>
        <v>2030</v>
      </c>
      <c r="B8" s="49">
        <v>4782</v>
      </c>
      <c r="C8" s="50">
        <v>17927.5</v>
      </c>
      <c r="D8" s="50">
        <v>29828</v>
      </c>
      <c r="E8" s="50">
        <v>34665</v>
      </c>
      <c r="F8" s="50">
        <v>38684.5</v>
      </c>
      <c r="G8" s="17">
        <f t="shared" si="0"/>
        <v>121105</v>
      </c>
      <c r="H8" s="17">
        <f t="shared" si="1"/>
        <v>5460.409866229742</v>
      </c>
      <c r="I8" s="17">
        <f t="shared" si="2"/>
        <v>115644.59013377025</v>
      </c>
    </row>
    <row r="9" spans="1:9" ht="15.75" customHeight="1" x14ac:dyDescent="0.25">
      <c r="A9" s="5">
        <f t="shared" si="3"/>
        <v>2031</v>
      </c>
      <c r="B9" s="49">
        <v>4731</v>
      </c>
      <c r="C9" s="50">
        <v>17612</v>
      </c>
      <c r="D9" s="50">
        <v>31227.5</v>
      </c>
      <c r="E9" s="50">
        <v>32926.500000000007</v>
      </c>
      <c r="F9" s="50">
        <v>39747.5</v>
      </c>
      <c r="G9" s="17">
        <f t="shared" si="0"/>
        <v>121513.5</v>
      </c>
      <c r="H9" s="17">
        <f t="shared" si="1"/>
        <v>5402.174629262423</v>
      </c>
      <c r="I9" s="17">
        <f t="shared" si="2"/>
        <v>116111.32537073758</v>
      </c>
    </row>
    <row r="10" spans="1:9" ht="15.75" customHeight="1" x14ac:dyDescent="0.25">
      <c r="A10" s="5">
        <f t="shared" si="3"/>
        <v>2032</v>
      </c>
      <c r="B10" s="49">
        <v>4709</v>
      </c>
      <c r="C10" s="50">
        <v>17219</v>
      </c>
      <c r="D10" s="50">
        <v>32690.5</v>
      </c>
      <c r="E10" s="50">
        <v>31245.5</v>
      </c>
      <c r="F10" s="50">
        <v>40477.000000000007</v>
      </c>
      <c r="G10" s="17">
        <f t="shared" si="0"/>
        <v>121632</v>
      </c>
      <c r="H10" s="17">
        <f t="shared" si="1"/>
        <v>5377.0535466490701</v>
      </c>
      <c r="I10" s="17">
        <f t="shared" si="2"/>
        <v>116254.94645335093</v>
      </c>
    </row>
    <row r="11" spans="1:9" ht="15.75" customHeight="1" x14ac:dyDescent="0.25">
      <c r="A11" s="5">
        <f t="shared" si="3"/>
        <v>2033</v>
      </c>
      <c r="B11" s="49">
        <v>4711</v>
      </c>
      <c r="C11" s="50">
        <v>16807</v>
      </c>
      <c r="D11" s="50">
        <v>34083.5</v>
      </c>
      <c r="E11" s="50">
        <v>29710</v>
      </c>
      <c r="F11" s="50">
        <v>40824.5</v>
      </c>
      <c r="G11" s="17">
        <f t="shared" si="0"/>
        <v>121425</v>
      </c>
      <c r="H11" s="17">
        <f t="shared" si="1"/>
        <v>5379.3372814321019</v>
      </c>
      <c r="I11" s="17">
        <f t="shared" si="2"/>
        <v>116045.6627185679</v>
      </c>
    </row>
    <row r="12" spans="1:9" ht="15.75" customHeight="1" x14ac:dyDescent="0.25">
      <c r="A12" s="5">
        <f t="shared" si="3"/>
        <v>2034</v>
      </c>
      <c r="B12" s="49">
        <v>4737</v>
      </c>
      <c r="C12" s="50">
        <v>16388.5</v>
      </c>
      <c r="D12" s="50">
        <v>35304</v>
      </c>
      <c r="E12" s="50">
        <v>28406</v>
      </c>
      <c r="F12" s="50">
        <v>40783</v>
      </c>
      <c r="G12" s="17">
        <f t="shared" si="0"/>
        <v>120881.5</v>
      </c>
      <c r="H12" s="17">
        <f t="shared" si="1"/>
        <v>5409.0258336115194</v>
      </c>
      <c r="I12" s="17">
        <f t="shared" si="2"/>
        <v>115472.47416638848</v>
      </c>
    </row>
    <row r="13" spans="1:9" ht="15.75" customHeight="1" x14ac:dyDescent="0.25">
      <c r="A13" s="5">
        <f t="shared" si="3"/>
        <v>2035</v>
      </c>
      <c r="B13" s="49">
        <v>4770</v>
      </c>
      <c r="C13" s="50">
        <v>15949</v>
      </c>
      <c r="D13" s="50">
        <v>36298.500000000007</v>
      </c>
      <c r="E13" s="50">
        <v>27427.500000000004</v>
      </c>
      <c r="F13" s="50">
        <v>40373.5</v>
      </c>
      <c r="G13" s="17">
        <f t="shared" si="0"/>
        <v>120048.50000000001</v>
      </c>
      <c r="H13" s="17">
        <f t="shared" si="1"/>
        <v>5446.7074575315492</v>
      </c>
      <c r="I13" s="17">
        <f t="shared" si="2"/>
        <v>114601.79254246847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gPncJav3N5vMJrGAukt7iM4JVXfO2+XBwmzEZi3b54fUtdRRlJs8HE+v2X74zndl5TkhS9GWVOs+vOc/kYwqww==" saltValue="odNox2jwWupQeU+WVOCTg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99">
        <v>6.5867286826542651E-2</v>
      </c>
    </row>
    <row r="5" spans="1:8" ht="15.75" customHeight="1" x14ac:dyDescent="0.25">
      <c r="B5" s="19" t="s">
        <v>98</v>
      </c>
      <c r="C5" s="99">
        <v>2.445029510994097E-2</v>
      </c>
    </row>
    <row r="6" spans="1:8" ht="15.75" customHeight="1" x14ac:dyDescent="0.25">
      <c r="B6" s="19" t="s">
        <v>99</v>
      </c>
      <c r="C6" s="99">
        <v>0.1371583725683255</v>
      </c>
    </row>
    <row r="7" spans="1:8" ht="15.75" customHeight="1" x14ac:dyDescent="0.25">
      <c r="B7" s="19" t="s">
        <v>100</v>
      </c>
      <c r="C7" s="99">
        <v>0.42002271599545637</v>
      </c>
    </row>
    <row r="8" spans="1:8" ht="15.75" customHeight="1" x14ac:dyDescent="0.25">
      <c r="B8" s="19" t="s">
        <v>101</v>
      </c>
      <c r="C8" s="99">
        <v>4.8633990273201973E-3</v>
      </c>
    </row>
    <row r="9" spans="1:8" ht="15.75" customHeight="1" x14ac:dyDescent="0.25">
      <c r="B9" s="19" t="s">
        <v>102</v>
      </c>
      <c r="C9" s="99">
        <v>0.25171934965613052</v>
      </c>
    </row>
    <row r="10" spans="1:8" ht="15.75" customHeight="1" x14ac:dyDescent="0.25">
      <c r="B10" s="19" t="s">
        <v>103</v>
      </c>
      <c r="C10" s="99">
        <v>9.5918580816283766E-2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9.6620941854483972E-2</v>
      </c>
      <c r="D14" s="55">
        <v>9.6620941854483972E-2</v>
      </c>
      <c r="E14" s="55">
        <v>9.6620941854483972E-2</v>
      </c>
      <c r="F14" s="55">
        <v>9.6620941854483972E-2</v>
      </c>
    </row>
    <row r="15" spans="1:8" ht="15.75" customHeight="1" x14ac:dyDescent="0.25">
      <c r="B15" s="19" t="s">
        <v>106</v>
      </c>
      <c r="C15" s="99">
        <v>0.34415592372124182</v>
      </c>
      <c r="D15" s="99">
        <v>0.34415592372124182</v>
      </c>
      <c r="E15" s="99">
        <v>0.34415592372124182</v>
      </c>
      <c r="F15" s="99">
        <v>0.34415592372124182</v>
      </c>
    </row>
    <row r="16" spans="1:8" ht="15.75" customHeight="1" x14ac:dyDescent="0.25">
      <c r="B16" s="19" t="s">
        <v>107</v>
      </c>
      <c r="C16" s="99">
        <v>6.7951622788939819E-2</v>
      </c>
      <c r="D16" s="99">
        <v>6.7951622788939819E-2</v>
      </c>
      <c r="E16" s="99">
        <v>6.7951622788939819E-2</v>
      </c>
      <c r="F16" s="99">
        <v>6.7951622788939819E-2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5.2061214258508001E-2</v>
      </c>
      <c r="D19" s="99">
        <v>5.2061214258508001E-2</v>
      </c>
      <c r="E19" s="99">
        <v>5.2061214258508001E-2</v>
      </c>
      <c r="F19" s="99">
        <v>5.2061214258508001E-2</v>
      </c>
    </row>
    <row r="20" spans="1:8" ht="15.75" customHeight="1" x14ac:dyDescent="0.25">
      <c r="B20" s="19" t="s">
        <v>111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112</v>
      </c>
      <c r="C21" s="99">
        <v>0.39264628016308611</v>
      </c>
      <c r="D21" s="99">
        <v>0.39264628016308611</v>
      </c>
      <c r="E21" s="99">
        <v>0.39264628016308611</v>
      </c>
      <c r="F21" s="99">
        <v>0.39264628016308611</v>
      </c>
    </row>
    <row r="22" spans="1:8" ht="15.75" customHeight="1" x14ac:dyDescent="0.25">
      <c r="B22" s="19" t="s">
        <v>113</v>
      </c>
      <c r="C22" s="99">
        <v>4.6564017213740219E-2</v>
      </c>
      <c r="D22" s="99">
        <v>4.6564017213740219E-2</v>
      </c>
      <c r="E22" s="99">
        <v>4.6564017213740219E-2</v>
      </c>
      <c r="F22" s="99">
        <v>4.6564017213740219E-2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3.7058319999999999E-2</v>
      </c>
    </row>
    <row r="27" spans="1:8" ht="15.75" customHeight="1" x14ac:dyDescent="0.25">
      <c r="B27" s="19" t="s">
        <v>120</v>
      </c>
      <c r="C27" s="99">
        <v>3.1722030000000002E-3</v>
      </c>
    </row>
    <row r="28" spans="1:8" ht="15.75" customHeight="1" x14ac:dyDescent="0.25">
      <c r="B28" s="19" t="s">
        <v>121</v>
      </c>
      <c r="C28" s="99">
        <v>0.26537214399999998</v>
      </c>
    </row>
    <row r="29" spans="1:8" ht="15.75" customHeight="1" x14ac:dyDescent="0.25">
      <c r="B29" s="19" t="s">
        <v>122</v>
      </c>
      <c r="C29" s="99">
        <v>8.9267518000000004E-2</v>
      </c>
    </row>
    <row r="30" spans="1:8" ht="15.75" customHeight="1" x14ac:dyDescent="0.25">
      <c r="B30" s="19" t="s">
        <v>2</v>
      </c>
      <c r="C30" s="99">
        <v>3.4850704000000003E-2</v>
      </c>
    </row>
    <row r="31" spans="1:8" ht="15.75" customHeight="1" x14ac:dyDescent="0.25">
      <c r="B31" s="19" t="s">
        <v>123</v>
      </c>
      <c r="C31" s="99">
        <v>5.2997323999999998E-2</v>
      </c>
    </row>
    <row r="32" spans="1:8" ht="15.75" customHeight="1" x14ac:dyDescent="0.25">
      <c r="B32" s="19" t="s">
        <v>124</v>
      </c>
      <c r="C32" s="99">
        <v>4.1757296000000013E-2</v>
      </c>
    </row>
    <row r="33" spans="2:3" ht="15.75" customHeight="1" x14ac:dyDescent="0.25">
      <c r="B33" s="19" t="s">
        <v>125</v>
      </c>
      <c r="C33" s="99">
        <v>5.6826768999999999E-2</v>
      </c>
    </row>
    <row r="34" spans="2:3" ht="15.75" customHeight="1" x14ac:dyDescent="0.25">
      <c r="B34" s="19" t="s">
        <v>126</v>
      </c>
      <c r="C34" s="99">
        <v>0.41869772199999999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fykaJQ1n8uNtCESNbBKzxyXOeqNwcBmaAvkmamk74UqZME0BtMqNbcwooxtH/Mbu7lpwy1w2U8nDJs++x4A7eg==" saltValue="Xe/JY6++r8CNuqN9IvD2s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0.4030891174365191</v>
      </c>
      <c r="D2" s="52">
        <f>IFERROR(1-_xlfn.NORM.DIST(_xlfn.NORM.INV(SUM(D4:D5), 0, 1) + 1, 0, 1, TRUE), "")</f>
        <v>0.4030891174365191</v>
      </c>
      <c r="E2" s="52">
        <f>IFERROR(1-_xlfn.NORM.DIST(_xlfn.NORM.INV(SUM(E4:E5), 0, 1) + 1, 0, 1, TRUE), "")</f>
        <v>0.46556671249017612</v>
      </c>
      <c r="F2" s="52">
        <f>IFERROR(1-_xlfn.NORM.DIST(_xlfn.NORM.INV(SUM(F4:F5), 0, 1) + 1, 0, 1, TRUE), "")</f>
        <v>0.41939665599499554</v>
      </c>
      <c r="G2" s="52">
        <f>IFERROR(1-_xlfn.NORM.DIST(_xlfn.NORM.INV(SUM(G4:G5), 0, 1) + 1, 0, 1, TRUE), "")</f>
        <v>0.56552022412391656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0.37167858256348091</v>
      </c>
      <c r="D3" s="52">
        <f>IFERROR(_xlfn.NORM.DIST(_xlfn.NORM.INV(SUM(D4:D5), 0, 1) + 1, 0, 1, TRUE) - SUM(D4:D5), "")</f>
        <v>0.37167858256348091</v>
      </c>
      <c r="E3" s="52">
        <f>IFERROR(_xlfn.NORM.DIST(_xlfn.NORM.INV(SUM(E4:E5), 0, 1) + 1, 0, 1, TRUE) - SUM(E4:E5), "")</f>
        <v>0.35396478750982391</v>
      </c>
      <c r="F3" s="52">
        <f>IFERROR(_xlfn.NORM.DIST(_xlfn.NORM.INV(SUM(F4:F5), 0, 1) + 1, 0, 1, TRUE) - SUM(F4:F5), "")</f>
        <v>0.36775084400500446</v>
      </c>
      <c r="G3" s="52">
        <f>IFERROR(_xlfn.NORM.DIST(_xlfn.NORM.INV(SUM(G4:G5), 0, 1) + 1, 0, 1, TRUE) - SUM(G4:G5), "")</f>
        <v>0.31246627587608344</v>
      </c>
    </row>
    <row r="4" spans="1:15" ht="15.75" customHeight="1" x14ac:dyDescent="0.25">
      <c r="B4" s="5" t="s">
        <v>132</v>
      </c>
      <c r="C4" s="45">
        <v>0.142876</v>
      </c>
      <c r="D4" s="53">
        <v>0.142876</v>
      </c>
      <c r="E4" s="53">
        <v>0.13257179999999999</v>
      </c>
      <c r="F4" s="53">
        <v>0.1496171</v>
      </c>
      <c r="G4" s="53">
        <v>9.5615699999999998E-2</v>
      </c>
    </row>
    <row r="5" spans="1:15" ht="15.75" customHeight="1" x14ac:dyDescent="0.25">
      <c r="B5" s="5" t="s">
        <v>133</v>
      </c>
      <c r="C5" s="45">
        <v>8.2356300000000007E-2</v>
      </c>
      <c r="D5" s="53">
        <v>8.2356300000000007E-2</v>
      </c>
      <c r="E5" s="53">
        <v>4.78967E-2</v>
      </c>
      <c r="F5" s="53">
        <v>6.3235399999999997E-2</v>
      </c>
      <c r="G5" s="53">
        <v>2.6397799999999999E-2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0.58170472684946239</v>
      </c>
      <c r="D8" s="52">
        <f>IFERROR(1-_xlfn.NORM.DIST(_xlfn.NORM.INV(SUM(D10:D11), 0, 1) + 1, 0, 1, TRUE), "")</f>
        <v>0.58170472684946239</v>
      </c>
      <c r="E8" s="52">
        <f>IFERROR(1-_xlfn.NORM.DIST(_xlfn.NORM.INV(SUM(E10:E11), 0, 1) + 1, 0, 1, TRUE), "")</f>
        <v>0.69291921359696806</v>
      </c>
      <c r="F8" s="52">
        <f>IFERROR(1-_xlfn.NORM.DIST(_xlfn.NORM.INV(SUM(F10:F11), 0, 1) + 1, 0, 1, TRUE), "")</f>
        <v>0.73646523833154964</v>
      </c>
      <c r="G8" s="52">
        <f>IFERROR(1-_xlfn.NORM.DIST(_xlfn.NORM.INV(SUM(G10:G11), 0, 1) + 1, 0, 1, TRUE), "")</f>
        <v>0.5992426661851642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0.30443597315053766</v>
      </c>
      <c r="D9" s="52">
        <f>IFERROR(_xlfn.NORM.DIST(_xlfn.NORM.INV(SUM(D10:D11), 0, 1) + 1, 0, 1, TRUE) - SUM(D10:D11), "")</f>
        <v>0.30443597315053766</v>
      </c>
      <c r="E9" s="52">
        <f>IFERROR(_xlfn.NORM.DIST(_xlfn.NORM.INV(SUM(E10:E11), 0, 1) + 1, 0, 1, TRUE) - SUM(E10:E11), "")</f>
        <v>0.24080838640303193</v>
      </c>
      <c r="F9" s="52">
        <f>IFERROR(_xlfn.NORM.DIST(_xlfn.NORM.INV(SUM(F10:F11), 0, 1) + 1, 0, 1, TRUE) - SUM(F10:F11), "")</f>
        <v>0.21224616166845034</v>
      </c>
      <c r="G9" s="52">
        <f>IFERROR(_xlfn.NORM.DIST(_xlfn.NORM.INV(SUM(G10:G11), 0, 1) + 1, 0, 1, TRUE) - SUM(G10:G11), "")</f>
        <v>0.2953607338148358</v>
      </c>
    </row>
    <row r="10" spans="1:15" ht="15.75" customHeight="1" x14ac:dyDescent="0.25">
      <c r="B10" s="5" t="s">
        <v>137</v>
      </c>
      <c r="C10" s="45">
        <v>3.9528899999999999E-2</v>
      </c>
      <c r="D10" s="53">
        <v>3.9528899999999999E-2</v>
      </c>
      <c r="E10" s="53">
        <v>4.3563900000000003E-2</v>
      </c>
      <c r="F10" s="53">
        <v>4.47409E-2</v>
      </c>
      <c r="G10" s="53">
        <v>8.80055E-2</v>
      </c>
    </row>
    <row r="11" spans="1:15" ht="15.75" customHeight="1" x14ac:dyDescent="0.25">
      <c r="B11" s="5" t="s">
        <v>138</v>
      </c>
      <c r="C11" s="45">
        <v>7.4330400000000005E-2</v>
      </c>
      <c r="D11" s="53">
        <v>7.4330400000000005E-2</v>
      </c>
      <c r="E11" s="53">
        <v>2.27085E-2</v>
      </c>
      <c r="F11" s="53">
        <v>6.5477E-3</v>
      </c>
      <c r="G11" s="53">
        <v>1.73911E-2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0.54814867350000007</v>
      </c>
      <c r="D14" s="54">
        <v>0.52809382599400001</v>
      </c>
      <c r="E14" s="54">
        <v>0.52809382599400001</v>
      </c>
      <c r="F14" s="54">
        <v>0.246947057985</v>
      </c>
      <c r="G14" s="54">
        <v>0.246947057985</v>
      </c>
      <c r="H14" s="45">
        <v>0.46899999999999997</v>
      </c>
      <c r="I14" s="55">
        <v>0.46899999999999997</v>
      </c>
      <c r="J14" s="55">
        <v>0.46899999999999997</v>
      </c>
      <c r="K14" s="55">
        <v>0.46899999999999997</v>
      </c>
      <c r="L14" s="45">
        <v>0.42399999999999999</v>
      </c>
      <c r="M14" s="55">
        <v>0.42399999999999999</v>
      </c>
      <c r="N14" s="55">
        <v>0.42399999999999999</v>
      </c>
      <c r="O14" s="55">
        <v>0.42399999999999999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0.3023692231273965</v>
      </c>
      <c r="D15" s="52">
        <f t="shared" si="0"/>
        <v>0.29130658820098426</v>
      </c>
      <c r="E15" s="52">
        <f t="shared" si="0"/>
        <v>0.29130658820098426</v>
      </c>
      <c r="F15" s="52">
        <f t="shared" si="0"/>
        <v>0.1362206891786277</v>
      </c>
      <c r="G15" s="52">
        <f t="shared" si="0"/>
        <v>0.1362206891786277</v>
      </c>
      <c r="H15" s="52">
        <f t="shared" si="0"/>
        <v>0.258709311</v>
      </c>
      <c r="I15" s="52">
        <f t="shared" si="0"/>
        <v>0.258709311</v>
      </c>
      <c r="J15" s="52">
        <f t="shared" si="0"/>
        <v>0.258709311</v>
      </c>
      <c r="K15" s="52">
        <f t="shared" si="0"/>
        <v>0.258709311</v>
      </c>
      <c r="L15" s="52">
        <f t="shared" si="0"/>
        <v>0.23388645599999999</v>
      </c>
      <c r="M15" s="52">
        <f t="shared" si="0"/>
        <v>0.23388645599999999</v>
      </c>
      <c r="N15" s="52">
        <f t="shared" si="0"/>
        <v>0.23388645599999999</v>
      </c>
      <c r="O15" s="52">
        <f t="shared" si="0"/>
        <v>0.23388645599999999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8HpKuJ5rqiG9WLQ6LUAMB0bnfN4yU9WtTZyXGTHf3cL88XWN4D43vsCdKzhXj3VJ8/EF5A8JWiIXoy3uJll2Dg==" saltValue="t0n5D5xQfLbaZx2kDDG52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0.76553150000000003</v>
      </c>
      <c r="D2" s="53">
        <v>0.58960089999999998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0.1157657</v>
      </c>
      <c r="D3" s="53">
        <v>0.16178020000000001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0.1152965</v>
      </c>
      <c r="D4" s="53">
        <v>0.2179171</v>
      </c>
      <c r="E4" s="53">
        <v>0.86853899999999995</v>
      </c>
      <c r="F4" s="53">
        <v>0.72774000000000005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3.4062999999999732E-3</v>
      </c>
      <c r="D5" s="52">
        <f t="shared" si="0"/>
        <v>3.0701800000000001E-2</v>
      </c>
      <c r="E5" s="52">
        <f>1-SUM(E2:E4)</f>
        <v>0.13146100000000005</v>
      </c>
      <c r="F5" s="52">
        <f>1-SUM(F2:F4)</f>
        <v>0.27225999999999995</v>
      </c>
      <c r="G5" s="52">
        <f>1-SUM(G2:G4)</f>
        <v>1</v>
      </c>
    </row>
  </sheetData>
  <sheetProtection algorithmName="SHA-512" hashValue="pAVkfm70jDlmQQb8qN0noScwOPrBafJxn8ZjjfoGcab/O4zlevpw5mVONuATxqu8riekPA+lbu52LR9hdpJr8Q==" saltValue="O4BN6EYlm2fyggvvZ4P6v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5rNhMzV4WtmDXe7sqoIL5dheB6GI/ivvyMdvZcRhJCL1YVUA19UlpjszfahT/7UDjRQVp/W1g+BdBA8J4pI0dA==" saltValue="KTJMNgdQ0foisxB8ULVtz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11780.8169102421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0.42679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0.44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1.2119662952833449E-2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99214.013449999999</v>
      </c>
      <c r="C22" s="107">
        <v>99135.294670000003</v>
      </c>
      <c r="D22" s="107">
        <v>99030.307939999999</v>
      </c>
      <c r="E22" s="107">
        <v>98811.151719999994</v>
      </c>
      <c r="F22" s="107">
        <v>98657.195989999993</v>
      </c>
      <c r="G22" s="107">
        <v>98462.288860000001</v>
      </c>
      <c r="H22" s="107">
        <v>98253.816879999998</v>
      </c>
      <c r="I22" s="107">
        <v>98005.938179999997</v>
      </c>
      <c r="J22" s="107">
        <v>97701.482860000004</v>
      </c>
      <c r="K22" s="107">
        <v>97010.996039999998</v>
      </c>
      <c r="L22" s="107">
        <v>96061.805269999997</v>
      </c>
      <c r="M22" s="107">
        <v>93696.145080000002</v>
      </c>
      <c r="N22" s="107">
        <v>90209.273650000003</v>
      </c>
      <c r="O22" s="107">
        <v>84595.016359999994</v>
      </c>
    </row>
  </sheetData>
  <sheetProtection algorithmName="SHA-512" hashValue="tDZ/SbljlgPZOajhS+gvBDVCF3ENcINGzWH0YbTU2RDXbyYhchKy39H70HKjnB5w0KdQ4caDnqrzBi4adydKJQ==" saltValue="4wmz9fj4nWSBS72N+5Pfc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tD3j76Dv5G92zWJEEZoG6/PjYUAqAGp5+rSPfvOFrod4QXbtdooOjnlCd4dif7aQeDf34zdBhcHW5GJgwtCjWQ==" saltValue="kDXs2oT8Eo/wqAMKrN5i2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WhcHIlGyyvaViXBXozgzwQQnEFsnOk4g+eeJjxwfbpjAhAQhERBhXELi8lgVkgBlfvZyinkTt/JY96daKx/KBg==" saltValue="oslP2kCD0umd3bZ51j0lQ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17.026484135107474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17.026484135107474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8.0705350947424606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0.24171699078812695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0.46280009999999999</v>
      </c>
      <c r="C10" s="96">
        <v>0.95</v>
      </c>
      <c r="D10" s="56">
        <v>13.83180634055519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13.83180634055519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13.83180634055519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13.83180634055519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0.46280009999999999</v>
      </c>
      <c r="C14" s="96">
        <v>0.95</v>
      </c>
      <c r="D14" s="56">
        <v>13.83180634055519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13.83180634055519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9.7330203637492063E-2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0.58960089999999998</v>
      </c>
      <c r="C18" s="96">
        <v>0.95</v>
      </c>
      <c r="D18" s="56">
        <v>8.0705350947424606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0.58960089999999998</v>
      </c>
      <c r="C19" s="96">
        <v>0.95</v>
      </c>
      <c r="D19" s="56">
        <v>22.59355597690848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8.0705350947424606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4.7916044727007323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0.67559760093265997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0.46280009999999999</v>
      </c>
      <c r="C26" s="96">
        <v>0.95</v>
      </c>
      <c r="D26" s="56">
        <v>4.7229528222409431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17.846880984952122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0.74756310000000004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0.7137907</v>
      </c>
      <c r="C29" s="96">
        <v>0.95</v>
      </c>
      <c r="D29" s="56">
        <v>197.08344135615161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175.48809161556471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0.69</v>
      </c>
      <c r="C32" s="96">
        <v>0.95</v>
      </c>
      <c r="D32" s="56">
        <v>0.45463218100922231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0.95839099999999999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9.0976199999999993E-2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0.17225019999999999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0.52304919999999999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0.48344549999999997</v>
      </c>
      <c r="C38" s="96">
        <v>0.95</v>
      </c>
      <c r="D38" s="56">
        <v>1.6798709086682517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/7+dPnRdlvDdaI5qi03VdNoD0cYgsFfOCk97bAvsH1KAxcCbsURbxcSEmScpLbQdC8rwp4wyrJ6vv8/BWCMHsQ==" saltValue="mDrg1jiFJ5sl2xPI1HLOB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azNFnVcfbM2Kf3ZvZKnzU6GrwgNYiRXoQXq4OnP7EAAjidZ/auayVcF41vFlsJ6HwCnCTROJlHTIuBwmN9qAUg==" saltValue="EaN6z74tjqQaf128wdQVx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reFzBkji0LKsd5DI5/qXr1IarnsvsDZjOWicqWx9daL0Nyynek3JCGwQI8SpGU50/DF8RK4llDe2VEq0ULvATg==" saltValue="y2g8vFuoRIaV9TR50CsWE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2.4</v>
      </c>
      <c r="C2" s="21">
        <f>'Données pop de l''année de ref'!C52</f>
        <v>2.4</v>
      </c>
      <c r="D2" s="21">
        <f>'Données pop de l''année de ref'!C53</f>
        <v>2.4</v>
      </c>
      <c r="E2" s="21">
        <f>'Données pop de l''année de ref'!C54</f>
        <v>2.4</v>
      </c>
      <c r="F2" s="21">
        <f>'Données pop de l''année de ref'!C55</f>
        <v>2.4</v>
      </c>
    </row>
    <row r="3" spans="1:6" ht="15.75" customHeight="1" x14ac:dyDescent="0.25">
      <c r="A3" s="3" t="s">
        <v>238</v>
      </c>
      <c r="B3" s="21">
        <f>frac_mam_1month * 2.6</f>
        <v>0.10277514</v>
      </c>
      <c r="C3" s="21">
        <f>frac_mam_1_5months * 2.6</f>
        <v>0.10277514</v>
      </c>
      <c r="D3" s="21">
        <f>frac_mam_6_11months * 2.6</f>
        <v>0.11326614000000002</v>
      </c>
      <c r="E3" s="21">
        <f>frac_mam_12_23months * 2.6</f>
        <v>0.11632634</v>
      </c>
      <c r="F3" s="21">
        <f>frac_mam_24_59months * 2.6</f>
        <v>0.2288143</v>
      </c>
    </row>
    <row r="4" spans="1:6" ht="15.75" customHeight="1" x14ac:dyDescent="0.25">
      <c r="A4" s="3" t="s">
        <v>237</v>
      </c>
      <c r="B4" s="21">
        <f>frac_sam_1month * 2.6</f>
        <v>0.19325904000000002</v>
      </c>
      <c r="C4" s="21">
        <f>frac_sam_1_5months * 2.6</f>
        <v>0.19325904000000002</v>
      </c>
      <c r="D4" s="21">
        <f>frac_sam_6_11months * 2.6</f>
        <v>5.90421E-2</v>
      </c>
      <c r="E4" s="21">
        <f>frac_sam_12_23months * 2.6</f>
        <v>1.7024020000000001E-2</v>
      </c>
      <c r="F4" s="21">
        <f>frac_sam_24_59months * 2.6</f>
        <v>4.5216859999999998E-2</v>
      </c>
    </row>
  </sheetData>
  <sheetProtection algorithmName="SHA-512" hashValue="yHvlhdcpkDHZgWNctCpAjx3tsYHMO/wHNt0j9frjUDE+QnNMPAVqS6AGteOzse1gxRL0d+QasadvZ1+OREZD0g==" saltValue="ZWfoMlcgUyMbAVJ+RH/sb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0.57299999999999995</v>
      </c>
      <c r="M24" s="60">
        <f>famplan_unmet_need</f>
        <v>0.57299999999999995</v>
      </c>
      <c r="N24" s="60">
        <f>famplan_unmet_need</f>
        <v>0.57299999999999995</v>
      </c>
      <c r="O24" s="60">
        <f>famplan_unmet_need</f>
        <v>0.57299999999999995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0.19923858953873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8.5387966945169994E-2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0.1202476348161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0.59512580869999998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qx/PJZnjcrr1gphLXI/ZS2Ndn6E4uzVM3Eyjo3E/hckASRnR1OVTyUtwOYY0ao3Zwzd5T2ohCLhrdplPUw1IJA==" saltValue="P+uNWfYRYakcwd9JGBwHO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+9BMDKrJmWWgU6Vcy90sxnpSHesKHs+Ft3mdBnfMSxQeZfUgRMMHvZE0KKupAw4Vm+AnTPIXFtNyX0k4xoB1OQ==" saltValue="O9KvDuBwkxX6am3wvrUZb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1Udu7VzNMm71zcMyu2ulAPTHj/p37FZJGHUW61baCqRgMqIpT1afJ95oT30hmYMpbl3sle45ry8eOzJaRbPbrA==" saltValue="YDWQi91PtyIDsjztVmUu+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oC/iZQIsg5+2ahFQDeiK0YgFyFnXgqqVVHYdK/1VBlExfTpXauCTjRIvDdXzy/SNBO1f3QQWUYW8Eo94KYQvrQ==" saltValue="j9Za7I9Gvw63/6mVfxWsM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zZmdOtTBxbNJVZ5r7OxkMB6AQ2/7t97vTNPWM/IZR6btqtaVTaQBUwIuUzeSCxexgb+0O/APX8vrfEocQh04Uw==" saltValue="ndpGoz5UbHLAA7ZUZkHAQ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cEF6n1G4ZFySjILVabXzjktW4I97yLXGbm7OGCPuJx5jgYSAGpHOIZVYMePTuTdHFL3NfaEiNPiDQmKyd0yWuQ==" saltValue="B3MUayZ9/1cSMzdSB0UU3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AKxDq7MfxSwVokc1zQIiZQ4s/xmCLgSiEV3zEMiu+8T/5JYH54JX4dhtlKeoAxim4xucTbCosaTMofu6hRj24Q==" saltValue="IgO8EW6wpSbUJ9aqH+d/kg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3NpiGPLHuAsSzzC5P8a12ZJLhxp/iUkwoB7iSYRjVdsa3Y/xI15SFGtQ/aM2NWuOO9thl6Fy+5XDaSEwJOEPxw==" saltValue="34UpWZS66F1TSePn4nff6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8x6PGK7c6ZxqWQzhezCgMFDVwUT31o4dygHMrnXIZHKO4wjsP8JIpQ83AirO+qfLZGIoZs8LMbq84zsNojMefw==" saltValue="C9rvFItxomFbQodM7Olq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/73Cn2UqV3eB/0pVwlzbah30CYUXMbypM6tQWNon05V90/hEL5HI2wWr385a0V2DtTZcProAYWLR1tTIH9WALA==" saltValue="8yeD6jabQDXeBpB9b7a5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SlQEvsD1auvVTwHUuWJn7m78d6UjToQGyxXohsbU1fODLiXIUpZoJBwaA+SME4LhgaVikO49D5w6yH5qdEvlMA==" saltValue="S2JuQMnM2hIcILL9DD/lN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mkZ0tr6058nGtE/QmWQeHbJpHbnqUbHMjX/4qnDBNTfnCEKPjduoI5WKwtR82qHoVfxPCo2nSrLTyC8aQPBtQQ==" saltValue="k393ofzr6XQCWtidDdsr+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nvz76wQgAnjJ2b1u1Cdt6o2MoNf9QJFfqkrugRsxA53hSITxF4ddEkRO3noxyBIjpg5Xq3WjQwNoyYSMyZnATA==" saltValue="Rs3J76ONZ4rAgO8JR/ACm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UdS86Yv4wgMfUctxdU+JeeHK9wBXbJVggAW2KZApv3rlW9DZFGBOQb3tLucH9asSMEJT0JtnKKyQIKy9f/4yIA==" saltValue="Fqmex4JkIfs0hrEgl3u5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JiDCmE2+0aL5G74vgcyd7qEy3Kp9RInWYCVJrXuiLB5OHPGUstJIijNt+/+TX6VYirqPjOtHrax6qOjXzA0byw==" saltValue="6cOH2djS1eLsY9j846qVG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2025-07-30T02:52:40Z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