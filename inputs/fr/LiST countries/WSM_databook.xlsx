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3F0B775-04C2-4A73-988E-14EE4E6319C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A24" i="2" l="1"/>
  <c r="A35" i="2"/>
  <c r="A19" i="2"/>
  <c r="A22" i="2"/>
  <c r="A31" i="2"/>
  <c r="A36" i="2"/>
  <c r="I4" i="2"/>
  <c r="I8" i="2"/>
  <c r="I12" i="2"/>
  <c r="A25" i="2"/>
  <c r="A26" i="2"/>
  <c r="I39" i="2"/>
  <c r="A34" i="2"/>
  <c r="A40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<sst xmlns="http://schemas.openxmlformats.org/spreadsheetml/2006/main" count="2159" uniqueCount="368">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</sst>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26870</v>
      </c>
    </row>
    <row r="8" spans="1:3" ht="15" customHeight="1" x14ac:dyDescent="0.25">
      <c r="B8" s="5" t="s">
        <v>37</v>
      </c>
      <c r="C8" s="44">
        <v>1.0999999999999999E-2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0.81079986572265594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0.60599999999999998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3.4700000000000002E-2</v>
      </c>
    </row>
    <row r="24" spans="1:3" ht="15" customHeight="1" x14ac:dyDescent="0.25">
      <c r="B24" s="15" t="s">
        <v>51</v>
      </c>
      <c r="C24" s="45">
        <v>0.47039999999999998</v>
      </c>
    </row>
    <row r="25" spans="1:3" ht="15" customHeight="1" x14ac:dyDescent="0.25">
      <c r="B25" s="15" t="s">
        <v>52</v>
      </c>
      <c r="C25" s="45">
        <v>0.44009999999999999</v>
      </c>
    </row>
    <row r="26" spans="1:3" ht="15" customHeight="1" x14ac:dyDescent="0.25">
      <c r="B26" s="15" t="s">
        <v>53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9">
        <v>2.3858720907234902E-2</v>
      </c>
    </row>
    <row r="31" spans="1:3" ht="14.25" customHeight="1" x14ac:dyDescent="0.25">
      <c r="B31" s="25" t="s">
        <v>57</v>
      </c>
      <c r="C31" s="99">
        <v>3.4342930038455802E-2</v>
      </c>
    </row>
    <row r="32" spans="1:3" ht="14.25" customHeight="1" x14ac:dyDescent="0.25">
      <c r="B32" s="25" t="s">
        <v>58</v>
      </c>
      <c r="C32" s="99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6.5631199999999996</v>
      </c>
    </row>
    <row r="38" spans="1:5" ht="15" customHeight="1" x14ac:dyDescent="0.25">
      <c r="B38" s="11" t="s">
        <v>63</v>
      </c>
      <c r="C38" s="43">
        <v>14.3725</v>
      </c>
      <c r="D38" s="12"/>
      <c r="E38" s="13"/>
    </row>
    <row r="39" spans="1:5" ht="15" customHeight="1" x14ac:dyDescent="0.25">
      <c r="B39" s="11" t="s">
        <v>64</v>
      </c>
      <c r="C39" s="43">
        <v>16.718489999999999</v>
      </c>
      <c r="D39" s="12"/>
      <c r="E39" s="12"/>
    </row>
    <row r="40" spans="1:5" ht="15" customHeight="1" x14ac:dyDescent="0.25">
      <c r="B40" s="11" t="s">
        <v>65</v>
      </c>
      <c r="C40" s="100">
        <v>0.59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6.1190999999999997E-3</v>
      </c>
      <c r="D45" s="12"/>
    </row>
    <row r="46" spans="1:5" ht="15.75" customHeight="1" x14ac:dyDescent="0.25">
      <c r="B46" s="11" t="s">
        <v>70</v>
      </c>
      <c r="C46" s="45">
        <v>6.5748799999999996E-2</v>
      </c>
      <c r="D46" s="12"/>
    </row>
    <row r="47" spans="1:5" ht="15.75" customHeight="1" x14ac:dyDescent="0.25">
      <c r="B47" s="11" t="s">
        <v>71</v>
      </c>
      <c r="C47" s="45">
        <v>7.5182200000000005E-2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2.2000000000000002</v>
      </c>
      <c r="D51" s="12"/>
    </row>
    <row r="52" spans="1:4" ht="15" customHeight="1" x14ac:dyDescent="0.25">
      <c r="B52" s="11" t="s">
        <v>75</v>
      </c>
      <c r="C52" s="100">
        <v>2.2000000000000002</v>
      </c>
    </row>
    <row r="53" spans="1:4" ht="15.75" customHeight="1" x14ac:dyDescent="0.25">
      <c r="B53" s="11" t="s">
        <v>76</v>
      </c>
      <c r="C53" s="100">
        <v>2.2000000000000002</v>
      </c>
    </row>
    <row r="54" spans="1:4" ht="15.75" customHeight="1" x14ac:dyDescent="0.25">
      <c r="B54" s="11" t="s">
        <v>77</v>
      </c>
      <c r="C54" s="100">
        <v>2.2000000000000002</v>
      </c>
    </row>
    <row r="55" spans="1:4" ht="15.75" customHeight="1" x14ac:dyDescent="0.25">
      <c r="B55" s="11" t="s">
        <v>78</v>
      </c>
      <c r="C55" s="100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0.57259000000000004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UVWZxmjyhN+6KWXGmLgN71vWcUvxjYgeFxL3RE+NVuWVhibc1pb6k2kEaP1WdWmu6F3xMLkmlFVdYINsbDwNCA==" saltValue="Rz6bQbTWlbDvZ8o2qdiP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5444</v>
      </c>
      <c r="C2" s="49">
        <v>10751</v>
      </c>
      <c r="D2" s="49">
        <v>15079.5</v>
      </c>
      <c r="E2" s="49">
        <v>12395</v>
      </c>
      <c r="F2" s="49">
        <v>10020</v>
      </c>
      <c r="G2" s="17">
        <f t="shared" ref="G2:G13" si="0">C2+D2+E2+F2</f>
        <v>48245.5</v>
      </c>
      <c r="H2" s="17">
        <f t="shared" ref="H2:H13" si="1">(B2 + stillbirth*B2/(1000-stillbirth))/(1-abortion)</f>
        <v>6233.8462824508997</v>
      </c>
      <c r="I2" s="17">
        <f t="shared" ref="I2:I13" si="2">G2-H2</f>
        <v>42011.653717549103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5400</v>
      </c>
      <c r="C3" s="50">
        <v>11233</v>
      </c>
      <c r="D3" s="50">
        <v>15103</v>
      </c>
      <c r="E3" s="50">
        <v>12378.499999999998</v>
      </c>
      <c r="F3" s="50">
        <v>10097.5</v>
      </c>
      <c r="G3" s="17">
        <f t="shared" si="0"/>
        <v>48812</v>
      </c>
      <c r="H3" s="17">
        <f t="shared" si="1"/>
        <v>6183.4625138197753</v>
      </c>
      <c r="I3" s="17">
        <f t="shared" si="2"/>
        <v>42628.537486180227</v>
      </c>
    </row>
    <row r="4" spans="1:9" ht="15.75" customHeight="1" x14ac:dyDescent="0.25">
      <c r="A4" s="5">
        <f t="shared" si="3"/>
        <v>2026</v>
      </c>
      <c r="B4" s="49">
        <v>5373</v>
      </c>
      <c r="C4" s="50">
        <v>11698.5</v>
      </c>
      <c r="D4" s="50">
        <v>15221</v>
      </c>
      <c r="E4" s="50">
        <v>12376.000000000002</v>
      </c>
      <c r="F4" s="50">
        <v>10179.5</v>
      </c>
      <c r="G4" s="17">
        <f t="shared" si="0"/>
        <v>49475</v>
      </c>
      <c r="H4" s="17">
        <f t="shared" si="1"/>
        <v>6152.5452012506767</v>
      </c>
      <c r="I4" s="17">
        <f t="shared" si="2"/>
        <v>43322.454798749321</v>
      </c>
    </row>
    <row r="5" spans="1:9" ht="15.75" customHeight="1" x14ac:dyDescent="0.25">
      <c r="A5" s="5">
        <f t="shared" si="3"/>
        <v>2027</v>
      </c>
      <c r="B5" s="49">
        <v>5376</v>
      </c>
      <c r="C5" s="50">
        <v>12219</v>
      </c>
      <c r="D5" s="50">
        <v>15468.499999999998</v>
      </c>
      <c r="E5" s="50">
        <v>12314</v>
      </c>
      <c r="F5" s="50">
        <v>10251.999999999998</v>
      </c>
      <c r="G5" s="17">
        <f t="shared" si="0"/>
        <v>50253.5</v>
      </c>
      <c r="H5" s="17">
        <f t="shared" si="1"/>
        <v>6155.9804582027991</v>
      </c>
      <c r="I5" s="17">
        <f t="shared" si="2"/>
        <v>44097.519541797199</v>
      </c>
    </row>
    <row r="6" spans="1:9" ht="15.75" customHeight="1" x14ac:dyDescent="0.25">
      <c r="A6" s="5">
        <f t="shared" si="3"/>
        <v>2028</v>
      </c>
      <c r="B6" s="49">
        <v>5402</v>
      </c>
      <c r="C6" s="50">
        <v>12660.5</v>
      </c>
      <c r="D6" s="50">
        <v>15959</v>
      </c>
      <c r="E6" s="50">
        <v>12163</v>
      </c>
      <c r="F6" s="50">
        <v>10276</v>
      </c>
      <c r="G6" s="17">
        <f t="shared" si="0"/>
        <v>51058.5</v>
      </c>
      <c r="H6" s="17">
        <f t="shared" si="1"/>
        <v>6185.7526851211896</v>
      </c>
      <c r="I6" s="17">
        <f t="shared" si="2"/>
        <v>44872.747314878812</v>
      </c>
    </row>
    <row r="7" spans="1:9" ht="15.75" customHeight="1" x14ac:dyDescent="0.25">
      <c r="A7" s="5">
        <f t="shared" si="3"/>
        <v>2029</v>
      </c>
      <c r="B7" s="49">
        <v>5456</v>
      </c>
      <c r="C7" s="50">
        <v>12937</v>
      </c>
      <c r="D7" s="50">
        <v>16620</v>
      </c>
      <c r="E7" s="50">
        <v>11998.999999999998</v>
      </c>
      <c r="F7" s="50">
        <v>10241.5</v>
      </c>
      <c r="G7" s="17">
        <f t="shared" si="0"/>
        <v>51797.5</v>
      </c>
      <c r="H7" s="17">
        <f t="shared" si="1"/>
        <v>6247.5873102593878</v>
      </c>
      <c r="I7" s="17">
        <f t="shared" si="2"/>
        <v>45549.912689740609</v>
      </c>
    </row>
    <row r="8" spans="1:9" ht="15.75" customHeight="1" x14ac:dyDescent="0.25">
      <c r="A8" s="5">
        <f t="shared" si="3"/>
        <v>2030</v>
      </c>
      <c r="B8" s="49">
        <v>5525</v>
      </c>
      <c r="C8" s="50">
        <v>13141</v>
      </c>
      <c r="D8" s="50">
        <v>17330</v>
      </c>
      <c r="E8" s="50">
        <v>11807.500000000002</v>
      </c>
      <c r="F8" s="50">
        <v>10243.500000000002</v>
      </c>
      <c r="G8" s="17">
        <f t="shared" si="0"/>
        <v>52522</v>
      </c>
      <c r="H8" s="17">
        <f t="shared" si="1"/>
        <v>6326.5982201581965</v>
      </c>
      <c r="I8" s="17">
        <f t="shared" si="2"/>
        <v>46195.401779841806</v>
      </c>
    </row>
    <row r="9" spans="1:9" ht="15.75" customHeight="1" x14ac:dyDescent="0.25">
      <c r="A9" s="5">
        <f t="shared" si="3"/>
        <v>2031</v>
      </c>
      <c r="B9" s="49">
        <v>5604</v>
      </c>
      <c r="C9" s="50">
        <v>13246</v>
      </c>
      <c r="D9" s="50">
        <v>18192</v>
      </c>
      <c r="E9" s="50">
        <v>11591.999999999998</v>
      </c>
      <c r="F9" s="50">
        <v>10294.5</v>
      </c>
      <c r="G9" s="17">
        <f t="shared" si="0"/>
        <v>53324.5</v>
      </c>
      <c r="H9" s="17">
        <f t="shared" si="1"/>
        <v>6417.0599865640779</v>
      </c>
      <c r="I9" s="17">
        <f t="shared" si="2"/>
        <v>46907.440013435924</v>
      </c>
    </row>
    <row r="10" spans="1:9" ht="15.75" customHeight="1" x14ac:dyDescent="0.25">
      <c r="A10" s="5">
        <f t="shared" si="3"/>
        <v>2032</v>
      </c>
      <c r="B10" s="49">
        <v>5703</v>
      </c>
      <c r="C10" s="50">
        <v>13277.5</v>
      </c>
      <c r="D10" s="50">
        <v>19187.5</v>
      </c>
      <c r="E10" s="50">
        <v>11350</v>
      </c>
      <c r="F10" s="50">
        <v>10389.5</v>
      </c>
      <c r="G10" s="17">
        <f t="shared" si="0"/>
        <v>54204.5</v>
      </c>
      <c r="H10" s="17">
        <f t="shared" si="1"/>
        <v>6530.4234659841077</v>
      </c>
      <c r="I10" s="17">
        <f t="shared" si="2"/>
        <v>47674.076534015891</v>
      </c>
    </row>
    <row r="11" spans="1:9" ht="15.75" customHeight="1" x14ac:dyDescent="0.25">
      <c r="A11" s="5">
        <f t="shared" si="3"/>
        <v>2033</v>
      </c>
      <c r="B11" s="49">
        <v>5800</v>
      </c>
      <c r="C11" s="50">
        <v>13310.5</v>
      </c>
      <c r="D11" s="50">
        <v>20123.5</v>
      </c>
      <c r="E11" s="50">
        <v>11223</v>
      </c>
      <c r="F11" s="50">
        <v>10438.5</v>
      </c>
      <c r="G11" s="17">
        <f t="shared" si="0"/>
        <v>55095.5</v>
      </c>
      <c r="H11" s="17">
        <f t="shared" si="1"/>
        <v>6641.4967741027212</v>
      </c>
      <c r="I11" s="17">
        <f t="shared" si="2"/>
        <v>48454.003225897279</v>
      </c>
    </row>
    <row r="12" spans="1:9" ht="15.75" customHeight="1" x14ac:dyDescent="0.25">
      <c r="A12" s="5">
        <f t="shared" si="3"/>
        <v>2034</v>
      </c>
      <c r="B12" s="49">
        <v>5904</v>
      </c>
      <c r="C12" s="50">
        <v>13312</v>
      </c>
      <c r="D12" s="50">
        <v>20931.5</v>
      </c>
      <c r="E12" s="50">
        <v>11259</v>
      </c>
      <c r="F12" s="50">
        <v>10429</v>
      </c>
      <c r="G12" s="17">
        <f t="shared" si="0"/>
        <v>55931.5</v>
      </c>
      <c r="H12" s="17">
        <f t="shared" si="1"/>
        <v>6760.5856817762879</v>
      </c>
      <c r="I12" s="17">
        <f t="shared" si="2"/>
        <v>49170.914318223709</v>
      </c>
    </row>
    <row r="13" spans="1:9" ht="15.75" customHeight="1" x14ac:dyDescent="0.25">
      <c r="A13" s="5">
        <f t="shared" si="3"/>
        <v>2035</v>
      </c>
      <c r="B13" s="49">
        <v>6003</v>
      </c>
      <c r="C13" s="50">
        <v>13227.5</v>
      </c>
      <c r="D13" s="50">
        <v>21662.5</v>
      </c>
      <c r="E13" s="50">
        <v>11349.499999999998</v>
      </c>
      <c r="F13" s="50">
        <v>10446.5</v>
      </c>
      <c r="G13" s="17">
        <f t="shared" si="0"/>
        <v>56686</v>
      </c>
      <c r="H13" s="17">
        <f t="shared" si="1"/>
        <v>6873.9491611963167</v>
      </c>
      <c r="I13" s="17">
        <f t="shared" si="2"/>
        <v>49812.050838803683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iR+Pm5bNjeAmEtAyiWSkz4oGcMsXAb/Emk53WJJhIP5phr4F0p8Ss8DPI6At3ilGinPCm5poWzXrhvnobpG8g==" saltValue="12z+8yI+GMy2xPUQjGA4c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7.2663600000000161E-2</v>
      </c>
    </row>
    <row r="5" spans="1:8" ht="15.75" customHeight="1" x14ac:dyDescent="0.25">
      <c r="B5" s="19" t="s">
        <v>98</v>
      </c>
      <c r="C5" s="101">
        <v>3.2022400000000013E-2</v>
      </c>
    </row>
    <row r="6" spans="1:8" ht="15.75" customHeight="1" x14ac:dyDescent="0.25">
      <c r="B6" s="19" t="s">
        <v>99</v>
      </c>
      <c r="C6" s="101">
        <v>0.18112940000000011</v>
      </c>
    </row>
    <row r="7" spans="1:8" ht="15.75" customHeight="1" x14ac:dyDescent="0.25">
      <c r="B7" s="19" t="s">
        <v>100</v>
      </c>
      <c r="C7" s="101">
        <v>0.43143469999999928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0.18141010000000021</v>
      </c>
    </row>
    <row r="10" spans="1:8" ht="15.75" customHeight="1" x14ac:dyDescent="0.25">
      <c r="B10" s="19" t="s">
        <v>103</v>
      </c>
      <c r="C10" s="101">
        <v>0.1013398000000002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106</v>
      </c>
      <c r="C15" s="101">
        <v>0.14201342044077259</v>
      </c>
      <c r="D15" s="101">
        <v>0.14201342044077259</v>
      </c>
      <c r="E15" s="101">
        <v>0.14201342044077259</v>
      </c>
      <c r="F15" s="101">
        <v>0.14201342044077259</v>
      </c>
    </row>
    <row r="16" spans="1:8" ht="15.75" customHeight="1" x14ac:dyDescent="0.25">
      <c r="B16" s="19" t="s">
        <v>107</v>
      </c>
      <c r="C16" s="101">
        <v>1.5148673316420749E-3</v>
      </c>
      <c r="D16" s="101">
        <v>1.5148673316420749E-3</v>
      </c>
      <c r="E16" s="101">
        <v>1.5148673316420749E-3</v>
      </c>
      <c r="F16" s="101">
        <v>1.5148673316420749E-3</v>
      </c>
    </row>
    <row r="17" spans="1:8" ht="15.75" customHeight="1" x14ac:dyDescent="0.25">
      <c r="B17" s="19" t="s">
        <v>108</v>
      </c>
      <c r="C17" s="101">
        <v>0.79207380330936872</v>
      </c>
      <c r="D17" s="101">
        <v>0.79207380330936872</v>
      </c>
      <c r="E17" s="101">
        <v>0.79207380330936872</v>
      </c>
      <c r="F17" s="101">
        <v>0.79207380330936872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7.4143769382759572E-3</v>
      </c>
      <c r="D19" s="101">
        <v>7.4143769382759572E-3</v>
      </c>
      <c r="E19" s="101">
        <v>7.4143769382759572E-3</v>
      </c>
      <c r="F19" s="101">
        <v>7.4143769382759572E-3</v>
      </c>
    </row>
    <row r="20" spans="1:8" ht="15.75" customHeight="1" x14ac:dyDescent="0.25">
      <c r="B20" s="19" t="s">
        <v>111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112</v>
      </c>
      <c r="C21" s="101">
        <v>2.638911729579237E-2</v>
      </c>
      <c r="D21" s="101">
        <v>2.638911729579237E-2</v>
      </c>
      <c r="E21" s="101">
        <v>2.638911729579237E-2</v>
      </c>
      <c r="F21" s="101">
        <v>2.638911729579237E-2</v>
      </c>
    </row>
    <row r="22" spans="1:8" ht="15.75" customHeight="1" x14ac:dyDescent="0.25">
      <c r="B22" s="19" t="s">
        <v>113</v>
      </c>
      <c r="C22" s="101">
        <v>2.4617107653533501E-2</v>
      </c>
      <c r="D22" s="101">
        <v>2.4617107653533501E-2</v>
      </c>
      <c r="E22" s="101">
        <v>2.4617107653533501E-2</v>
      </c>
      <c r="F22" s="101">
        <v>2.4617107653533501E-2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4.7837044999999988E-2</v>
      </c>
    </row>
    <row r="27" spans="1:8" ht="15.75" customHeight="1" x14ac:dyDescent="0.25">
      <c r="B27" s="19" t="s">
        <v>120</v>
      </c>
      <c r="C27" s="101">
        <v>1.836863E-2</v>
      </c>
    </row>
    <row r="28" spans="1:8" ht="15.75" customHeight="1" x14ac:dyDescent="0.25">
      <c r="B28" s="19" t="s">
        <v>121</v>
      </c>
      <c r="C28" s="101">
        <v>0.231175139</v>
      </c>
    </row>
    <row r="29" spans="1:8" ht="15.75" customHeight="1" x14ac:dyDescent="0.25">
      <c r="B29" s="19" t="s">
        <v>122</v>
      </c>
      <c r="C29" s="101">
        <v>0.138527135</v>
      </c>
    </row>
    <row r="30" spans="1:8" ht="15.75" customHeight="1" x14ac:dyDescent="0.25">
      <c r="B30" s="19" t="s">
        <v>2</v>
      </c>
      <c r="C30" s="101">
        <v>4.9111505E-2</v>
      </c>
    </row>
    <row r="31" spans="1:8" ht="15.75" customHeight="1" x14ac:dyDescent="0.25">
      <c r="B31" s="19" t="s">
        <v>123</v>
      </c>
      <c r="C31" s="101">
        <v>6.9658183999999998E-2</v>
      </c>
    </row>
    <row r="32" spans="1:8" ht="15.75" customHeight="1" x14ac:dyDescent="0.25">
      <c r="B32" s="19" t="s">
        <v>124</v>
      </c>
      <c r="C32" s="101">
        <v>0.14941447299999999</v>
      </c>
    </row>
    <row r="33" spans="2:3" ht="15.75" customHeight="1" x14ac:dyDescent="0.25">
      <c r="B33" s="19" t="s">
        <v>125</v>
      </c>
      <c r="C33" s="101">
        <v>0.122223571</v>
      </c>
    </row>
    <row r="34" spans="2:3" ht="15.75" customHeight="1" x14ac:dyDescent="0.25">
      <c r="B34" s="19" t="s">
        <v>126</v>
      </c>
      <c r="C34" s="101">
        <v>0.173684317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hiv8eBl+eElBYESG+pEWSI+xDeI2bG5cts1KKVJF9TT5LQYS9XTU/S0GCkC4nrcGVDBlVwHQInrDKYeLkGFe6w==" saltValue="k7xgYQe9Igo9yIBXKvhn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132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133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137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138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0.31578417803715003</v>
      </c>
      <c r="D15" s="52">
        <f t="shared" si="0"/>
        <v>0.30578117173743752</v>
      </c>
      <c r="E15" s="52">
        <f t="shared" si="0"/>
        <v>0.30578117173743752</v>
      </c>
      <c r="F15" s="52">
        <f t="shared" si="0"/>
        <v>0.18892717490930164</v>
      </c>
      <c r="G15" s="52">
        <f t="shared" si="0"/>
        <v>0.18892717490930164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Ytq+fqfKfJe0yMuByD+Lcdm5bK29dsosaFR1ExJa5MAeo1+K7g9N1cP9tbKjwyrbgjR3p5a0UMO1zTHeAHF3g==" saltValue="ldtGhGMf+12RWWvkDwm7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0.14845190000000008</v>
      </c>
      <c r="D5" s="52">
        <f t="shared" si="0"/>
        <v>0.19858490000000006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B8tD11eJneFwjAAqvPk/JMPNgTYnvsCxtAzhFd4yAUIudr2YLZY3sZRr9UHx/cEWWLCFUVJExh+vIGU1Gbzr5g==" saltValue="qPya1Gv9Znome412EOSwc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Xuuw8s+Qr0LMvGK37MK/l/SdTH9b7H9f7qJ8GI8GHoNDt4qnIVN4iw0kSHE3IERdn3C4T39+28gSd1F9nCCyg==" saltValue="7PueFoXpa0ZQCMmivyWZT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3745.5603674631302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0.41102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0.44403999999999999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1.5164553535832142E-2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98795.523879999993</v>
      </c>
      <c r="C22" s="109">
        <v>98616.626480000006</v>
      </c>
      <c r="D22" s="109">
        <v>98448.280549999996</v>
      </c>
      <c r="E22" s="109">
        <v>98027.963820000004</v>
      </c>
      <c r="F22" s="109">
        <v>97282.981140000004</v>
      </c>
      <c r="G22" s="109">
        <v>96369.177590000007</v>
      </c>
      <c r="H22" s="109">
        <v>95232.656879999995</v>
      </c>
      <c r="I22" s="109">
        <v>93732.445389999993</v>
      </c>
      <c r="J22" s="109">
        <v>91606.786500000002</v>
      </c>
      <c r="K22" s="109">
        <v>88546.744749999998</v>
      </c>
      <c r="L22" s="109">
        <v>84224.197490000006</v>
      </c>
      <c r="M22" s="109">
        <v>78261.861390000005</v>
      </c>
      <c r="N22" s="109">
        <v>70276.234450000004</v>
      </c>
      <c r="O22" s="109">
        <v>60248.059719999997</v>
      </c>
    </row>
  </sheetData>
  <sheetProtection algorithmName="SHA-512" hashValue="FzR77W2U1BG5wujzCyO8lgu6+fsEQE75MpQxE5T3Vt4jKUQgHe7nm7/6CryrPYL8X8vGyv6YY8mnBB/m28clYw==" saltValue="6ADe3soeeMKH/uFbgAmGR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hfIqcS/9HmbwN+XrTDyBeEEdBogxgAEyHFuyJEI2FAup6N+Hetp45rhPN/Yq+VRIu4FxdbHk9auOJstGZ4w7eQ==" saltValue="47G8HqzOZm2r7jP+BtbBI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D8xYV5WCiwSmipOduLP+5umnq/3yWbv2RBIow4/ds/EAZg4lFbjGVh869N59DnNUXXN1WIv+u65Chx3xcwCFCQ==" saltValue="9wJlhaJeSa2tELZm/W1uO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23.266651740020471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23.266651740020471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0.80999999999999994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1.1645825935762411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1.1113E-2</v>
      </c>
      <c r="C10" s="98">
        <v>0.95</v>
      </c>
      <c r="D10" s="56">
        <v>12.99613066460511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12.99613066460511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12.99613066460511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12.99613066460511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1.1113E-2</v>
      </c>
      <c r="C14" s="98">
        <v>0.95</v>
      </c>
      <c r="D14" s="56">
        <v>12.99613066460511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12.99613066460511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1.57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0.1369044839662158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0.50451279999999998</v>
      </c>
      <c r="C18" s="98">
        <v>0.95</v>
      </c>
      <c r="D18" s="56">
        <v>8.0823886898669404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0.50451279999999998</v>
      </c>
      <c r="C19" s="98">
        <v>0.95</v>
      </c>
      <c r="D19" s="56">
        <v>9.2940558205318631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8.32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0.80999999999999994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4.2693071752319298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0.62744799530607998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1.1113E-2</v>
      </c>
      <c r="C26" s="98">
        <v>0.95</v>
      </c>
      <c r="D26" s="56">
        <v>8.469314227226203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14.964151740020471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0.58558969999999999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0.2004783</v>
      </c>
      <c r="C29" s="98">
        <v>0.95</v>
      </c>
      <c r="D29" s="56">
        <v>111.9883457710268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118.83755373592631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0.69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0.7196437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0.1203943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1.57512E-2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0.88436999999999999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0.33004980000000012</v>
      </c>
      <c r="C38" s="98">
        <v>0.95</v>
      </c>
      <c r="D38" s="56">
        <v>3.45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3.07</v>
      </c>
      <c r="E39" s="56" t="s">
        <v>230</v>
      </c>
      <c r="F39" s="98">
        <v>1</v>
      </c>
      <c r="G39" s="98">
        <v>1</v>
      </c>
    </row>
  </sheetData>
  <sheetProtection algorithmName="SHA-512" hashValue="VrLhJQXHttSz7OUYoBzFTTMZvdUJkiBxjRVtzPoC5K8U6EfZzfrILGcwsfr1HbW/qR+h9I5i2uuFE/M7JdYNXQ==" saltValue="MCOw6oPMiiWYazSU4djC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9F6Uz20DFj2y1+Li5NDS7tasF8DAvN2kIuUT+Gmbnj5HYvbfUFQUDoi03/MS0PY5KDsRVHqwhJU9ncqPMeKd1Q==" saltValue="7Er/ydewErmVtwxXaPsF9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p11DWHJOzvzynMOqrFOVaGRpvOBmJ4R2uSQr4Zo6Awqyiz4HVmzxoRuZth8hEGpwcCDxhfNwtuy3If/0EHW1A==" saltValue="6nejSqvRr9jXQN+iQmB8k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237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sheetProtection algorithmName="SHA-512" hashValue="Qdj9wtGNiADPjk+GI0jda7inem9hWjkiprruxw8VZnT1pRBSgDTRtVByVzdwXnQbI5P2iRYg8G/ooTJbEjq9lQ==" saltValue="9g3CtSkOZ/sn9iHYwk/Zy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1.0999999999999999E-2</v>
      </c>
      <c r="F2" s="60">
        <f>food_insecure</f>
        <v>1.0999999999999999E-2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1.0999999999999999E-2</v>
      </c>
      <c r="F5" s="60">
        <f>food_insecure</f>
        <v>1.0999999999999999E-2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1.0999999999999999E-2</v>
      </c>
      <c r="F8" s="60">
        <f>food_insecure</f>
        <v>1.0999999999999999E-2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1.0999999999999999E-2</v>
      </c>
      <c r="F9" s="60">
        <f>food_insecure</f>
        <v>1.0999999999999999E-2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1.0999999999999999E-2</v>
      </c>
      <c r="I15" s="60">
        <f t="shared" si="0"/>
        <v>1.0999999999999999E-2</v>
      </c>
      <c r="J15" s="60">
        <f t="shared" si="0"/>
        <v>1.0999999999999999E-2</v>
      </c>
      <c r="K15" s="60">
        <f t="shared" si="0"/>
        <v>1.0999999999999999E-2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1.0999999999999999E-2</v>
      </c>
      <c r="I16" s="60">
        <f t="shared" si="0"/>
        <v>1.0999999999999999E-2</v>
      </c>
      <c r="J16" s="60">
        <f t="shared" si="0"/>
        <v>1.0999999999999999E-2</v>
      </c>
      <c r="K16" s="60">
        <f t="shared" si="0"/>
        <v>1.0999999999999999E-2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0.60599999999999998</v>
      </c>
      <c r="M24" s="60">
        <f>famplan_unmet_need</f>
        <v>0.60599999999999998</v>
      </c>
      <c r="N24" s="60">
        <f>famplan_unmet_need</f>
        <v>0.60599999999999998</v>
      </c>
      <c r="O24" s="60">
        <f>famplan_unmet_need</f>
        <v>0.60599999999999998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9.3145118106079255E-2</v>
      </c>
      <c r="M25" s="60">
        <f>(1-food_insecure)*(0.49)+food_insecure*(0.7)</f>
        <v>0.49230999999999997</v>
      </c>
      <c r="N25" s="60">
        <f>(1-food_insecure)*(0.49)+food_insecure*(0.7)</f>
        <v>0.49230999999999997</v>
      </c>
      <c r="O25" s="60">
        <f>(1-food_insecure)*(0.49)+food_insecure*(0.7)</f>
        <v>0.49230999999999997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3.9919336331176822E-2</v>
      </c>
      <c r="M26" s="60">
        <f>(1-food_insecure)*(0.21)+food_insecure*(0.3)</f>
        <v>0.21098999999999998</v>
      </c>
      <c r="N26" s="60">
        <f>(1-food_insecure)*(0.21)+food_insecure*(0.3)</f>
        <v>0.21098999999999998</v>
      </c>
      <c r="O26" s="60">
        <f>(1-food_insecure)*(0.21)+food_insecure*(0.3)</f>
        <v>0.21098999999999998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5.6135679840087972E-2</v>
      </c>
      <c r="M27" s="60">
        <f>(1-food_insecure)*(0.3)</f>
        <v>0.29669999999999996</v>
      </c>
      <c r="N27" s="60">
        <f>(1-food_insecure)*(0.3)</f>
        <v>0.29669999999999996</v>
      </c>
      <c r="O27" s="60">
        <f>(1-food_insecure)*(0.3)</f>
        <v>0.29669999999999996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0.81079986572265594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6oqe9NzpBWhDxgr4gtdiEFj1WMXWAvtAUlPBEpCDSxoo+kAvHLmL5MYbLrGyxsM/cshXjH8YcajKLZhBHyaSg==" saltValue="3caoRCQjFVo22gGkkDr6i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q0ANZVCjw+zJmXqxa06pmFrFs/gXfF4cxDU6qCICqgR685A3pLc1l2pa88olZPS2u/S9p4dSx3ZYIvmipI5Lnw==" saltValue="LcE1kEj7b2vWBn3c2lSU9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FS1ZT02w8pR9vsKPxq1QzftJwLuas4AtymSrFt1dnQjqQt74WXLpYYokRNG9t1bYzTlZdsoKrtugJo/5BK8bQ==" saltValue="tX7OOTS5/a33p1g0VCzOO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9N4EG2VRT34KKxn3QgBBPJRTvRLhedPd89+3bnkfuV8JiDmel/ndO75Wbs2OgOkPu1THnYUr1fWj4RZxumLCw==" saltValue="7TxtOnEfJhsaFXL2RDQpX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AI4nH3LafY2Kj4dO3KXaJa6AMPaELK3r5z/odrZwX6a0+XvSG4jPwEKbxkqrGH0fUkJWD9RcCU8S3sgr6aTWCw==" saltValue="boD1/0vuu3LpKrZ79DcOT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UreoLmMSCyKFfuVbiAOLzep2TisEv2XvrgPR9mIbCYEAasiURRQ8i0T2QkwVg90TFYV5r3BSgj6AzLJMYNcXUA==" saltValue="DZbQAWzaUy789GOwAs9bA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/lf7NMvQFi9QioQuoEV2bRlitrau9JXqZET0RKvLKeHIdBJPeCIo3/qEEqMnBw7mRfZSteXS3zsl9FokNOACw==" saltValue="8PyiAxmiu5sksTfbAK9lq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t99G8WPezwPvEt+3EeMLjG1ChFcppDOAeLcp/kF17X2MmtG8ly79x7Bn1rwGqty3fknDXaMHaIDPSRl/syAfJA==" saltValue="yYxu8nSMiUP3rdk8WzjX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dGLfJBtY06Sqib7mDPsj764/upTYTgsvAMdHyAaT/vo1frixepPaOQwJ4OTBx3J8lYXyncLe8SInTH+IaSOL1Q==" saltValue="U85wyPj1K14BVU+dXgUC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tDysnxDjUjwiiUGHP8tYVSoJaCSTTVqpoA8lT7QQ9OoOsBA8V66jmoyqiQzEHaaaZ61GDxkhN0mGAuDYWkt2g==" saltValue="1sRE5W5TFaYFW43YwJ/v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MivJm9xK1BV83pL3gDLXqbpeVqV2MoimFXsjlGxyc3J1oX9V0EWHb7sdGwzt4PbpYblXPqDwmZlYNcaWxXYEA==" saltValue="zF1VW63clQZ4LDQzZrJ3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+4WX4D++G00COtHOaR7Aq37FimBII/S5yLQeqZkSxkOz6y+pl8kHo1rcCRyJ8mU6aFLpaiIXSO7NgvECY2MVTw==" saltValue="iUTeaDjaH8fJ1HnXSdsK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fTh+LK4pvYKgj1LF3fogfR6X6tHljC+R114QowNX21Jou+OCq85I18EPy6cVi9fR91ZxSkNQHVLssgTWJduDA==" saltValue="wTsM7cobHjWBinsk6RyXB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od0uFnhEyhz8ITI4VcXE3t0MJ3EottnxMqVATT3nedB4zB3RlbNvrxvjWVovHBlx9/A2AR/8b30wsHaBaYwWg==" saltValue="Qc39nbLv+TxM6/fQODP0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qVrCst7m3F/iEvTssuppXw26VX8E6NkOHDWukWNgQtQp3Xb4R5N/ZwplBnsbK+YxCv76IUe3zItKXtqLphrnXA==" saltValue="TWKWmetB+ssRX9dIw+En8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