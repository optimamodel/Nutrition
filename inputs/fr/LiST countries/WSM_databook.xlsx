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E749411D-DD9E-4462-A191-4EAD7722D947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<sst xmlns="http://schemas.openxmlformats.org/spreadsheetml/2006/main" count="2102" uniqueCount="337">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</sst>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29873.677734375029</v>
      </c>
    </row>
    <row r="8" spans="1:3" ht="15" customHeight="1" x14ac:dyDescent="0.25">
      <c r="B8" s="5" t="s">
        <v>19</v>
      </c>
      <c r="C8" s="44">
        <v>1.0999999999999999E-2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0.81079986572265594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0.60599999999999998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3.4700000000000002E-2</v>
      </c>
    </row>
    <row r="24" spans="1:3" ht="15" customHeight="1" x14ac:dyDescent="0.25">
      <c r="B24" s="15" t="s">
        <v>33</v>
      </c>
      <c r="C24" s="45">
        <v>0.47039999999999998</v>
      </c>
    </row>
    <row r="25" spans="1:3" ht="15" customHeight="1" x14ac:dyDescent="0.25">
      <c r="B25" s="15" t="s">
        <v>34</v>
      </c>
      <c r="C25" s="45">
        <v>0.44009999999999999</v>
      </c>
    </row>
    <row r="26" spans="1:3" ht="15" customHeight="1" x14ac:dyDescent="0.25">
      <c r="B26" s="15" t="s">
        <v>35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0.35185775257007201</v>
      </c>
    </row>
    <row r="30" spans="1:3" ht="14.25" customHeight="1" x14ac:dyDescent="0.25">
      <c r="B30" s="25" t="s">
        <v>38</v>
      </c>
      <c r="C30" s="99">
        <v>2.3858720907234902E-2</v>
      </c>
    </row>
    <row r="31" spans="1:3" ht="14.25" customHeight="1" x14ac:dyDescent="0.25">
      <c r="B31" s="25" t="s">
        <v>39</v>
      </c>
      <c r="C31" s="99">
        <v>3.4342930038455802E-2</v>
      </c>
    </row>
    <row r="32" spans="1:3" ht="14.25" customHeight="1" x14ac:dyDescent="0.25">
      <c r="B32" s="25" t="s">
        <v>40</v>
      </c>
      <c r="C32" s="99">
        <v>0.58994059648423802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6.5631199999999996</v>
      </c>
    </row>
    <row r="38" spans="1:5" ht="15" customHeight="1" x14ac:dyDescent="0.25">
      <c r="B38" s="11" t="s">
        <v>45</v>
      </c>
      <c r="C38" s="43">
        <v>14.3725</v>
      </c>
      <c r="D38" s="12"/>
      <c r="E38" s="13"/>
    </row>
    <row r="39" spans="1:5" ht="15" customHeight="1" x14ac:dyDescent="0.25">
      <c r="B39" s="11" t="s">
        <v>46</v>
      </c>
      <c r="C39" s="43">
        <v>16.718489999999999</v>
      </c>
      <c r="D39" s="12"/>
      <c r="E39" s="12"/>
    </row>
    <row r="40" spans="1:5" ht="15" customHeight="1" x14ac:dyDescent="0.25">
      <c r="B40" s="11" t="s">
        <v>47</v>
      </c>
      <c r="C40" s="100">
        <v>0.59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6.1190999999999997E-3</v>
      </c>
      <c r="D45" s="12"/>
    </row>
    <row r="46" spans="1:5" ht="15.75" customHeight="1" x14ac:dyDescent="0.25">
      <c r="B46" s="11" t="s">
        <v>52</v>
      </c>
      <c r="C46" s="45">
        <v>6.5748799999999996E-2</v>
      </c>
      <c r="D46" s="12"/>
    </row>
    <row r="47" spans="1:5" ht="15.75" customHeight="1" x14ac:dyDescent="0.25">
      <c r="B47" s="11" t="s">
        <v>53</v>
      </c>
      <c r="C47" s="45">
        <v>7.5182200000000005E-2</v>
      </c>
      <c r="D47" s="12"/>
      <c r="E47" s="13"/>
    </row>
    <row r="48" spans="1:5" ht="15" customHeight="1" x14ac:dyDescent="0.25">
      <c r="B48" s="11" t="s">
        <v>54</v>
      </c>
      <c r="C48" s="46">
        <v>0.85294990000000004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0.57259000000000004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w5uTLbGf+jy8clnRDgj5f4Er3yhuN1nqHaMVMTWf4Uzgb8i0ogaMFOeJvqOqcEDiSp8Zekf715nkivBKL7e2bw==" saltValue="Q46s7GFoA3br+MRoDM3C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6017</v>
      </c>
      <c r="C2" s="49">
        <v>13475.5</v>
      </c>
      <c r="D2" s="49">
        <v>17368.5</v>
      </c>
      <c r="E2" s="49">
        <v>13245</v>
      </c>
      <c r="F2" s="49">
        <v>9776</v>
      </c>
      <c r="G2" s="17">
        <f t="shared" ref="G2:G13" si="0">C2+D2+E2+F2</f>
        <v>53865</v>
      </c>
      <c r="H2" s="17">
        <f t="shared" ref="H2:H13" si="1">(B2 + stillbirth*B2/(1000-stillbirth))/(1-abortion)</f>
        <v>6889.9803603062192</v>
      </c>
      <c r="I2" s="17">
        <f t="shared" ref="I2:I13" si="2">G2-H2</f>
        <v>46975.019639693783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6015</v>
      </c>
      <c r="C3" s="50">
        <v>13898.5</v>
      </c>
      <c r="D3" s="50">
        <v>17478.5</v>
      </c>
      <c r="E3" s="50">
        <v>13599</v>
      </c>
      <c r="F3" s="50">
        <v>9752</v>
      </c>
      <c r="G3" s="17">
        <f t="shared" si="0"/>
        <v>54728</v>
      </c>
      <c r="H3" s="17">
        <f t="shared" si="1"/>
        <v>6887.6901890048057</v>
      </c>
      <c r="I3" s="17">
        <f t="shared" si="2"/>
        <v>47840.309810995197</v>
      </c>
    </row>
    <row r="4" spans="1:9" ht="15.75" customHeight="1" x14ac:dyDescent="0.25">
      <c r="A4" s="5">
        <f t="shared" si="3"/>
        <v>2026</v>
      </c>
      <c r="B4" s="49">
        <v>6059</v>
      </c>
      <c r="C4" s="50">
        <v>14336</v>
      </c>
      <c r="D4" s="50">
        <v>17658.5</v>
      </c>
      <c r="E4" s="50">
        <v>13935.5</v>
      </c>
      <c r="F4" s="50">
        <v>9702.5</v>
      </c>
      <c r="G4" s="17">
        <f t="shared" si="0"/>
        <v>55632.5</v>
      </c>
      <c r="H4" s="17">
        <f t="shared" si="1"/>
        <v>6938.0739576359301</v>
      </c>
      <c r="I4" s="17">
        <f t="shared" si="2"/>
        <v>48694.426042364066</v>
      </c>
    </row>
    <row r="5" spans="1:9" ht="15.75" customHeight="1" x14ac:dyDescent="0.25">
      <c r="A5" s="5">
        <f t="shared" si="3"/>
        <v>2027</v>
      </c>
      <c r="B5" s="49">
        <v>6053</v>
      </c>
      <c r="C5" s="50">
        <v>14772.5</v>
      </c>
      <c r="D5" s="50">
        <v>17899</v>
      </c>
      <c r="E5" s="50">
        <v>14251</v>
      </c>
      <c r="F5" s="50">
        <v>9651</v>
      </c>
      <c r="G5" s="17">
        <f t="shared" si="0"/>
        <v>56573.5</v>
      </c>
      <c r="H5" s="17">
        <f t="shared" si="1"/>
        <v>6931.2034437316852</v>
      </c>
      <c r="I5" s="17">
        <f t="shared" si="2"/>
        <v>49642.296556268317</v>
      </c>
    </row>
    <row r="6" spans="1:9" ht="15.75" customHeight="1" x14ac:dyDescent="0.25">
      <c r="A6" s="5">
        <f t="shared" si="3"/>
        <v>2028</v>
      </c>
      <c r="B6" s="49">
        <v>6096</v>
      </c>
      <c r="C6" s="50">
        <v>15174.5</v>
      </c>
      <c r="D6" s="50">
        <v>18216</v>
      </c>
      <c r="E6" s="50">
        <v>14528.5</v>
      </c>
      <c r="F6" s="50">
        <v>9600.5</v>
      </c>
      <c r="G6" s="17">
        <f t="shared" si="0"/>
        <v>57519.5</v>
      </c>
      <c r="H6" s="17">
        <f t="shared" si="1"/>
        <v>6980.4421267121015</v>
      </c>
      <c r="I6" s="17">
        <f t="shared" si="2"/>
        <v>50539.0578732879</v>
      </c>
    </row>
    <row r="7" spans="1:9" ht="15.75" customHeight="1" x14ac:dyDescent="0.25">
      <c r="A7" s="5">
        <f t="shared" si="3"/>
        <v>2029</v>
      </c>
      <c r="B7" s="49">
        <v>6140</v>
      </c>
      <c r="C7" s="50">
        <v>15511.5</v>
      </c>
      <c r="D7" s="50">
        <v>18630.5</v>
      </c>
      <c r="E7" s="50">
        <v>14741</v>
      </c>
      <c r="F7" s="50">
        <v>9563.5</v>
      </c>
      <c r="G7" s="17">
        <f t="shared" si="0"/>
        <v>58446.5</v>
      </c>
      <c r="H7" s="17">
        <f t="shared" si="1"/>
        <v>7030.825895343226</v>
      </c>
      <c r="I7" s="17">
        <f t="shared" si="2"/>
        <v>51415.674104656777</v>
      </c>
    </row>
    <row r="8" spans="1:9" ht="15.75" customHeight="1" x14ac:dyDescent="0.25">
      <c r="A8" s="5">
        <f t="shared" si="3"/>
        <v>2030</v>
      </c>
      <c r="B8" s="49">
        <v>6200</v>
      </c>
      <c r="C8" s="50">
        <v>15770.5</v>
      </c>
      <c r="D8" s="50">
        <v>19142.5</v>
      </c>
      <c r="E8" s="50">
        <v>14880.5</v>
      </c>
      <c r="F8" s="50">
        <v>9574</v>
      </c>
      <c r="G8" s="17">
        <f t="shared" si="0"/>
        <v>59367.5</v>
      </c>
      <c r="H8" s="17">
        <f t="shared" si="1"/>
        <v>7099.5310343856681</v>
      </c>
      <c r="I8" s="17">
        <f t="shared" si="2"/>
        <v>52267.968965614331</v>
      </c>
    </row>
    <row r="9" spans="1:9" ht="15.75" customHeight="1" x14ac:dyDescent="0.25">
      <c r="A9" s="5">
        <f t="shared" si="3"/>
        <v>2031</v>
      </c>
      <c r="B9" s="49">
        <v>6249</v>
      </c>
      <c r="C9" s="50">
        <v>15951</v>
      </c>
      <c r="D9" s="50">
        <v>19744.5</v>
      </c>
      <c r="E9" s="50">
        <v>14905</v>
      </c>
      <c r="F9" s="50">
        <v>9656</v>
      </c>
      <c r="G9" s="17">
        <f t="shared" si="0"/>
        <v>60256.5</v>
      </c>
      <c r="H9" s="17">
        <f t="shared" si="1"/>
        <v>7155.6402312703294</v>
      </c>
      <c r="I9" s="17">
        <f t="shared" si="2"/>
        <v>53100.859768729671</v>
      </c>
    </row>
    <row r="10" spans="1:9" ht="15.75" customHeight="1" x14ac:dyDescent="0.25">
      <c r="A10" s="5">
        <f t="shared" si="3"/>
        <v>2032</v>
      </c>
      <c r="B10" s="49">
        <v>6306</v>
      </c>
      <c r="C10" s="50">
        <v>16067.5</v>
      </c>
      <c r="D10" s="50">
        <v>20402.5</v>
      </c>
      <c r="E10" s="50">
        <v>14866</v>
      </c>
      <c r="F10" s="50">
        <v>9864</v>
      </c>
      <c r="G10" s="17">
        <f t="shared" si="0"/>
        <v>61200</v>
      </c>
      <c r="H10" s="17">
        <f t="shared" si="1"/>
        <v>7220.9101133606491</v>
      </c>
      <c r="I10" s="17">
        <f t="shared" si="2"/>
        <v>53979.089886639355</v>
      </c>
    </row>
    <row r="11" spans="1:9" ht="15.75" customHeight="1" x14ac:dyDescent="0.25">
      <c r="A11" s="5">
        <f t="shared" si="3"/>
        <v>2033</v>
      </c>
      <c r="B11" s="49">
        <v>6369</v>
      </c>
      <c r="C11" s="50">
        <v>16143</v>
      </c>
      <c r="D11" s="50">
        <v>21057</v>
      </c>
      <c r="E11" s="50">
        <v>14864</v>
      </c>
      <c r="F11" s="50">
        <v>10170.5</v>
      </c>
      <c r="G11" s="17">
        <f t="shared" si="0"/>
        <v>62234.5</v>
      </c>
      <c r="H11" s="17">
        <f t="shared" si="1"/>
        <v>7293.0505093552129</v>
      </c>
      <c r="I11" s="17">
        <f t="shared" si="2"/>
        <v>54941.449490644787</v>
      </c>
    </row>
    <row r="12" spans="1:9" ht="15.75" customHeight="1" x14ac:dyDescent="0.25">
      <c r="A12" s="5">
        <f t="shared" si="3"/>
        <v>2034</v>
      </c>
      <c r="B12" s="49">
        <v>6438</v>
      </c>
      <c r="C12" s="50">
        <v>16195</v>
      </c>
      <c r="D12" s="50">
        <v>21675</v>
      </c>
      <c r="E12" s="50">
        <v>14911.5</v>
      </c>
      <c r="F12" s="50">
        <v>10506</v>
      </c>
      <c r="G12" s="17">
        <f t="shared" si="0"/>
        <v>63287.5</v>
      </c>
      <c r="H12" s="17">
        <f t="shared" si="1"/>
        <v>7372.0614192540206</v>
      </c>
      <c r="I12" s="17">
        <f t="shared" si="2"/>
        <v>55915.438580745977</v>
      </c>
    </row>
    <row r="13" spans="1:9" ht="15.75" customHeight="1" x14ac:dyDescent="0.25">
      <c r="A13" s="5">
        <f t="shared" si="3"/>
        <v>2035</v>
      </c>
      <c r="B13" s="49">
        <v>6501</v>
      </c>
      <c r="C13" s="50">
        <v>16232</v>
      </c>
      <c r="D13" s="50">
        <v>22250.5</v>
      </c>
      <c r="E13" s="50">
        <v>15021.5</v>
      </c>
      <c r="F13" s="50">
        <v>10860</v>
      </c>
      <c r="G13" s="17">
        <f t="shared" si="0"/>
        <v>64364</v>
      </c>
      <c r="H13" s="17">
        <f t="shared" si="1"/>
        <v>7444.2018152485853</v>
      </c>
      <c r="I13" s="17">
        <f t="shared" si="2"/>
        <v>56919.798184751417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QyDysF08eQQybeV0eQcW0M/Wz7w6lSKLuCwHl9m5oGwBIM9kcSq+1Wqu1zbnLRhS/CHeGteJfu+gCvfSSRhyQ==" saltValue="aNwSHsAYQHyKspHNkXm7r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7.2663600000000161E-2</v>
      </c>
    </row>
    <row r="5" spans="1:8" ht="15.75" customHeight="1" x14ac:dyDescent="0.25">
      <c r="B5" s="19" t="s">
        <v>80</v>
      </c>
      <c r="C5" s="101">
        <v>3.2022400000000013E-2</v>
      </c>
    </row>
    <row r="6" spans="1:8" ht="15.75" customHeight="1" x14ac:dyDescent="0.25">
      <c r="B6" s="19" t="s">
        <v>81</v>
      </c>
      <c r="C6" s="101">
        <v>0.18112940000000011</v>
      </c>
    </row>
    <row r="7" spans="1:8" ht="15.75" customHeight="1" x14ac:dyDescent="0.25">
      <c r="B7" s="19" t="s">
        <v>82</v>
      </c>
      <c r="C7" s="101">
        <v>0.43143469999999928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0.18141010000000021</v>
      </c>
    </row>
    <row r="10" spans="1:8" ht="15.75" customHeight="1" x14ac:dyDescent="0.25">
      <c r="B10" s="19" t="s">
        <v>85</v>
      </c>
      <c r="C10" s="101">
        <v>0.1013398000000002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88</v>
      </c>
      <c r="C15" s="101">
        <v>0.14201342044077259</v>
      </c>
      <c r="D15" s="101">
        <v>0.14201342044077259</v>
      </c>
      <c r="E15" s="101">
        <v>0.14201342044077259</v>
      </c>
      <c r="F15" s="101">
        <v>0.14201342044077259</v>
      </c>
    </row>
    <row r="16" spans="1:8" ht="15.75" customHeight="1" x14ac:dyDescent="0.25">
      <c r="B16" s="19" t="s">
        <v>89</v>
      </c>
      <c r="C16" s="101">
        <v>1.5148673316420749E-3</v>
      </c>
      <c r="D16" s="101">
        <v>1.5148673316420749E-3</v>
      </c>
      <c r="E16" s="101">
        <v>1.5148673316420749E-3</v>
      </c>
      <c r="F16" s="101">
        <v>1.5148673316420749E-3</v>
      </c>
    </row>
    <row r="17" spans="1:8" ht="15.75" customHeight="1" x14ac:dyDescent="0.25">
      <c r="B17" s="19" t="s">
        <v>90</v>
      </c>
      <c r="C17" s="101">
        <v>0.79207380330936872</v>
      </c>
      <c r="D17" s="101">
        <v>0.79207380330936872</v>
      </c>
      <c r="E17" s="101">
        <v>0.79207380330936872</v>
      </c>
      <c r="F17" s="101">
        <v>0.79207380330936872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7.4143769382759572E-3</v>
      </c>
      <c r="D19" s="101">
        <v>7.4143769382759572E-3</v>
      </c>
      <c r="E19" s="101">
        <v>7.4143769382759572E-3</v>
      </c>
      <c r="F19" s="101">
        <v>7.4143769382759572E-3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2.638911729579237E-2</v>
      </c>
      <c r="D21" s="101">
        <v>2.638911729579237E-2</v>
      </c>
      <c r="E21" s="101">
        <v>2.638911729579237E-2</v>
      </c>
      <c r="F21" s="101">
        <v>2.638911729579237E-2</v>
      </c>
    </row>
    <row r="22" spans="1:8" ht="15.75" customHeight="1" x14ac:dyDescent="0.25">
      <c r="B22" s="19" t="s">
        <v>95</v>
      </c>
      <c r="C22" s="101">
        <v>2.4617107653533501E-2</v>
      </c>
      <c r="D22" s="101">
        <v>2.4617107653533501E-2</v>
      </c>
      <c r="E22" s="101">
        <v>2.4617107653533501E-2</v>
      </c>
      <c r="F22" s="101">
        <v>2.4617107653533501E-2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4.7837044999999988E-2</v>
      </c>
    </row>
    <row r="27" spans="1:8" ht="15.75" customHeight="1" x14ac:dyDescent="0.25">
      <c r="B27" s="19" t="s">
        <v>102</v>
      </c>
      <c r="C27" s="101">
        <v>1.836863E-2</v>
      </c>
    </row>
    <row r="28" spans="1:8" ht="15.75" customHeight="1" x14ac:dyDescent="0.25">
      <c r="B28" s="19" t="s">
        <v>103</v>
      </c>
      <c r="C28" s="101">
        <v>0.231175139</v>
      </c>
    </row>
    <row r="29" spans="1:8" ht="15.75" customHeight="1" x14ac:dyDescent="0.25">
      <c r="B29" s="19" t="s">
        <v>104</v>
      </c>
      <c r="C29" s="101">
        <v>0.138527135</v>
      </c>
    </row>
    <row r="30" spans="1:8" ht="15.75" customHeight="1" x14ac:dyDescent="0.25">
      <c r="B30" s="19" t="s">
        <v>2</v>
      </c>
      <c r="C30" s="101">
        <v>4.9111505E-2</v>
      </c>
    </row>
    <row r="31" spans="1:8" ht="15.75" customHeight="1" x14ac:dyDescent="0.25">
      <c r="B31" s="19" t="s">
        <v>105</v>
      </c>
      <c r="C31" s="101">
        <v>6.9658183999999998E-2</v>
      </c>
    </row>
    <row r="32" spans="1:8" ht="15.75" customHeight="1" x14ac:dyDescent="0.25">
      <c r="B32" s="19" t="s">
        <v>106</v>
      </c>
      <c r="C32" s="101">
        <v>0.14941447299999999</v>
      </c>
    </row>
    <row r="33" spans="2:3" ht="15.75" customHeight="1" x14ac:dyDescent="0.25">
      <c r="B33" s="19" t="s">
        <v>107</v>
      </c>
      <c r="C33" s="101">
        <v>0.122223571</v>
      </c>
    </row>
    <row r="34" spans="2:3" ht="15.75" customHeight="1" x14ac:dyDescent="0.25">
      <c r="B34" s="19" t="s">
        <v>108</v>
      </c>
      <c r="C34" s="101">
        <v>0.173684317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vgv4FqBfvZztz2WMX2uiSGMMEdVuVAzcJrKMfCDGqhkhYZ8QdbFIyp1dnstGYk9WCP9larxrNM0WzgLqzZTmcQ==" saltValue="N5vEnuKgYEcV8sMx4XV+l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114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115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119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120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0.31578417803715003</v>
      </c>
      <c r="D15" s="52">
        <f t="shared" si="0"/>
        <v>0.30578117173743752</v>
      </c>
      <c r="E15" s="52">
        <f t="shared" si="0"/>
        <v>0.30578117173743752</v>
      </c>
      <c r="F15" s="52">
        <f t="shared" si="0"/>
        <v>0.18892717490930164</v>
      </c>
      <c r="G15" s="52">
        <f t="shared" si="0"/>
        <v>0.18892717490930164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nnmmYsJknGQHfPrcvqEGzQVUfRl7XBeoXsrJFInafO8Pn7p9disYbTJqsnT9s64zaLgJYynPqfy9aB8NgYgLA==" saltValue="4rDLicnksQgZTuY3VVsa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132</v>
      </c>
      <c r="C5" s="52">
        <v>0.1484519</v>
      </c>
      <c r="D5" s="52">
        <v>0.19858490000000001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eSLRULmo2ZZCVQNzajHm6LoXs6zRxJPjt7vt7ilRfjnsuHK8VUY5Ww6HWzbDvwt1HQW8RsGveJ0ZeZlAOh4BfQ==" saltValue="mWYmQKY18HQXgNBfBYNEZ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9aQmRExJE/dmwm6ihXIzaj71X4CSqzZLPWyIJkgJqUBA469zrop5TNBZkfjVZy1FtDPamKl+9/WGzLHjIu0hvQ==" saltValue="SqX4IvfFa666W9q2ko/nd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BuC9uIyxq2oiObsBHfWxgJ/nLMCd5olkYhNfRw50GHcm3Ki3oT3pfVPVUTNcTYiPBHD4416B0vzelIwWWvGWgw==" saltValue="0lGKjaTU0NL4mWSKpGLuY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cF+Kub8l0uLomf0m28v43fD17ctz3VCBOqF4DJt/W84IJ2gSLPFv/scvlFmvW3AnXuk1La0EN9OFuBNQadXXNA==" saltValue="xGlg9CtYZ7tlwU5ARACRn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SqUWNyB715LVrzMRgJb/0aZGVm2pym4JBU+Fe4c4deI9qSgy1dKMVBecYnrlXdX+Aq5KIfTkpgMokClTOprfzw==" saltValue="DxUGt8omtZ0Ipo0xRc4+Q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57.302229105544832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0.23264639054719999</v>
      </c>
      <c r="C3" s="98">
        <v>0.95</v>
      </c>
      <c r="D3" s="56">
        <v>39.863831220809203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403.00131444088152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1.1645825935762411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1.1113E-2</v>
      </c>
      <c r="C10" s="98">
        <v>0.95</v>
      </c>
      <c r="D10" s="56">
        <v>12.99613066460511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1.1113E-2</v>
      </c>
      <c r="C11" s="98">
        <v>0.95</v>
      </c>
      <c r="D11" s="56">
        <v>12.99613066460511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1.1113E-2</v>
      </c>
      <c r="C12" s="98">
        <v>0.95</v>
      </c>
      <c r="D12" s="56">
        <v>12.99613066460511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1.1113E-2</v>
      </c>
      <c r="C13" s="98">
        <v>0.95</v>
      </c>
      <c r="D13" s="56">
        <v>12.99613066460511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1.1113E-2</v>
      </c>
      <c r="C14" s="98">
        <v>0.95</v>
      </c>
      <c r="D14" s="56">
        <v>12.99613066460511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1.1113E-2</v>
      </c>
      <c r="C15" s="98">
        <v>0.95</v>
      </c>
      <c r="D15" s="56">
        <v>12.99613066460511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0.70289646450045573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0.11050016592472001</v>
      </c>
      <c r="C18" s="98">
        <v>0.95</v>
      </c>
      <c r="D18" s="56">
        <v>9.2940558205318631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0.9792786</v>
      </c>
      <c r="C19" s="98">
        <v>0.95</v>
      </c>
      <c r="D19" s="56">
        <v>9.2940558205318631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0.88436999999999999</v>
      </c>
      <c r="C21" s="98">
        <v>0.95</v>
      </c>
      <c r="D21" s="56">
        <v>17.806239734868129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22.41875682582225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4.2693071752319298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0.83733382461663997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1.1113E-2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18.370182834175559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0.65663532269192004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111.9883457710268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1.255919796850113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1.507574989137179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0.2004783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0.58558969999999999</v>
      </c>
      <c r="C38" s="98">
        <v>0.95</v>
      </c>
      <c r="D38" s="56">
        <v>5.6275122920448464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2QAYgH4HyfFHf1z0SUQllkDW2G7HBPZdmtY+AutYRNVrgtsBuJHzAmGKYtZCQ8hfLA732mXDjUptYmcUlOue6A==" saltValue="IOd6d30u3w/rD0RuqYnS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NGEpib0X7XU5RWHSZVfSyUEaEww++hdYBcrrEbXojYVcdxvpbQDxcwYTRTYzBfW8gi7yyFG3AQlS0XjhskqPA==" saltValue="IqpJNxOYoSVupmuljleO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n0C/0PuZcowIgfP205EV+3kSE3shc882XjSYCYtQxkfWPUjTP/ugQXUaugJ2OePmOJP7gj46YgKB+tF76G9DQ==" saltValue="QvPNwBNR/cM78tyaVsQxI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208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sheetProtection algorithmName="SHA-512" hashValue="D8lify8WeZ+NZepepRQCKs8DmVe2uHq6Jy8SDOGUlkAXTmcHSIFT5FmYuLt6ujCnsfZOEXfivt8iv8dZMLUXSA==" saltValue="44LFQCySEKrteQTPXeoMZ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1.0999999999999999E-2</v>
      </c>
      <c r="E2" s="60">
        <f>food_insecure</f>
        <v>1.0999999999999999E-2</v>
      </c>
      <c r="F2" s="60">
        <f>food_insecure</f>
        <v>1.0999999999999999E-2</v>
      </c>
      <c r="G2" s="60">
        <f>food_insecure</f>
        <v>1.0999999999999999E-2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1.0999999999999999E-2</v>
      </c>
      <c r="I15" s="60">
        <f>food_insecure</f>
        <v>1.0999999999999999E-2</v>
      </c>
      <c r="J15" s="60">
        <f>food_insecure</f>
        <v>1.0999999999999999E-2</v>
      </c>
      <c r="K15" s="60">
        <f>food_insecure</f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0.60599999999999998</v>
      </c>
      <c r="M24" s="60">
        <f>famplan_unmet_need</f>
        <v>0.60599999999999998</v>
      </c>
      <c r="N24" s="60">
        <f>famplan_unmet_need</f>
        <v>0.60599999999999998</v>
      </c>
      <c r="O24" s="60">
        <f>famplan_unmet_need</f>
        <v>0.60599999999999998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9.3145118106079255E-2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3.9919336331176822E-2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5.6135679840087972E-2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0.81079986572265594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dRvICcvUAWx+8UZsn250ClqK+mWUGTDbgD1q71Ic8I36VwNd4eqEaQ07uzkF7aN2tDirXMNtwf1xiVj25clGQ==" saltValue="Hqz0hJbwiKlCQqM9emGdl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UmSsQPjwvLbS/lA3Bduwm9AWEVgWy//eHgpvlzBB22Z+NS25WHXWh8ow3THFPhMn1q+xkrqYg5HMzOrcY0WCXA==" saltValue="Ebmj8D1HEsb4jq4YIFBeY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cN+gtBTDWDyU/DJA3xOrtFlgb7yoFuvUXBgXPiGiDxF1rlGJtE9dyVI5rBrSKLDboHuQxluqPcd6pIpiAxYcQ==" saltValue="VrfYNao0ZgghsjsvT8jEe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gmZhkv7lzB1xvHUS067IRizrngrTsmbZ5Ubbuo7f5nhauqPVwAi/iVdHnWKJOsYnxvN6uGwcjNa3C3E8JX0NA==" saltValue="v80Hqg4mOpNfDFA4pM78e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/m54ixdQWJDzcMGPiqjDoB4Vo75k6yB8l5u0w+vDy/WYdxf+Tp/7lJKM+0OQEDKZgffX9RgpDTpbWq0R2YmRmA==" saltValue="Nlcvu3Ho5hkAWbStuk9B2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lyfp8G4VIX2I1LnENUPTgI65Nru/hpyOSxT98FChAXl0Cko/G73LiIdDlkWtpWj17KkkZBDlRA0MfmqTq6SCsw==" saltValue="xHdd7pIBrCeLYvVqdaNVz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ugVQiCPDrpdmBFSS8q47hb6PkYA8XGP4CAlu0Kj1y78pRFra58NXxMPLdIHD0YwK3IqKWJLsWH0X/y74PS1QRw==" saltValue="x81zP5E3ANzen1S4q1xBz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MCq2iJrI4hAZTtd8HlzOmcMDzUY2LtHgP+SEmhxNj5RT5gZuW3Ouy6Z7P1jqTQQd+B6gsDEtY81sK/6zF6mJw==" saltValue="Lt7GiXS5HjT9SKFak6VF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LOo9GGuz0mNMDtUHhskmP4z6haZ98FTAI+WmMwDobrqBoTZ4CBuF7BVtWhr2r0LROt6yNfQkNDc9CIviRSldA==" saltValue="2rwbGXG9iJnoEOv6w7Nd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J2WeMUtXgIeeeLpU9GVHKBmnrui5gY9u9m9cKM8jmA//sa0+zjIr/uYbd3MdMfS+kIbGom98uIy6q64Yl3GrNg==" saltValue="yIfok4jgEZUbCExbm28u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W8j2Ige2D2cEWAl9uJ7HRi3ETl4gSNt4gBNOmanZIbOlNoHmef8v4rKPZo3Edlai70aReAW0snbemCiQiH0wVQ==" saltValue="UvEvsRmgCqTCyXwB3jmD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58zVn0KhaqbYuR4pITGFzz9E2yYkaOq2HpVEYoiwIMXTWLKVQbbq5LYR4c5UyF9htsvq1F1XHzcoUsYndH/LMw==" saltValue="DPStwwjEFex8hJwKceMD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/HzOlblrfIVXQ+bCDLWHpE+5UTXyWGBXVRJHMfZ6F9WC99o4cJvKVyDkXwUcXvNTJ7ZlWh0WxRV8RMvUApw5Q==" saltValue="V4VSQ6d3zB2WevsO248NZ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qQwrxbHHE3Q9I/v0O7p+JiPSYGTKSVDaLFa2VRuQeo2a0LFqHFkKdhICp0m4NvLerK7VjM3E9GOhhq8Z5H1Ew==" saltValue="b7Dw+qjRf94bG7uVrTzz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faNJIkesrQd05Cg3w+EoeoiMxOaYKP9RQlZ4ASb4YRbuMNkys7l3EAy9zNUcb8/anUYbpA0/NtHppBrpF7FiA==" saltValue="rBNpdg2OBg0ocA/DjN55m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2024-05-17T01:04:35Z</dcterms:modified>
</cp:coreProperties>
</file>