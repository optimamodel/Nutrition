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omments3.xml" ContentType="application/vnd.openxmlformats-officedocument.spreadsheetml.comments+xml"/>
  <Override PartName="/xl/comments4.xml" ContentType="application/vnd.openxmlformats-officedocument.spreadsheetml.comments+xml"/>
  <Override PartName="/xl/comments5.xml" ContentType="application/vnd.openxmlformats-officedocument.spreadsheetml.comments+xml"/>
  <Override PartName="/xl/comments6.xml" ContentType="application/vnd.openxmlformats-officedocument.spreadsheetml.comments+xml"/>
  <Override PartName="/xl/comments7.xml" ContentType="application/vnd.openxmlformats-officedocument.spreadsheetml.comments+xml"/>
  <Override PartName="/xl/comments8.xml" ContentType="application/vnd.openxmlformats-officedocument.spreadsheetml.comments+xml"/>
  <Override PartName="/xl/comments9.xml" ContentType="application/vnd.openxmlformats-officedocument.spreadsheetml.comments+xml"/>
  <Override PartName="/xl/comments10.xml" ContentType="application/vnd.openxmlformats-officedocument.spreadsheetml.comments+xml"/>
  <Override PartName="/xl/comments11.xml" ContentType="application/vnd.openxmlformats-officedocument.spreadsheetml.comments+xml"/>
  <Override PartName="/xl/comments12.xml" ContentType="application/vnd.openxmlformats-officedocument.spreadsheetml.comments+xml"/>
  <Override PartName="/xl/comments13.xml" ContentType="application/vnd.openxmlformats-officedocument.spreadsheetml.comments+xml"/>
  <Override PartName="/xl/comments14.xml" ContentType="application/vnd.openxmlformats-officedocument.spreadsheetml.comments+xml"/>
  <Override PartName="/xl/comments15.xml" ContentType="application/vnd.openxmlformats-officedocument.spreadsheetml.comments+xml"/>
  <Override PartName="/xl/comments16.xml" ContentType="application/vnd.openxmlformats-officedocument.spreadsheetml.comments+xml"/>
  <Override PartName="/xl/comments17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8925"/>
  <workbookPr codeName="ThisWorkbook"/>
  <mc:AlternateContent xmlns:mc="http://schemas.openxmlformats.org/markup-compatibility/2006">
    <mc:Choice Requires="x15">
      <x15ac:absPath xmlns:x15ac="http://schemas.microsoft.com/office/spreadsheetml/2010/11/ac" url="C:\Users\tharindu.wickram\Desktop\Modeling\2025 studies\Nutrition\inputs\fr\LiST countries\"/>
    </mc:Choice>
  </mc:AlternateContent>
  <xr:revisionPtr revIDLastSave="0" documentId="8_{9B5E3684-5CFB-44F4-A0E9-95A5BBB8990C}" xr6:coauthVersionLast="47" xr6:coauthVersionMax="47" xr10:uidLastSave="{00000000-0000-0000-0000-000000000000}"/>
  <bookViews>
    <workbookView xWindow="-110" yWindow="-110" windowWidth="19420" windowHeight="10420" tabRatio="961" xr2:uid="{00000000-000D-0000-FFFF-FFFF00000000}"/>
  </bookViews>
  <sheets>
    <sheet name="Données pop de l'année de ref" sheetId="1" r:id="rId1"/>
    <sheet name="Projections démographiques" sheetId="2" r:id="rId2"/>
    <sheet name="Causes du décès" sheetId="3" r:id="rId3"/>
    <sheet name="Dist. de l'état nutritionnel" sheetId="4" r:id="rId4"/>
    <sheet name="Dist. l'allaitement maternel" sheetId="5" r:id="rId5"/>
    <sheet name="Tendances temporelles" sheetId="6" r:id="rId6"/>
    <sheet name="Données économiques" sheetId="7" r:id="rId7"/>
    <sheet name="Paquets ANJE" sheetId="8" r:id="rId8"/>
    <sheet name="Traitement de la MAS" sheetId="9" r:id="rId9"/>
    <sheet name="Coûts et couvertures des prgms" sheetId="10" r:id="rId10"/>
    <sheet name="Dépendances du programme" sheetId="11" r:id="rId11"/>
    <sheet name="Programmes de référence" sheetId="12" state="hidden" r:id="rId12"/>
    <sheet name="Incidence des conditions" sheetId="13" state="hidden" r:id="rId13"/>
    <sheet name="Programmes-population cible" sheetId="14" state="hidden" r:id="rId14"/>
    <sheet name="Options de la courbe de coût" sheetId="15" state="hidden" r:id="rId15"/>
    <sheet name="Programmes-planification fam." sheetId="16" state="hidden" r:id="rId16"/>
    <sheet name="Programmes - population touchée" sheetId="17" state="hidden" r:id="rId17"/>
    <sheet name="Programme - secteurs à risque" sheetId="18" state="hidden" r:id="rId18"/>
    <sheet name="Population des sect. à risque" sheetId="19" state="hidden" r:id="rId19"/>
    <sheet name="Rapport des cotes ANJE" sheetId="20" state="hidden" r:id="rId20"/>
    <sheet name="Rapports des cotes" sheetId="23" state="hidden" r:id="rId21"/>
    <sheet name="Programmes-rés. des naissances" sheetId="24" state="hidden" r:id="rId22"/>
    <sheet name="Risques des rés. des naissances" sheetId="21" state="hidden" r:id="rId23"/>
    <sheet name="Risques relatifs" sheetId="22" state="hidden" r:id="rId24"/>
    <sheet name="Programmes-anémie" sheetId="25" state="hidden" r:id="rId25"/>
    <sheet name="Programmes-émaciation" sheetId="26" state="hidden" r:id="rId26"/>
    <sheet name="Programmes pour les enfants" sheetId="27" state="hidden" r:id="rId27"/>
    <sheet name="Programmes pour les FE" sheetId="28" state="hidden" r:id="rId28"/>
  </sheets>
  <definedNames>
    <definedName name="abortion" localSheetId="7">'Données pop de l''année de ref'!$C$38</definedName>
    <definedName name="abortion">'Données pop de l''année de ref'!$C$41</definedName>
    <definedName name="comm_deliv">'Traitement de la MAS'!$D$3</definedName>
    <definedName name="diarrhoea_1_5mo">'Données pop de l''année de ref'!$C$52</definedName>
    <definedName name="diarrhoea_12_23mo">'Données pop de l''année de ref'!$C$54</definedName>
    <definedName name="diarrhoea_1mo">'Données pop de l''année de ref'!$C$51</definedName>
    <definedName name="diarrhoea_24_59mo">'Données pop de l''année de ref'!$C$55</definedName>
    <definedName name="diarrhoea_6_11mo">'Données pop de l''année de ref'!$C$53</definedName>
    <definedName name="end_year">'Données pop de l''année de ref'!$C$4</definedName>
    <definedName name="famplan_unmet_need">'Données pop de l''année de ref'!$C$13</definedName>
    <definedName name="food_insecure">'Données pop de l''année de ref'!$C$8</definedName>
    <definedName name="frac_children_health_facility">'Données pop de l''année de ref'!$C$12</definedName>
    <definedName name="frac_diarrhea_severe">'Données pop de l''année de ref'!$C$58</definedName>
    <definedName name="frac_maize">'Données pop de l''année de ref'!$C$19</definedName>
    <definedName name="frac_malaria_risk">'Données pop de l''année de ref'!$C$9</definedName>
    <definedName name="frac_mam_1_5months">'Dist. de l''état nutritionnel'!$D$10</definedName>
    <definedName name="frac_mam_12_23months">'Dist. de l''état nutritionnel'!$F$10</definedName>
    <definedName name="frac_mam_1month">'Dist. de l''état nutritionnel'!$C$10</definedName>
    <definedName name="frac_mam_24_59months">'Dist. de l''état nutritionnel'!$G$10</definedName>
    <definedName name="frac_mam_6_11months">'Dist. de l''état nutritionnel'!$E$10</definedName>
    <definedName name="frac_MAMtoSAM">'Données pop de l''année de ref'!#REF!</definedName>
    <definedName name="frac_other_staples">'Données pop de l''année de ref'!$C$20</definedName>
    <definedName name="frac_PW_health_facility">'Données pop de l''année de ref'!$C$11</definedName>
    <definedName name="frac_rice">'Données pop de l''année de ref'!$C$17</definedName>
    <definedName name="frac_sam_1_5months">'Dist. de l''état nutritionnel'!$D$11</definedName>
    <definedName name="frac_sam_12_23months">'Dist. de l''état nutritionnel'!$F$11</definedName>
    <definedName name="frac_sam_1month">'Dist. de l''état nutritionnel'!$C$11</definedName>
    <definedName name="frac_sam_24_59months">'Dist. de l''état nutritionnel'!$G$11</definedName>
    <definedName name="frac_sam_6_11months">'Dist. de l''état nutritionnel'!$E$11</definedName>
    <definedName name="frac_SAMtoMAM">'Données pop de l''année de ref'!#REF!</definedName>
    <definedName name="frac_subsistence_farming">'Données pop de l''année de ref'!$C$16</definedName>
    <definedName name="frac_wheat">'Données pop de l''année de ref'!$C$18</definedName>
    <definedName name="infant_mortality">'Données pop de l''année de ref'!$C$38</definedName>
    <definedName name="iron_deficiency_anaemia">'Données pop de l''année de ref'!$C$59</definedName>
    <definedName name="manage_mam">'Traitement de la MAS'!$D$2</definedName>
    <definedName name="maternal_mortality">'Données pop de l''année de ref'!$C$40</definedName>
    <definedName name="neonatal_mortality">'Données pop de l''année de ref'!$C$37</definedName>
    <definedName name="Percentage_of_pregnant_women_attending_health_facility">'Données pop de l''année de ref'!$C$11</definedName>
    <definedName name="preterm_AGA">'Données pop de l''année de ref'!$C$46</definedName>
    <definedName name="preterm_SGA">'Données pop de l''année de ref'!$C$45</definedName>
    <definedName name="school_attendance">'Données pop de l''année de ref'!$C$10</definedName>
    <definedName name="start_year">'Données pop de l''année de ref'!$C$3</definedName>
    <definedName name="stillbirth" localSheetId="7">'Données pop de l''année de ref'!$C$39</definedName>
    <definedName name="stillbirth">'Données pop de l''année de ref'!$C$42</definedName>
    <definedName name="term_AGA">'Données pop de l''année de ref'!$C$48</definedName>
    <definedName name="term_SGA">'Données pop de l''année de ref'!$C$47</definedName>
    <definedName name="U5_mortality">'Données pop de l''année de ref'!$C$39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1" i="10" l="1"/>
  <c r="A1" i="5"/>
  <c r="A1" i="4"/>
  <c r="A1" i="3"/>
  <c r="H159" i="27"/>
  <c r="G159" i="27"/>
  <c r="F159" i="27"/>
  <c r="E159" i="27"/>
  <c r="D159" i="27"/>
  <c r="H142" i="27"/>
  <c r="G142" i="27"/>
  <c r="F142" i="27"/>
  <c r="E142" i="27"/>
  <c r="H141" i="27"/>
  <c r="G141" i="27"/>
  <c r="F141" i="27"/>
  <c r="E141" i="27"/>
  <c r="H140" i="27"/>
  <c r="G140" i="27"/>
  <c r="F140" i="27"/>
  <c r="E140" i="27"/>
  <c r="H139" i="27"/>
  <c r="G139" i="27"/>
  <c r="F139" i="27"/>
  <c r="E139" i="27"/>
  <c r="H138" i="27"/>
  <c r="G138" i="27"/>
  <c r="F138" i="27"/>
  <c r="E138" i="27"/>
  <c r="H137" i="27"/>
  <c r="G137" i="27"/>
  <c r="F137" i="27"/>
  <c r="E137" i="27"/>
  <c r="E136" i="27"/>
  <c r="D136" i="27"/>
  <c r="E135" i="27"/>
  <c r="D135" i="27"/>
  <c r="E134" i="27"/>
  <c r="D134" i="27"/>
  <c r="H133" i="27"/>
  <c r="G133" i="27"/>
  <c r="F133" i="27"/>
  <c r="E133" i="27"/>
  <c r="D133" i="27"/>
  <c r="H130" i="27"/>
  <c r="E130" i="27"/>
  <c r="D130" i="27"/>
  <c r="H129" i="27"/>
  <c r="G129" i="27"/>
  <c r="F129" i="27"/>
  <c r="E129" i="27"/>
  <c r="D129" i="27"/>
  <c r="H128" i="27"/>
  <c r="E128" i="27"/>
  <c r="D128" i="27"/>
  <c r="E118" i="27"/>
  <c r="D118" i="27"/>
  <c r="E117" i="27"/>
  <c r="D117" i="27"/>
  <c r="E116" i="27"/>
  <c r="D116" i="27"/>
  <c r="H101" i="27"/>
  <c r="H158" i="27" s="1"/>
  <c r="G101" i="27"/>
  <c r="G158" i="27" s="1"/>
  <c r="F101" i="27"/>
  <c r="F158" i="27" s="1"/>
  <c r="E101" i="27"/>
  <c r="E158" i="27" s="1"/>
  <c r="D101" i="27"/>
  <c r="D158" i="27" s="1"/>
  <c r="H85" i="27"/>
  <c r="G85" i="27"/>
  <c r="F85" i="27"/>
  <c r="E85" i="27"/>
  <c r="H84" i="27"/>
  <c r="G84" i="27"/>
  <c r="F84" i="27"/>
  <c r="E84" i="27"/>
  <c r="D84" i="27"/>
  <c r="D141" i="27" s="1"/>
  <c r="H83" i="27"/>
  <c r="G83" i="27"/>
  <c r="F83" i="27"/>
  <c r="E83" i="27"/>
  <c r="H82" i="27"/>
  <c r="G82" i="27"/>
  <c r="F82" i="27"/>
  <c r="E82" i="27"/>
  <c r="D82" i="27"/>
  <c r="D139" i="27" s="1"/>
  <c r="H81" i="27"/>
  <c r="G81" i="27"/>
  <c r="F81" i="27"/>
  <c r="E81" i="27"/>
  <c r="H80" i="27"/>
  <c r="G80" i="27"/>
  <c r="F80" i="27"/>
  <c r="E80" i="27"/>
  <c r="D80" i="27"/>
  <c r="D137" i="27" s="1"/>
  <c r="E79" i="27"/>
  <c r="D79" i="27"/>
  <c r="E78" i="27"/>
  <c r="D78" i="27"/>
  <c r="E77" i="27"/>
  <c r="D77" i="27"/>
  <c r="H76" i="27"/>
  <c r="G76" i="27"/>
  <c r="F76" i="27"/>
  <c r="E76" i="27"/>
  <c r="D76" i="27"/>
  <c r="H73" i="27"/>
  <c r="E73" i="27"/>
  <c r="D73" i="27"/>
  <c r="H72" i="27"/>
  <c r="G72" i="27"/>
  <c r="F72" i="27"/>
  <c r="E72" i="27"/>
  <c r="D72" i="27"/>
  <c r="H71" i="27"/>
  <c r="E71" i="27"/>
  <c r="D71" i="27"/>
  <c r="E61" i="27"/>
  <c r="D61" i="27"/>
  <c r="E60" i="27"/>
  <c r="D60" i="27"/>
  <c r="H59" i="27"/>
  <c r="H116" i="27" s="1"/>
  <c r="G59" i="27"/>
  <c r="G116" i="27" s="1"/>
  <c r="F59" i="27"/>
  <c r="F116" i="27" s="1"/>
  <c r="E59" i="27"/>
  <c r="D59" i="27"/>
  <c r="H16" i="14" l="1"/>
  <c r="I16" i="14"/>
  <c r="J16" i="14"/>
  <c r="K16" i="14"/>
  <c r="D48" i="24"/>
  <c r="C48" i="24"/>
  <c r="D31" i="24"/>
  <c r="C31" i="24"/>
  <c r="D14" i="24"/>
  <c r="C14" i="24"/>
  <c r="G30" i="28" l="1"/>
  <c r="F30" i="28"/>
  <c r="E30" i="28"/>
  <c r="D30" i="28"/>
  <c r="G19" i="28"/>
  <c r="F19" i="28"/>
  <c r="E19" i="28"/>
  <c r="D19" i="28"/>
  <c r="C70" i="23"/>
  <c r="G66" i="23"/>
  <c r="F66" i="23"/>
  <c r="E66" i="23"/>
  <c r="D66" i="23"/>
  <c r="C66" i="23"/>
  <c r="G58" i="23"/>
  <c r="F58" i="23"/>
  <c r="E58" i="23"/>
  <c r="D58" i="23"/>
  <c r="C58" i="23"/>
  <c r="G57" i="23"/>
  <c r="D57" i="23"/>
  <c r="C57" i="23"/>
  <c r="D56" i="23"/>
  <c r="C56" i="23"/>
  <c r="G55" i="23"/>
  <c r="D55" i="23"/>
  <c r="C55" i="23"/>
  <c r="G54" i="23"/>
  <c r="F54" i="23"/>
  <c r="E54" i="23"/>
  <c r="D54" i="23"/>
  <c r="C54" i="23"/>
  <c r="G51" i="23"/>
  <c r="F51" i="23"/>
  <c r="E51" i="23"/>
  <c r="D51" i="23"/>
  <c r="C46" i="23"/>
  <c r="G42" i="23"/>
  <c r="F42" i="23"/>
  <c r="E42" i="23"/>
  <c r="D42" i="23"/>
  <c r="C42" i="23"/>
  <c r="G34" i="23"/>
  <c r="F34" i="23"/>
  <c r="E34" i="23"/>
  <c r="D34" i="23"/>
  <c r="C34" i="23"/>
  <c r="G33" i="23"/>
  <c r="D33" i="23"/>
  <c r="C33" i="23"/>
  <c r="D32" i="23"/>
  <c r="C32" i="23"/>
  <c r="G31" i="23"/>
  <c r="D31" i="23"/>
  <c r="C31" i="23"/>
  <c r="G30" i="23"/>
  <c r="F30" i="23"/>
  <c r="E30" i="23"/>
  <c r="D30" i="23"/>
  <c r="C30" i="23"/>
  <c r="G27" i="23"/>
  <c r="F27" i="23"/>
  <c r="E27" i="23"/>
  <c r="D27" i="23"/>
  <c r="F48" i="24"/>
  <c r="E48" i="24"/>
  <c r="F46" i="24"/>
  <c r="E46" i="24"/>
  <c r="D46" i="24"/>
  <c r="C46" i="24"/>
  <c r="F44" i="24"/>
  <c r="E44" i="24"/>
  <c r="D44" i="24"/>
  <c r="C44" i="24"/>
  <c r="F42" i="24"/>
  <c r="E42" i="24"/>
  <c r="D42" i="24"/>
  <c r="C42" i="24"/>
  <c r="F40" i="24"/>
  <c r="E40" i="24"/>
  <c r="D40" i="24"/>
  <c r="C40" i="24"/>
  <c r="E38" i="24"/>
  <c r="C38" i="24"/>
  <c r="F36" i="24"/>
  <c r="E36" i="24"/>
  <c r="D36" i="24"/>
  <c r="C36" i="24"/>
  <c r="F31" i="24"/>
  <c r="E31" i="24"/>
  <c r="F29" i="24"/>
  <c r="E29" i="24"/>
  <c r="D29" i="24"/>
  <c r="C29" i="24"/>
  <c r="F27" i="24"/>
  <c r="E27" i="24"/>
  <c r="D27" i="24"/>
  <c r="C27" i="24"/>
  <c r="F25" i="24"/>
  <c r="E25" i="24"/>
  <c r="D25" i="24"/>
  <c r="C25" i="24"/>
  <c r="F23" i="24"/>
  <c r="E23" i="24"/>
  <c r="D23" i="24"/>
  <c r="C23" i="24"/>
  <c r="E21" i="24"/>
  <c r="C21" i="24"/>
  <c r="F19" i="24"/>
  <c r="E19" i="24"/>
  <c r="D19" i="24"/>
  <c r="C19" i="24"/>
  <c r="E4" i="24"/>
  <c r="C4" i="24"/>
  <c r="K15" i="14"/>
  <c r="J15" i="14"/>
  <c r="I15" i="14"/>
  <c r="H15" i="14"/>
  <c r="E2" i="14"/>
  <c r="F2" i="14"/>
  <c r="E5" i="14"/>
  <c r="F5" i="14"/>
  <c r="E6" i="14"/>
  <c r="F6" i="14"/>
  <c r="G6" i="14"/>
  <c r="C7" i="14"/>
  <c r="D7" i="14"/>
  <c r="E7" i="14"/>
  <c r="F7" i="14"/>
  <c r="G7" i="14"/>
  <c r="E8" i="14"/>
  <c r="F8" i="14"/>
  <c r="E9" i="14"/>
  <c r="F9" i="14"/>
  <c r="D10" i="14"/>
  <c r="E10" i="14"/>
  <c r="F10" i="14"/>
  <c r="G10" i="14"/>
  <c r="C12" i="14"/>
  <c r="D12" i="14"/>
  <c r="E12" i="14"/>
  <c r="F12" i="14"/>
  <c r="G12" i="14"/>
  <c r="H17" i="14"/>
  <c r="I17" i="14"/>
  <c r="J17" i="14"/>
  <c r="K17" i="14"/>
  <c r="H18" i="14"/>
  <c r="I18" i="14"/>
  <c r="J18" i="14"/>
  <c r="K18" i="14"/>
  <c r="H19" i="14"/>
  <c r="I19" i="14"/>
  <c r="J19" i="14"/>
  <c r="K19" i="14"/>
  <c r="H22" i="14"/>
  <c r="I22" i="14"/>
  <c r="J22" i="14"/>
  <c r="K22" i="14"/>
  <c r="L24" i="14"/>
  <c r="M24" i="14"/>
  <c r="N24" i="14"/>
  <c r="O24" i="14"/>
  <c r="L25" i="14"/>
  <c r="M25" i="14"/>
  <c r="N25" i="14"/>
  <c r="O25" i="14"/>
  <c r="L26" i="14"/>
  <c r="M26" i="14"/>
  <c r="N26" i="14"/>
  <c r="O26" i="14"/>
  <c r="L27" i="14"/>
  <c r="M27" i="14"/>
  <c r="N27" i="14"/>
  <c r="O27" i="14"/>
  <c r="L28" i="14"/>
  <c r="E30" i="14"/>
  <c r="F30" i="14"/>
  <c r="G30" i="14"/>
  <c r="H30" i="14"/>
  <c r="I30" i="14"/>
  <c r="J30" i="14"/>
  <c r="K30" i="14"/>
  <c r="L30" i="14"/>
  <c r="M30" i="14"/>
  <c r="N30" i="14"/>
  <c r="O30" i="14"/>
  <c r="E31" i="14"/>
  <c r="F31" i="14"/>
  <c r="G31" i="14"/>
  <c r="H31" i="14"/>
  <c r="I31" i="14"/>
  <c r="J31" i="14"/>
  <c r="K31" i="14"/>
  <c r="L31" i="14"/>
  <c r="M31" i="14"/>
  <c r="N31" i="14"/>
  <c r="O31" i="14"/>
  <c r="E32" i="14"/>
  <c r="F32" i="14"/>
  <c r="G32" i="14"/>
  <c r="H32" i="14"/>
  <c r="I32" i="14"/>
  <c r="J32" i="14"/>
  <c r="K32" i="14"/>
  <c r="L32" i="14"/>
  <c r="M32" i="14"/>
  <c r="N32" i="14"/>
  <c r="O32" i="14"/>
  <c r="C34" i="14"/>
  <c r="D34" i="14"/>
  <c r="E34" i="14"/>
  <c r="F34" i="14"/>
  <c r="G34" i="14"/>
  <c r="H34" i="14"/>
  <c r="I34" i="14"/>
  <c r="J34" i="14"/>
  <c r="K34" i="14"/>
  <c r="L34" i="14"/>
  <c r="M34" i="14"/>
  <c r="N34" i="14"/>
  <c r="O34" i="14"/>
  <c r="D5" i="5" l="1"/>
  <c r="C5" i="5"/>
  <c r="G29" i="28"/>
  <c r="F29" i="28"/>
  <c r="E29" i="28"/>
  <c r="D29" i="28"/>
  <c r="G28" i="28"/>
  <c r="F28" i="28"/>
  <c r="E28" i="28"/>
  <c r="D28" i="28"/>
  <c r="G27" i="28"/>
  <c r="F27" i="28"/>
  <c r="E27" i="28"/>
  <c r="D27" i="28"/>
  <c r="G26" i="28"/>
  <c r="F26" i="28"/>
  <c r="E26" i="28"/>
  <c r="D26" i="28"/>
  <c r="G24" i="28"/>
  <c r="F24" i="28"/>
  <c r="E24" i="28"/>
  <c r="D24" i="28"/>
  <c r="G18" i="28"/>
  <c r="F18" i="28"/>
  <c r="E18" i="28"/>
  <c r="D18" i="28"/>
  <c r="G17" i="28"/>
  <c r="F17" i="28"/>
  <c r="E17" i="28"/>
  <c r="D17" i="28"/>
  <c r="G16" i="28"/>
  <c r="F16" i="28"/>
  <c r="E16" i="28"/>
  <c r="D16" i="28"/>
  <c r="G15" i="28"/>
  <c r="F15" i="28"/>
  <c r="E15" i="28"/>
  <c r="D15" i="28"/>
  <c r="G13" i="28"/>
  <c r="F13" i="28"/>
  <c r="E13" i="28"/>
  <c r="D13" i="28"/>
  <c r="G19" i="26"/>
  <c r="F19" i="26"/>
  <c r="E19" i="26"/>
  <c r="D19" i="26"/>
  <c r="G17" i="26"/>
  <c r="F17" i="26"/>
  <c r="E17" i="26"/>
  <c r="D17" i="26"/>
  <c r="G12" i="26"/>
  <c r="F12" i="26"/>
  <c r="E12" i="26"/>
  <c r="D12" i="26"/>
  <c r="G10" i="26"/>
  <c r="F10" i="26"/>
  <c r="E10" i="26"/>
  <c r="D10" i="26"/>
  <c r="G5" i="26"/>
  <c r="F5" i="26"/>
  <c r="E5" i="26"/>
  <c r="D5" i="26"/>
  <c r="G3" i="26"/>
  <c r="F3" i="26"/>
  <c r="E3" i="26"/>
  <c r="D3" i="26"/>
  <c r="D67" i="25"/>
  <c r="C67" i="25"/>
  <c r="D66" i="25"/>
  <c r="C66" i="25"/>
  <c r="D65" i="25"/>
  <c r="C65" i="25"/>
  <c r="D64" i="25"/>
  <c r="C64" i="25"/>
  <c r="O61" i="25"/>
  <c r="N61" i="25"/>
  <c r="M61" i="25"/>
  <c r="L61" i="25"/>
  <c r="K61" i="25"/>
  <c r="J61" i="25"/>
  <c r="I61" i="25"/>
  <c r="H61" i="25"/>
  <c r="G61" i="25"/>
  <c r="D61" i="25"/>
  <c r="C61" i="25"/>
  <c r="K60" i="25"/>
  <c r="J60" i="25"/>
  <c r="I60" i="25"/>
  <c r="H60" i="25"/>
  <c r="G60" i="25"/>
  <c r="F60" i="25"/>
  <c r="E60" i="25"/>
  <c r="D60" i="25"/>
  <c r="C60" i="25"/>
  <c r="O59" i="25"/>
  <c r="N59" i="25"/>
  <c r="M59" i="25"/>
  <c r="L59" i="25"/>
  <c r="K59" i="25"/>
  <c r="J59" i="25"/>
  <c r="I59" i="25"/>
  <c r="H59" i="25"/>
  <c r="D59" i="25"/>
  <c r="C59" i="25"/>
  <c r="O57" i="25"/>
  <c r="N57" i="25"/>
  <c r="M57" i="25"/>
  <c r="L57" i="25"/>
  <c r="K57" i="25"/>
  <c r="J57" i="25"/>
  <c r="I57" i="25"/>
  <c r="H57" i="25"/>
  <c r="G57" i="25"/>
  <c r="F57" i="25"/>
  <c r="E57" i="25"/>
  <c r="D57" i="25"/>
  <c r="C57" i="25"/>
  <c r="K56" i="25"/>
  <c r="J56" i="25"/>
  <c r="I56" i="25"/>
  <c r="H56" i="25"/>
  <c r="G56" i="25"/>
  <c r="F56" i="25"/>
  <c r="E56" i="25"/>
  <c r="D56" i="25"/>
  <c r="C56" i="25"/>
  <c r="K55" i="25"/>
  <c r="J55" i="25"/>
  <c r="I55" i="25"/>
  <c r="H55" i="25"/>
  <c r="G55" i="25"/>
  <c r="F55" i="25"/>
  <c r="E55" i="25"/>
  <c r="D55" i="25"/>
  <c r="C55" i="25"/>
  <c r="K54" i="25"/>
  <c r="J54" i="25"/>
  <c r="I54" i="25"/>
  <c r="H54" i="25"/>
  <c r="G54" i="25"/>
  <c r="F54" i="25"/>
  <c r="E54" i="25"/>
  <c r="D54" i="25"/>
  <c r="C54" i="25"/>
  <c r="O53" i="25"/>
  <c r="N53" i="25"/>
  <c r="M53" i="25"/>
  <c r="L53" i="25"/>
  <c r="G53" i="25"/>
  <c r="F53" i="25"/>
  <c r="E53" i="25"/>
  <c r="D53" i="25"/>
  <c r="C53" i="25"/>
  <c r="O52" i="25"/>
  <c r="N52" i="25"/>
  <c r="M52" i="25"/>
  <c r="L52" i="25"/>
  <c r="G52" i="25"/>
  <c r="F52" i="25"/>
  <c r="E52" i="25"/>
  <c r="D52" i="25"/>
  <c r="C52" i="25"/>
  <c r="O51" i="25"/>
  <c r="N51" i="25"/>
  <c r="M51" i="25"/>
  <c r="L51" i="25"/>
  <c r="G51" i="25"/>
  <c r="F51" i="25"/>
  <c r="E51" i="25"/>
  <c r="D51" i="25"/>
  <c r="C51" i="25"/>
  <c r="O50" i="25"/>
  <c r="N50" i="25"/>
  <c r="M50" i="25"/>
  <c r="L50" i="25"/>
  <c r="G50" i="25"/>
  <c r="F50" i="25"/>
  <c r="E50" i="25"/>
  <c r="D50" i="25"/>
  <c r="C50" i="25"/>
  <c r="O49" i="25"/>
  <c r="N49" i="25"/>
  <c r="M49" i="25"/>
  <c r="L49" i="25"/>
  <c r="K49" i="25"/>
  <c r="J49" i="25"/>
  <c r="I49" i="25"/>
  <c r="H49" i="25"/>
  <c r="G49" i="25"/>
  <c r="F49" i="25"/>
  <c r="D44" i="25"/>
  <c r="C44" i="25"/>
  <c r="D43" i="25"/>
  <c r="C43" i="25"/>
  <c r="D42" i="25"/>
  <c r="C42" i="25"/>
  <c r="D41" i="25"/>
  <c r="C41" i="25"/>
  <c r="O38" i="25"/>
  <c r="N38" i="25"/>
  <c r="M38" i="25"/>
  <c r="L38" i="25"/>
  <c r="K38" i="25"/>
  <c r="J38" i="25"/>
  <c r="I38" i="25"/>
  <c r="H38" i="25"/>
  <c r="G38" i="25"/>
  <c r="D38" i="25"/>
  <c r="C38" i="25"/>
  <c r="K37" i="25"/>
  <c r="J37" i="25"/>
  <c r="I37" i="25"/>
  <c r="H37" i="25"/>
  <c r="G37" i="25"/>
  <c r="F37" i="25"/>
  <c r="E37" i="25"/>
  <c r="D37" i="25"/>
  <c r="C37" i="25"/>
  <c r="O36" i="25"/>
  <c r="N36" i="25"/>
  <c r="M36" i="25"/>
  <c r="L36" i="25"/>
  <c r="K36" i="25"/>
  <c r="J36" i="25"/>
  <c r="I36" i="25"/>
  <c r="H36" i="25"/>
  <c r="D36" i="25"/>
  <c r="C36" i="25"/>
  <c r="O34" i="25"/>
  <c r="N34" i="25"/>
  <c r="M34" i="25"/>
  <c r="L34" i="25"/>
  <c r="K34" i="25"/>
  <c r="J34" i="25"/>
  <c r="I34" i="25"/>
  <c r="H34" i="25"/>
  <c r="F34" i="25"/>
  <c r="E34" i="25"/>
  <c r="D34" i="25"/>
  <c r="C34" i="25"/>
  <c r="K33" i="25"/>
  <c r="J33" i="25"/>
  <c r="I33" i="25"/>
  <c r="H33" i="25"/>
  <c r="G33" i="25"/>
  <c r="F33" i="25"/>
  <c r="E33" i="25"/>
  <c r="D33" i="25"/>
  <c r="C33" i="25"/>
  <c r="K32" i="25"/>
  <c r="J32" i="25"/>
  <c r="I32" i="25"/>
  <c r="H32" i="25"/>
  <c r="G32" i="25"/>
  <c r="F32" i="25"/>
  <c r="E32" i="25"/>
  <c r="D32" i="25"/>
  <c r="C32" i="25"/>
  <c r="K31" i="25"/>
  <c r="J31" i="25"/>
  <c r="I31" i="25"/>
  <c r="H31" i="25"/>
  <c r="G31" i="25"/>
  <c r="F31" i="25"/>
  <c r="E31" i="25"/>
  <c r="D31" i="25"/>
  <c r="C31" i="25"/>
  <c r="O30" i="25"/>
  <c r="N30" i="25"/>
  <c r="M30" i="25"/>
  <c r="L30" i="25"/>
  <c r="G30" i="25"/>
  <c r="F30" i="25"/>
  <c r="E30" i="25"/>
  <c r="D30" i="25"/>
  <c r="C30" i="25"/>
  <c r="O29" i="25"/>
  <c r="N29" i="25"/>
  <c r="M29" i="25"/>
  <c r="L29" i="25"/>
  <c r="G29" i="25"/>
  <c r="F29" i="25"/>
  <c r="E29" i="25"/>
  <c r="D29" i="25"/>
  <c r="C29" i="25"/>
  <c r="O28" i="25"/>
  <c r="N28" i="25"/>
  <c r="M28" i="25"/>
  <c r="L28" i="25"/>
  <c r="G28" i="25"/>
  <c r="F28" i="25"/>
  <c r="E28" i="25"/>
  <c r="D28" i="25"/>
  <c r="C28" i="25"/>
  <c r="O27" i="25"/>
  <c r="N27" i="25"/>
  <c r="M27" i="25"/>
  <c r="L27" i="25"/>
  <c r="G27" i="25"/>
  <c r="F27" i="25"/>
  <c r="E27" i="25"/>
  <c r="D27" i="25"/>
  <c r="C27" i="25"/>
  <c r="O26" i="25"/>
  <c r="N26" i="25"/>
  <c r="M26" i="25"/>
  <c r="L26" i="25"/>
  <c r="K26" i="25"/>
  <c r="J26" i="25"/>
  <c r="I26" i="25"/>
  <c r="H26" i="25"/>
  <c r="G26" i="25"/>
  <c r="F26" i="25"/>
  <c r="O14" i="25"/>
  <c r="N14" i="25"/>
  <c r="M14" i="25"/>
  <c r="L14" i="25"/>
  <c r="G328" i="22"/>
  <c r="F328" i="22"/>
  <c r="E328" i="22"/>
  <c r="D328" i="22"/>
  <c r="G327" i="22"/>
  <c r="F327" i="22"/>
  <c r="E327" i="22"/>
  <c r="D327" i="22"/>
  <c r="G326" i="22"/>
  <c r="F326" i="22"/>
  <c r="E326" i="22"/>
  <c r="D326" i="22"/>
  <c r="G325" i="22"/>
  <c r="F325" i="22"/>
  <c r="E325" i="22"/>
  <c r="D325" i="22"/>
  <c r="G321" i="22"/>
  <c r="F321" i="22"/>
  <c r="E321" i="22"/>
  <c r="D321" i="22"/>
  <c r="G320" i="22"/>
  <c r="F320" i="22"/>
  <c r="E320" i="22"/>
  <c r="D320" i="22"/>
  <c r="G319" i="22"/>
  <c r="F319" i="22"/>
  <c r="E319" i="22"/>
  <c r="D319" i="22"/>
  <c r="G318" i="22"/>
  <c r="F318" i="22"/>
  <c r="E318" i="22"/>
  <c r="D318" i="22"/>
  <c r="G317" i="22"/>
  <c r="F317" i="22"/>
  <c r="E317" i="22"/>
  <c r="D317" i="22"/>
  <c r="G316" i="22"/>
  <c r="F316" i="22"/>
  <c r="E316" i="22"/>
  <c r="D316" i="22"/>
  <c r="G315" i="22"/>
  <c r="F315" i="22"/>
  <c r="E315" i="22"/>
  <c r="D315" i="22"/>
  <c r="G314" i="22"/>
  <c r="F314" i="22"/>
  <c r="E314" i="22"/>
  <c r="D314" i="22"/>
  <c r="G313" i="22"/>
  <c r="F313" i="22"/>
  <c r="E313" i="22"/>
  <c r="D313" i="22"/>
  <c r="G312" i="22"/>
  <c r="F312" i="22"/>
  <c r="E312" i="22"/>
  <c r="D312" i="22"/>
  <c r="G311" i="22"/>
  <c r="F311" i="22"/>
  <c r="E311" i="22"/>
  <c r="D311" i="22"/>
  <c r="G310" i="22"/>
  <c r="F310" i="22"/>
  <c r="E310" i="22"/>
  <c r="D310" i="22"/>
  <c r="G309" i="22"/>
  <c r="F309" i="22"/>
  <c r="E309" i="22"/>
  <c r="D309" i="22"/>
  <c r="G308" i="22"/>
  <c r="F308" i="22"/>
  <c r="E308" i="22"/>
  <c r="D308" i="22"/>
  <c r="G307" i="22"/>
  <c r="F307" i="22"/>
  <c r="E307" i="22"/>
  <c r="D307" i="22"/>
  <c r="G306" i="22"/>
  <c r="F306" i="22"/>
  <c r="E306" i="22"/>
  <c r="D306" i="22"/>
  <c r="G305" i="22"/>
  <c r="F305" i="22"/>
  <c r="E305" i="22"/>
  <c r="D305" i="22"/>
  <c r="G304" i="22"/>
  <c r="F304" i="22"/>
  <c r="E304" i="22"/>
  <c r="D304" i="22"/>
  <c r="G303" i="22"/>
  <c r="F303" i="22"/>
  <c r="E303" i="22"/>
  <c r="D303" i="22"/>
  <c r="G302" i="22"/>
  <c r="F302" i="22"/>
  <c r="E302" i="22"/>
  <c r="D302" i="22"/>
  <c r="G301" i="22"/>
  <c r="F301" i="22"/>
  <c r="E301" i="22"/>
  <c r="D301" i="22"/>
  <c r="G300" i="22"/>
  <c r="F300" i="22"/>
  <c r="E300" i="22"/>
  <c r="D300" i="22"/>
  <c r="G299" i="22"/>
  <c r="F299" i="22"/>
  <c r="E299" i="22"/>
  <c r="D299" i="22"/>
  <c r="G298" i="22"/>
  <c r="F298" i="22"/>
  <c r="E298" i="22"/>
  <c r="D298" i="22"/>
  <c r="G297" i="22"/>
  <c r="F297" i="22"/>
  <c r="E297" i="22"/>
  <c r="D297" i="22"/>
  <c r="G296" i="22"/>
  <c r="F296" i="22"/>
  <c r="E296" i="22"/>
  <c r="D296" i="22"/>
  <c r="G295" i="22"/>
  <c r="F295" i="22"/>
  <c r="E295" i="22"/>
  <c r="D295" i="22"/>
  <c r="G294" i="22"/>
  <c r="F294" i="22"/>
  <c r="E294" i="22"/>
  <c r="D294" i="22"/>
  <c r="G293" i="22"/>
  <c r="F293" i="22"/>
  <c r="E293" i="22"/>
  <c r="D293" i="22"/>
  <c r="G292" i="22"/>
  <c r="F292" i="22"/>
  <c r="E292" i="22"/>
  <c r="D292" i="22"/>
  <c r="G291" i="22"/>
  <c r="F291" i="22"/>
  <c r="E291" i="22"/>
  <c r="D291" i="22"/>
  <c r="G290" i="22"/>
  <c r="F290" i="22"/>
  <c r="E290" i="22"/>
  <c r="D290" i="22"/>
  <c r="G289" i="22"/>
  <c r="F289" i="22"/>
  <c r="E289" i="22"/>
  <c r="D289" i="22"/>
  <c r="G288" i="22"/>
  <c r="F288" i="22"/>
  <c r="E288" i="22"/>
  <c r="D288" i="22"/>
  <c r="G287" i="22"/>
  <c r="F287" i="22"/>
  <c r="E287" i="22"/>
  <c r="D287" i="22"/>
  <c r="G286" i="22"/>
  <c r="F286" i="22"/>
  <c r="E286" i="22"/>
  <c r="D286" i="22"/>
  <c r="G282" i="22"/>
  <c r="F282" i="22"/>
  <c r="E282" i="22"/>
  <c r="D282" i="22"/>
  <c r="G281" i="22"/>
  <c r="F281" i="22"/>
  <c r="E281" i="22"/>
  <c r="D281" i="22"/>
  <c r="G280" i="22"/>
  <c r="F280" i="22"/>
  <c r="E280" i="22"/>
  <c r="D280" i="22"/>
  <c r="G279" i="22"/>
  <c r="F279" i="22"/>
  <c r="E279" i="22"/>
  <c r="D279" i="22"/>
  <c r="G278" i="22"/>
  <c r="F278" i="22"/>
  <c r="E278" i="22"/>
  <c r="D278" i="22"/>
  <c r="G277" i="22"/>
  <c r="F277" i="22"/>
  <c r="E277" i="22"/>
  <c r="D277" i="22"/>
  <c r="H273" i="22"/>
  <c r="G273" i="22"/>
  <c r="F273" i="22"/>
  <c r="E273" i="22"/>
  <c r="D273" i="22"/>
  <c r="H272" i="22"/>
  <c r="G272" i="22"/>
  <c r="F272" i="22"/>
  <c r="E272" i="22"/>
  <c r="D272" i="22"/>
  <c r="H271" i="22"/>
  <c r="G271" i="22"/>
  <c r="F271" i="22"/>
  <c r="E271" i="22"/>
  <c r="D271" i="22"/>
  <c r="H270" i="22"/>
  <c r="G270" i="22"/>
  <c r="F270" i="22"/>
  <c r="E270" i="22"/>
  <c r="D270" i="22"/>
  <c r="H269" i="22"/>
  <c r="G269" i="22"/>
  <c r="F269" i="22"/>
  <c r="E269" i="22"/>
  <c r="D269" i="22"/>
  <c r="H268" i="22"/>
  <c r="G268" i="22"/>
  <c r="F268" i="22"/>
  <c r="E268" i="22"/>
  <c r="D268" i="22"/>
  <c r="H267" i="22"/>
  <c r="G267" i="22"/>
  <c r="F267" i="22"/>
  <c r="E267" i="22"/>
  <c r="D267" i="22"/>
  <c r="H266" i="22"/>
  <c r="G266" i="22"/>
  <c r="F266" i="22"/>
  <c r="E266" i="22"/>
  <c r="D266" i="22"/>
  <c r="H265" i="22"/>
  <c r="G265" i="22"/>
  <c r="F265" i="22"/>
  <c r="E265" i="22"/>
  <c r="D265" i="22"/>
  <c r="H264" i="22"/>
  <c r="G264" i="22"/>
  <c r="F264" i="22"/>
  <c r="E264" i="22"/>
  <c r="D264" i="22"/>
  <c r="H263" i="22"/>
  <c r="G263" i="22"/>
  <c r="F263" i="22"/>
  <c r="E263" i="22"/>
  <c r="D263" i="22"/>
  <c r="H262" i="22"/>
  <c r="G262" i="22"/>
  <c r="F262" i="22"/>
  <c r="E262" i="22"/>
  <c r="D262" i="22"/>
  <c r="H261" i="22"/>
  <c r="G261" i="22"/>
  <c r="F261" i="22"/>
  <c r="E261" i="22"/>
  <c r="D261" i="22"/>
  <c r="H260" i="22"/>
  <c r="G260" i="22"/>
  <c r="F260" i="22"/>
  <c r="E260" i="22"/>
  <c r="D260" i="22"/>
  <c r="H259" i="22"/>
  <c r="G259" i="22"/>
  <c r="F259" i="22"/>
  <c r="E259" i="22"/>
  <c r="D259" i="22"/>
  <c r="H258" i="22"/>
  <c r="G258" i="22"/>
  <c r="F258" i="22"/>
  <c r="E258" i="22"/>
  <c r="D258" i="22"/>
  <c r="H257" i="22"/>
  <c r="G257" i="22"/>
  <c r="F257" i="22"/>
  <c r="E257" i="22"/>
  <c r="D257" i="22"/>
  <c r="H256" i="22"/>
  <c r="G256" i="22"/>
  <c r="F256" i="22"/>
  <c r="E256" i="22"/>
  <c r="D256" i="22"/>
  <c r="H255" i="22"/>
  <c r="G255" i="22"/>
  <c r="F255" i="22"/>
  <c r="E255" i="22"/>
  <c r="D255" i="22"/>
  <c r="H254" i="22"/>
  <c r="G254" i="22"/>
  <c r="F254" i="22"/>
  <c r="E254" i="22"/>
  <c r="D254" i="22"/>
  <c r="H253" i="22"/>
  <c r="G253" i="22"/>
  <c r="F253" i="22"/>
  <c r="E253" i="22"/>
  <c r="D253" i="22"/>
  <c r="H252" i="22"/>
  <c r="G252" i="22"/>
  <c r="F252" i="22"/>
  <c r="E252" i="22"/>
  <c r="D252" i="22"/>
  <c r="H251" i="22"/>
  <c r="G251" i="22"/>
  <c r="F251" i="22"/>
  <c r="E251" i="22"/>
  <c r="D251" i="22"/>
  <c r="H250" i="22"/>
  <c r="G250" i="22"/>
  <c r="F250" i="22"/>
  <c r="E250" i="22"/>
  <c r="D250" i="22"/>
  <c r="H246" i="22"/>
  <c r="G246" i="22"/>
  <c r="F246" i="22"/>
  <c r="E246" i="22"/>
  <c r="D246" i="22"/>
  <c r="H245" i="22"/>
  <c r="G245" i="22"/>
  <c r="F245" i="22"/>
  <c r="E245" i="22"/>
  <c r="D245" i="22"/>
  <c r="H244" i="22"/>
  <c r="G244" i="22"/>
  <c r="F244" i="22"/>
  <c r="E244" i="22"/>
  <c r="D244" i="22"/>
  <c r="H243" i="22"/>
  <c r="G243" i="22"/>
  <c r="F243" i="22"/>
  <c r="E243" i="22"/>
  <c r="D243" i="22"/>
  <c r="H242" i="22"/>
  <c r="G242" i="22"/>
  <c r="F242" i="22"/>
  <c r="E242" i="22"/>
  <c r="D242" i="22"/>
  <c r="H241" i="22"/>
  <c r="G241" i="22"/>
  <c r="F241" i="22"/>
  <c r="E241" i="22"/>
  <c r="D241" i="22"/>
  <c r="H240" i="22"/>
  <c r="G240" i="22"/>
  <c r="F240" i="22"/>
  <c r="E240" i="22"/>
  <c r="D240" i="22"/>
  <c r="H239" i="22"/>
  <c r="G239" i="22"/>
  <c r="F239" i="22"/>
  <c r="E239" i="22"/>
  <c r="D239" i="22"/>
  <c r="H238" i="22"/>
  <c r="G238" i="22"/>
  <c r="F238" i="22"/>
  <c r="E238" i="22"/>
  <c r="D238" i="22"/>
  <c r="H237" i="22"/>
  <c r="G237" i="22"/>
  <c r="F237" i="22"/>
  <c r="E237" i="22"/>
  <c r="D237" i="22"/>
  <c r="H236" i="22"/>
  <c r="G236" i="22"/>
  <c r="F236" i="22"/>
  <c r="E236" i="22"/>
  <c r="D236" i="22"/>
  <c r="H235" i="22"/>
  <c r="G235" i="22"/>
  <c r="F235" i="22"/>
  <c r="E235" i="22"/>
  <c r="D235" i="22"/>
  <c r="H234" i="22"/>
  <c r="G234" i="22"/>
  <c r="F234" i="22"/>
  <c r="E234" i="22"/>
  <c r="D234" i="22"/>
  <c r="H233" i="22"/>
  <c r="G233" i="22"/>
  <c r="F233" i="22"/>
  <c r="E233" i="22"/>
  <c r="D233" i="22"/>
  <c r="H232" i="22"/>
  <c r="G232" i="22"/>
  <c r="F232" i="22"/>
  <c r="E232" i="22"/>
  <c r="D232" i="22"/>
  <c r="H231" i="22"/>
  <c r="G231" i="22"/>
  <c r="F231" i="22"/>
  <c r="E231" i="22"/>
  <c r="D231" i="22"/>
  <c r="H230" i="22"/>
  <c r="G230" i="22"/>
  <c r="F230" i="22"/>
  <c r="E230" i="22"/>
  <c r="D230" i="22"/>
  <c r="H229" i="22"/>
  <c r="G229" i="22"/>
  <c r="F229" i="22"/>
  <c r="E229" i="22"/>
  <c r="D229" i="22"/>
  <c r="H228" i="22"/>
  <c r="G228" i="22"/>
  <c r="F228" i="22"/>
  <c r="E228" i="22"/>
  <c r="D228" i="22"/>
  <c r="H227" i="22"/>
  <c r="G227" i="22"/>
  <c r="F227" i="22"/>
  <c r="E227" i="22"/>
  <c r="D227" i="22"/>
  <c r="H226" i="22"/>
  <c r="G226" i="22"/>
  <c r="F226" i="22"/>
  <c r="E226" i="22"/>
  <c r="D226" i="22"/>
  <c r="H225" i="22"/>
  <c r="G225" i="22"/>
  <c r="F225" i="22"/>
  <c r="E225" i="22"/>
  <c r="D225" i="22"/>
  <c r="H224" i="22"/>
  <c r="G224" i="22"/>
  <c r="F224" i="22"/>
  <c r="E224" i="22"/>
  <c r="D224" i="22"/>
  <c r="H223" i="22"/>
  <c r="G223" i="22"/>
  <c r="F223" i="22"/>
  <c r="E223" i="22"/>
  <c r="D223" i="22"/>
  <c r="G218" i="22"/>
  <c r="F218" i="22"/>
  <c r="E218" i="22"/>
  <c r="D218" i="22"/>
  <c r="G217" i="22"/>
  <c r="F217" i="22"/>
  <c r="E217" i="22"/>
  <c r="D217" i="22"/>
  <c r="G216" i="22"/>
  <c r="F216" i="22"/>
  <c r="E216" i="22"/>
  <c r="D216" i="22"/>
  <c r="G215" i="22"/>
  <c r="F215" i="22"/>
  <c r="E215" i="22"/>
  <c r="D215" i="22"/>
  <c r="G211" i="22"/>
  <c r="F211" i="22"/>
  <c r="E211" i="22"/>
  <c r="D211" i="22"/>
  <c r="G210" i="22"/>
  <c r="F210" i="22"/>
  <c r="E210" i="22"/>
  <c r="D210" i="22"/>
  <c r="G209" i="22"/>
  <c r="F209" i="22"/>
  <c r="E209" i="22"/>
  <c r="D209" i="22"/>
  <c r="G208" i="22"/>
  <c r="F208" i="22"/>
  <c r="E208" i="22"/>
  <c r="D208" i="22"/>
  <c r="G207" i="22"/>
  <c r="F207" i="22"/>
  <c r="E207" i="22"/>
  <c r="D207" i="22"/>
  <c r="G206" i="22"/>
  <c r="F206" i="22"/>
  <c r="E206" i="22"/>
  <c r="D206" i="22"/>
  <c r="G205" i="22"/>
  <c r="F205" i="22"/>
  <c r="E205" i="22"/>
  <c r="D205" i="22"/>
  <c r="G204" i="22"/>
  <c r="F204" i="22"/>
  <c r="E204" i="22"/>
  <c r="D204" i="22"/>
  <c r="G203" i="22"/>
  <c r="F203" i="22"/>
  <c r="E203" i="22"/>
  <c r="D203" i="22"/>
  <c r="G202" i="22"/>
  <c r="F202" i="22"/>
  <c r="E202" i="22"/>
  <c r="D202" i="22"/>
  <c r="G201" i="22"/>
  <c r="F201" i="22"/>
  <c r="E201" i="22"/>
  <c r="D201" i="22"/>
  <c r="G200" i="22"/>
  <c r="F200" i="22"/>
  <c r="E200" i="22"/>
  <c r="D200" i="22"/>
  <c r="G199" i="22"/>
  <c r="F199" i="22"/>
  <c r="E199" i="22"/>
  <c r="D199" i="22"/>
  <c r="G198" i="22"/>
  <c r="F198" i="22"/>
  <c r="E198" i="22"/>
  <c r="D198" i="22"/>
  <c r="G197" i="22"/>
  <c r="F197" i="22"/>
  <c r="E197" i="22"/>
  <c r="D197" i="22"/>
  <c r="G196" i="22"/>
  <c r="F196" i="22"/>
  <c r="E196" i="22"/>
  <c r="D196" i="22"/>
  <c r="G195" i="22"/>
  <c r="F195" i="22"/>
  <c r="E195" i="22"/>
  <c r="D195" i="22"/>
  <c r="G194" i="22"/>
  <c r="F194" i="22"/>
  <c r="E194" i="22"/>
  <c r="D194" i="22"/>
  <c r="G193" i="22"/>
  <c r="F193" i="22"/>
  <c r="E193" i="22"/>
  <c r="D193" i="22"/>
  <c r="G192" i="22"/>
  <c r="F192" i="22"/>
  <c r="E192" i="22"/>
  <c r="D192" i="22"/>
  <c r="G191" i="22"/>
  <c r="F191" i="22"/>
  <c r="E191" i="22"/>
  <c r="D191" i="22"/>
  <c r="G190" i="22"/>
  <c r="F190" i="22"/>
  <c r="E190" i="22"/>
  <c r="D190" i="22"/>
  <c r="G189" i="22"/>
  <c r="F189" i="22"/>
  <c r="E189" i="22"/>
  <c r="D189" i="22"/>
  <c r="G188" i="22"/>
  <c r="F188" i="22"/>
  <c r="E188" i="22"/>
  <c r="D188" i="22"/>
  <c r="G187" i="22"/>
  <c r="F187" i="22"/>
  <c r="E187" i="22"/>
  <c r="D187" i="22"/>
  <c r="G186" i="22"/>
  <c r="F186" i="22"/>
  <c r="E186" i="22"/>
  <c r="D186" i="22"/>
  <c r="G185" i="22"/>
  <c r="F185" i="22"/>
  <c r="E185" i="22"/>
  <c r="D185" i="22"/>
  <c r="G184" i="22"/>
  <c r="F184" i="22"/>
  <c r="E184" i="22"/>
  <c r="D184" i="22"/>
  <c r="G183" i="22"/>
  <c r="F183" i="22"/>
  <c r="E183" i="22"/>
  <c r="D183" i="22"/>
  <c r="G182" i="22"/>
  <c r="F182" i="22"/>
  <c r="E182" i="22"/>
  <c r="D182" i="22"/>
  <c r="G181" i="22"/>
  <c r="F181" i="22"/>
  <c r="E181" i="22"/>
  <c r="D181" i="22"/>
  <c r="G180" i="22"/>
  <c r="F180" i="22"/>
  <c r="E180" i="22"/>
  <c r="D180" i="22"/>
  <c r="G179" i="22"/>
  <c r="F179" i="22"/>
  <c r="E179" i="22"/>
  <c r="D179" i="22"/>
  <c r="G178" i="22"/>
  <c r="F178" i="22"/>
  <c r="E178" i="22"/>
  <c r="D178" i="22"/>
  <c r="G177" i="22"/>
  <c r="F177" i="22"/>
  <c r="E177" i="22"/>
  <c r="D177" i="22"/>
  <c r="G176" i="22"/>
  <c r="F176" i="22"/>
  <c r="E176" i="22"/>
  <c r="D176" i="22"/>
  <c r="G172" i="22"/>
  <c r="F172" i="22"/>
  <c r="E172" i="22"/>
  <c r="D172" i="22"/>
  <c r="G171" i="22"/>
  <c r="F171" i="22"/>
  <c r="E171" i="22"/>
  <c r="D171" i="22"/>
  <c r="G170" i="22"/>
  <c r="F170" i="22"/>
  <c r="E170" i="22"/>
  <c r="D170" i="22"/>
  <c r="G169" i="22"/>
  <c r="F169" i="22"/>
  <c r="E169" i="22"/>
  <c r="D169" i="22"/>
  <c r="G168" i="22"/>
  <c r="F168" i="22"/>
  <c r="E168" i="22"/>
  <c r="D168" i="22"/>
  <c r="G167" i="22"/>
  <c r="F167" i="22"/>
  <c r="E167" i="22"/>
  <c r="D167" i="22"/>
  <c r="H163" i="22"/>
  <c r="G163" i="22"/>
  <c r="F163" i="22"/>
  <c r="E163" i="22"/>
  <c r="D163" i="22"/>
  <c r="H162" i="22"/>
  <c r="G162" i="22"/>
  <c r="F162" i="22"/>
  <c r="E162" i="22"/>
  <c r="D162" i="22"/>
  <c r="H161" i="22"/>
  <c r="G161" i="22"/>
  <c r="F161" i="22"/>
  <c r="E161" i="22"/>
  <c r="D161" i="22"/>
  <c r="H160" i="22"/>
  <c r="G160" i="22"/>
  <c r="F160" i="22"/>
  <c r="E160" i="22"/>
  <c r="D160" i="22"/>
  <c r="H159" i="22"/>
  <c r="G159" i="22"/>
  <c r="F159" i="22"/>
  <c r="E159" i="22"/>
  <c r="D159" i="22"/>
  <c r="H158" i="22"/>
  <c r="G158" i="22"/>
  <c r="F158" i="22"/>
  <c r="E158" i="22"/>
  <c r="D158" i="22"/>
  <c r="H157" i="22"/>
  <c r="G157" i="22"/>
  <c r="F157" i="22"/>
  <c r="E157" i="22"/>
  <c r="D157" i="22"/>
  <c r="H156" i="22"/>
  <c r="G156" i="22"/>
  <c r="F156" i="22"/>
  <c r="E156" i="22"/>
  <c r="D156" i="22"/>
  <c r="H155" i="22"/>
  <c r="G155" i="22"/>
  <c r="F155" i="22"/>
  <c r="E155" i="22"/>
  <c r="D155" i="22"/>
  <c r="H154" i="22"/>
  <c r="G154" i="22"/>
  <c r="F154" i="22"/>
  <c r="E154" i="22"/>
  <c r="D154" i="22"/>
  <c r="H153" i="22"/>
  <c r="G153" i="22"/>
  <c r="F153" i="22"/>
  <c r="E153" i="22"/>
  <c r="D153" i="22"/>
  <c r="H152" i="22"/>
  <c r="G152" i="22"/>
  <c r="F152" i="22"/>
  <c r="E152" i="22"/>
  <c r="D152" i="22"/>
  <c r="H151" i="22"/>
  <c r="G151" i="22"/>
  <c r="F151" i="22"/>
  <c r="E151" i="22"/>
  <c r="D151" i="22"/>
  <c r="H150" i="22"/>
  <c r="G150" i="22"/>
  <c r="F150" i="22"/>
  <c r="E150" i="22"/>
  <c r="D150" i="22"/>
  <c r="H149" i="22"/>
  <c r="G149" i="22"/>
  <c r="F149" i="22"/>
  <c r="E149" i="22"/>
  <c r="D149" i="22"/>
  <c r="H148" i="22"/>
  <c r="G148" i="22"/>
  <c r="F148" i="22"/>
  <c r="E148" i="22"/>
  <c r="D148" i="22"/>
  <c r="H147" i="22"/>
  <c r="G147" i="22"/>
  <c r="F147" i="22"/>
  <c r="E147" i="22"/>
  <c r="D147" i="22"/>
  <c r="H146" i="22"/>
  <c r="G146" i="22"/>
  <c r="F146" i="22"/>
  <c r="E146" i="22"/>
  <c r="D146" i="22"/>
  <c r="H145" i="22"/>
  <c r="G145" i="22"/>
  <c r="F145" i="22"/>
  <c r="E145" i="22"/>
  <c r="D145" i="22"/>
  <c r="H144" i="22"/>
  <c r="G144" i="22"/>
  <c r="F144" i="22"/>
  <c r="E144" i="22"/>
  <c r="D144" i="22"/>
  <c r="H143" i="22"/>
  <c r="G143" i="22"/>
  <c r="F143" i="22"/>
  <c r="E143" i="22"/>
  <c r="D143" i="22"/>
  <c r="H142" i="22"/>
  <c r="G142" i="22"/>
  <c r="F142" i="22"/>
  <c r="E142" i="22"/>
  <c r="D142" i="22"/>
  <c r="H141" i="22"/>
  <c r="G141" i="22"/>
  <c r="F141" i="22"/>
  <c r="E141" i="22"/>
  <c r="D141" i="22"/>
  <c r="H140" i="22"/>
  <c r="G140" i="22"/>
  <c r="F140" i="22"/>
  <c r="E140" i="22"/>
  <c r="D140" i="22"/>
  <c r="H136" i="22"/>
  <c r="G136" i="22"/>
  <c r="F136" i="22"/>
  <c r="E136" i="22"/>
  <c r="D136" i="22"/>
  <c r="H135" i="22"/>
  <c r="G135" i="22"/>
  <c r="F135" i="22"/>
  <c r="E135" i="22"/>
  <c r="D135" i="22"/>
  <c r="H134" i="22"/>
  <c r="G134" i="22"/>
  <c r="F134" i="22"/>
  <c r="E134" i="22"/>
  <c r="D134" i="22"/>
  <c r="H133" i="22"/>
  <c r="G133" i="22"/>
  <c r="F133" i="22"/>
  <c r="E133" i="22"/>
  <c r="D133" i="22"/>
  <c r="H132" i="22"/>
  <c r="G132" i="22"/>
  <c r="F132" i="22"/>
  <c r="E132" i="22"/>
  <c r="D132" i="22"/>
  <c r="H131" i="22"/>
  <c r="G131" i="22"/>
  <c r="F131" i="22"/>
  <c r="E131" i="22"/>
  <c r="D131" i="22"/>
  <c r="H130" i="22"/>
  <c r="G130" i="22"/>
  <c r="F130" i="22"/>
  <c r="E130" i="22"/>
  <c r="D130" i="22"/>
  <c r="H129" i="22"/>
  <c r="G129" i="22"/>
  <c r="F129" i="22"/>
  <c r="E129" i="22"/>
  <c r="D129" i="22"/>
  <c r="H128" i="22"/>
  <c r="G128" i="22"/>
  <c r="F128" i="22"/>
  <c r="E128" i="22"/>
  <c r="D128" i="22"/>
  <c r="H127" i="22"/>
  <c r="G127" i="22"/>
  <c r="F127" i="22"/>
  <c r="E127" i="22"/>
  <c r="D127" i="22"/>
  <c r="H126" i="22"/>
  <c r="G126" i="22"/>
  <c r="F126" i="22"/>
  <c r="E126" i="22"/>
  <c r="D126" i="22"/>
  <c r="H125" i="22"/>
  <c r="G125" i="22"/>
  <c r="F125" i="22"/>
  <c r="E125" i="22"/>
  <c r="D125" i="22"/>
  <c r="H124" i="22"/>
  <c r="G124" i="22"/>
  <c r="F124" i="22"/>
  <c r="E124" i="22"/>
  <c r="D124" i="22"/>
  <c r="H123" i="22"/>
  <c r="G123" i="22"/>
  <c r="F123" i="22"/>
  <c r="E123" i="22"/>
  <c r="D123" i="22"/>
  <c r="H122" i="22"/>
  <c r="G122" i="22"/>
  <c r="F122" i="22"/>
  <c r="E122" i="22"/>
  <c r="D122" i="22"/>
  <c r="H121" i="22"/>
  <c r="G121" i="22"/>
  <c r="F121" i="22"/>
  <c r="E121" i="22"/>
  <c r="D121" i="22"/>
  <c r="H120" i="22"/>
  <c r="G120" i="22"/>
  <c r="F120" i="22"/>
  <c r="E120" i="22"/>
  <c r="D120" i="22"/>
  <c r="H119" i="22"/>
  <c r="G119" i="22"/>
  <c r="F119" i="22"/>
  <c r="E119" i="22"/>
  <c r="D119" i="22"/>
  <c r="H118" i="22"/>
  <c r="G118" i="22"/>
  <c r="F118" i="22"/>
  <c r="E118" i="22"/>
  <c r="D118" i="22"/>
  <c r="H117" i="22"/>
  <c r="G117" i="22"/>
  <c r="F117" i="22"/>
  <c r="E117" i="22"/>
  <c r="D117" i="22"/>
  <c r="H116" i="22"/>
  <c r="G116" i="22"/>
  <c r="F116" i="22"/>
  <c r="E116" i="22"/>
  <c r="D116" i="22"/>
  <c r="H115" i="22"/>
  <c r="G115" i="22"/>
  <c r="F115" i="22"/>
  <c r="E115" i="22"/>
  <c r="D115" i="22"/>
  <c r="H114" i="22"/>
  <c r="G114" i="22"/>
  <c r="F114" i="22"/>
  <c r="E114" i="22"/>
  <c r="D114" i="22"/>
  <c r="H113" i="22"/>
  <c r="G113" i="22"/>
  <c r="F113" i="22"/>
  <c r="E113" i="22"/>
  <c r="D113" i="22"/>
  <c r="F79" i="21"/>
  <c r="E79" i="21"/>
  <c r="D79" i="21"/>
  <c r="C79" i="21"/>
  <c r="F78" i="21"/>
  <c r="E78" i="21"/>
  <c r="D78" i="21"/>
  <c r="C78" i="21"/>
  <c r="F77" i="21"/>
  <c r="E77" i="21"/>
  <c r="D77" i="21"/>
  <c r="C77" i="21"/>
  <c r="F76" i="21"/>
  <c r="E76" i="21"/>
  <c r="D76" i="21"/>
  <c r="C76" i="21"/>
  <c r="F75" i="21"/>
  <c r="E75" i="21"/>
  <c r="D75" i="21"/>
  <c r="C75" i="21"/>
  <c r="F74" i="21"/>
  <c r="E74" i="21"/>
  <c r="D74" i="21"/>
  <c r="C74" i="21"/>
  <c r="F73" i="21"/>
  <c r="E73" i="21"/>
  <c r="D73" i="21"/>
  <c r="C73" i="21"/>
  <c r="F72" i="21"/>
  <c r="E72" i="21"/>
  <c r="D72" i="21"/>
  <c r="C72" i="21"/>
  <c r="F69" i="21"/>
  <c r="E69" i="21"/>
  <c r="D69" i="21"/>
  <c r="C69" i="21"/>
  <c r="F68" i="21"/>
  <c r="E68" i="21"/>
  <c r="D68" i="21"/>
  <c r="C68" i="21"/>
  <c r="F67" i="21"/>
  <c r="E67" i="21"/>
  <c r="D67" i="21"/>
  <c r="C67" i="21"/>
  <c r="F63" i="21"/>
  <c r="E63" i="21"/>
  <c r="D63" i="21"/>
  <c r="C63" i="21"/>
  <c r="F61" i="21"/>
  <c r="E61" i="21"/>
  <c r="D61" i="21"/>
  <c r="C61" i="21"/>
  <c r="F60" i="21"/>
  <c r="E60" i="21"/>
  <c r="D60" i="21"/>
  <c r="C60" i="21"/>
  <c r="F59" i="21"/>
  <c r="E59" i="21"/>
  <c r="D59" i="21"/>
  <c r="C59" i="21"/>
  <c r="F58" i="21"/>
  <c r="E58" i="21"/>
  <c r="D58" i="21"/>
  <c r="C58" i="21"/>
  <c r="F52" i="21"/>
  <c r="E52" i="21"/>
  <c r="D52" i="21"/>
  <c r="C52" i="21"/>
  <c r="F51" i="21"/>
  <c r="E51" i="21"/>
  <c r="D51" i="21"/>
  <c r="C51" i="21"/>
  <c r="F50" i="21"/>
  <c r="E50" i="21"/>
  <c r="D50" i="21"/>
  <c r="C50" i="21"/>
  <c r="F49" i="21"/>
  <c r="E49" i="21"/>
  <c r="D49" i="21"/>
  <c r="C49" i="21"/>
  <c r="F48" i="21"/>
  <c r="E48" i="21"/>
  <c r="D48" i="21"/>
  <c r="C48" i="21"/>
  <c r="F47" i="21"/>
  <c r="E47" i="21"/>
  <c r="D47" i="21"/>
  <c r="C47" i="21"/>
  <c r="F46" i="21"/>
  <c r="E46" i="21"/>
  <c r="D46" i="21"/>
  <c r="C46" i="21"/>
  <c r="F45" i="21"/>
  <c r="E45" i="21"/>
  <c r="D45" i="21"/>
  <c r="C45" i="21"/>
  <c r="F42" i="21"/>
  <c r="E42" i="21"/>
  <c r="D42" i="21"/>
  <c r="C42" i="21"/>
  <c r="F41" i="21"/>
  <c r="E41" i="21"/>
  <c r="D41" i="21"/>
  <c r="C41" i="21"/>
  <c r="F40" i="21"/>
  <c r="E40" i="21"/>
  <c r="D40" i="21"/>
  <c r="C40" i="21"/>
  <c r="F36" i="21"/>
  <c r="E36" i="21"/>
  <c r="D36" i="21"/>
  <c r="C36" i="21"/>
  <c r="F34" i="21"/>
  <c r="E34" i="21"/>
  <c r="D34" i="21"/>
  <c r="C34" i="21"/>
  <c r="F33" i="21"/>
  <c r="E33" i="21"/>
  <c r="D33" i="21"/>
  <c r="C33" i="21"/>
  <c r="F32" i="21"/>
  <c r="E32" i="21"/>
  <c r="D32" i="21"/>
  <c r="C32" i="21"/>
  <c r="F31" i="21"/>
  <c r="E31" i="21"/>
  <c r="D31" i="21"/>
  <c r="C31" i="21"/>
  <c r="H157" i="20"/>
  <c r="G157" i="20"/>
  <c r="F157" i="20"/>
  <c r="E157" i="20"/>
  <c r="D157" i="20"/>
  <c r="H156" i="20"/>
  <c r="G156" i="20"/>
  <c r="F156" i="20"/>
  <c r="E156" i="20"/>
  <c r="D156" i="20"/>
  <c r="H155" i="20"/>
  <c r="G155" i="20"/>
  <c r="F155" i="20"/>
  <c r="E155" i="20"/>
  <c r="D155" i="20"/>
  <c r="H154" i="20"/>
  <c r="G154" i="20"/>
  <c r="F154" i="20"/>
  <c r="E154" i="20"/>
  <c r="D154" i="20"/>
  <c r="H153" i="20"/>
  <c r="G153" i="20"/>
  <c r="F153" i="20"/>
  <c r="E153" i="20"/>
  <c r="D153" i="20"/>
  <c r="H152" i="20"/>
  <c r="G152" i="20"/>
  <c r="F152" i="20"/>
  <c r="E152" i="20"/>
  <c r="D152" i="20"/>
  <c r="H151" i="20"/>
  <c r="G151" i="20"/>
  <c r="F151" i="20"/>
  <c r="E151" i="20"/>
  <c r="D151" i="20"/>
  <c r="H150" i="20"/>
  <c r="G150" i="20"/>
  <c r="F150" i="20"/>
  <c r="E150" i="20"/>
  <c r="D150" i="20"/>
  <c r="H149" i="20"/>
  <c r="G149" i="20"/>
  <c r="F149" i="20"/>
  <c r="E149" i="20"/>
  <c r="D149" i="20"/>
  <c r="H148" i="20"/>
  <c r="G148" i="20"/>
  <c r="F148" i="20"/>
  <c r="E148" i="20"/>
  <c r="D148" i="20"/>
  <c r="H147" i="20"/>
  <c r="G147" i="20"/>
  <c r="F147" i="20"/>
  <c r="E147" i="20"/>
  <c r="D147" i="20"/>
  <c r="H146" i="20"/>
  <c r="G146" i="20"/>
  <c r="F146" i="20"/>
  <c r="E146" i="20"/>
  <c r="D146" i="20"/>
  <c r="H145" i="20"/>
  <c r="G145" i="20"/>
  <c r="F145" i="20"/>
  <c r="E145" i="20"/>
  <c r="D145" i="20"/>
  <c r="H144" i="20"/>
  <c r="G144" i="20"/>
  <c r="F144" i="20"/>
  <c r="E144" i="20"/>
  <c r="D144" i="20"/>
  <c r="H143" i="20"/>
  <c r="G143" i="20"/>
  <c r="F143" i="20"/>
  <c r="E143" i="20"/>
  <c r="D143" i="20"/>
  <c r="H142" i="20"/>
  <c r="G142" i="20"/>
  <c r="F142" i="20"/>
  <c r="E142" i="20"/>
  <c r="D142" i="20"/>
  <c r="H140" i="20"/>
  <c r="G140" i="20"/>
  <c r="F140" i="20"/>
  <c r="E140" i="20"/>
  <c r="D140" i="20"/>
  <c r="H139" i="20"/>
  <c r="G139" i="20"/>
  <c r="F139" i="20"/>
  <c r="E139" i="20"/>
  <c r="D139" i="20"/>
  <c r="H138" i="20"/>
  <c r="G138" i="20"/>
  <c r="F138" i="20"/>
  <c r="E138" i="20"/>
  <c r="D138" i="20"/>
  <c r="H137" i="20"/>
  <c r="G137" i="20"/>
  <c r="F137" i="20"/>
  <c r="E137" i="20"/>
  <c r="D137" i="20"/>
  <c r="H136" i="20"/>
  <c r="G136" i="20"/>
  <c r="F136" i="20"/>
  <c r="E136" i="20"/>
  <c r="D136" i="20"/>
  <c r="H135" i="20"/>
  <c r="G135" i="20"/>
  <c r="F135" i="20"/>
  <c r="E135" i="20"/>
  <c r="D135" i="20"/>
  <c r="H134" i="20"/>
  <c r="G134" i="20"/>
  <c r="F134" i="20"/>
  <c r="E134" i="20"/>
  <c r="D134" i="20"/>
  <c r="H133" i="20"/>
  <c r="G133" i="20"/>
  <c r="F133" i="20"/>
  <c r="E133" i="20"/>
  <c r="D133" i="20"/>
  <c r="H132" i="20"/>
  <c r="G132" i="20"/>
  <c r="F132" i="20"/>
  <c r="E132" i="20"/>
  <c r="D132" i="20"/>
  <c r="H131" i="20"/>
  <c r="G131" i="20"/>
  <c r="F131" i="20"/>
  <c r="E131" i="20"/>
  <c r="D131" i="20"/>
  <c r="H130" i="20"/>
  <c r="G130" i="20"/>
  <c r="F130" i="20"/>
  <c r="E130" i="20"/>
  <c r="D130" i="20"/>
  <c r="H129" i="20"/>
  <c r="G129" i="20"/>
  <c r="F129" i="20"/>
  <c r="E129" i="20"/>
  <c r="D129" i="20"/>
  <c r="H128" i="20"/>
  <c r="G128" i="20"/>
  <c r="F128" i="20"/>
  <c r="E128" i="20"/>
  <c r="D128" i="20"/>
  <c r="H127" i="20"/>
  <c r="G127" i="20"/>
  <c r="F127" i="20"/>
  <c r="E127" i="20"/>
  <c r="D127" i="20"/>
  <c r="H126" i="20"/>
  <c r="G126" i="20"/>
  <c r="F126" i="20"/>
  <c r="E126" i="20"/>
  <c r="D126" i="20"/>
  <c r="H125" i="20"/>
  <c r="G125" i="20"/>
  <c r="F125" i="20"/>
  <c r="E125" i="20"/>
  <c r="D125" i="20"/>
  <c r="H123" i="20"/>
  <c r="G123" i="20"/>
  <c r="F123" i="20"/>
  <c r="E123" i="20"/>
  <c r="D123" i="20"/>
  <c r="H122" i="20"/>
  <c r="G122" i="20"/>
  <c r="F122" i="20"/>
  <c r="E122" i="20"/>
  <c r="D122" i="20"/>
  <c r="H121" i="20"/>
  <c r="H120" i="20"/>
  <c r="F120" i="20"/>
  <c r="E120" i="20"/>
  <c r="D120" i="20"/>
  <c r="H119" i="20"/>
  <c r="G119" i="20"/>
  <c r="F119" i="20"/>
  <c r="E119" i="20"/>
  <c r="H118" i="20"/>
  <c r="H117" i="20"/>
  <c r="G117" i="20"/>
  <c r="E117" i="20"/>
  <c r="D117" i="20"/>
  <c r="H116" i="20"/>
  <c r="G116" i="20"/>
  <c r="F116" i="20"/>
  <c r="H115" i="20"/>
  <c r="D115" i="20"/>
  <c r="H114" i="20"/>
  <c r="G114" i="20"/>
  <c r="F114" i="20"/>
  <c r="D114" i="20"/>
  <c r="H113" i="20"/>
  <c r="G113" i="20"/>
  <c r="H112" i="20"/>
  <c r="F112" i="20"/>
  <c r="E112" i="20"/>
  <c r="H111" i="20"/>
  <c r="G111" i="20"/>
  <c r="F111" i="20"/>
  <c r="E111" i="20"/>
  <c r="H110" i="20"/>
  <c r="G110" i="20"/>
  <c r="F110" i="20"/>
  <c r="E110" i="20"/>
  <c r="D110" i="20"/>
  <c r="H109" i="20"/>
  <c r="G109" i="20"/>
  <c r="F109" i="20"/>
  <c r="E109" i="20"/>
  <c r="D109" i="20"/>
  <c r="H108" i="20"/>
  <c r="G108" i="20"/>
  <c r="F108" i="20"/>
  <c r="E108" i="20"/>
  <c r="D108" i="20"/>
  <c r="H104" i="20"/>
  <c r="G104" i="20"/>
  <c r="F104" i="20"/>
  <c r="E104" i="20"/>
  <c r="D104" i="20"/>
  <c r="H103" i="20"/>
  <c r="G103" i="20"/>
  <c r="F103" i="20"/>
  <c r="E103" i="20"/>
  <c r="D103" i="20"/>
  <c r="H102" i="20"/>
  <c r="G102" i="20"/>
  <c r="F102" i="20"/>
  <c r="E102" i="20"/>
  <c r="D102" i="20"/>
  <c r="H101" i="20"/>
  <c r="G101" i="20"/>
  <c r="F101" i="20"/>
  <c r="E101" i="20"/>
  <c r="D101" i="20"/>
  <c r="H100" i="20"/>
  <c r="G100" i="20"/>
  <c r="F100" i="20"/>
  <c r="E100" i="20"/>
  <c r="D100" i="20"/>
  <c r="H99" i="20"/>
  <c r="G99" i="20"/>
  <c r="F99" i="20"/>
  <c r="E99" i="20"/>
  <c r="D99" i="20"/>
  <c r="H98" i="20"/>
  <c r="G98" i="20"/>
  <c r="F98" i="20"/>
  <c r="E98" i="20"/>
  <c r="D98" i="20"/>
  <c r="H97" i="20"/>
  <c r="G97" i="20"/>
  <c r="F97" i="20"/>
  <c r="E97" i="20"/>
  <c r="D97" i="20"/>
  <c r="H96" i="20"/>
  <c r="G96" i="20"/>
  <c r="F96" i="20"/>
  <c r="E96" i="20"/>
  <c r="D96" i="20"/>
  <c r="H95" i="20"/>
  <c r="G95" i="20"/>
  <c r="F95" i="20"/>
  <c r="E95" i="20"/>
  <c r="D95" i="20"/>
  <c r="H94" i="20"/>
  <c r="G94" i="20"/>
  <c r="F94" i="20"/>
  <c r="E94" i="20"/>
  <c r="D94" i="20"/>
  <c r="H93" i="20"/>
  <c r="G93" i="20"/>
  <c r="F93" i="20"/>
  <c r="E93" i="20"/>
  <c r="D93" i="20"/>
  <c r="H92" i="20"/>
  <c r="G92" i="20"/>
  <c r="F92" i="20"/>
  <c r="E92" i="20"/>
  <c r="D92" i="20"/>
  <c r="H91" i="20"/>
  <c r="G91" i="20"/>
  <c r="F91" i="20"/>
  <c r="E91" i="20"/>
  <c r="D91" i="20"/>
  <c r="H90" i="20"/>
  <c r="G90" i="20"/>
  <c r="F90" i="20"/>
  <c r="E90" i="20"/>
  <c r="D90" i="20"/>
  <c r="H89" i="20"/>
  <c r="G89" i="20"/>
  <c r="F89" i="20"/>
  <c r="E89" i="20"/>
  <c r="D89" i="20"/>
  <c r="H87" i="20"/>
  <c r="G87" i="20"/>
  <c r="F87" i="20"/>
  <c r="E87" i="20"/>
  <c r="D87" i="20"/>
  <c r="H86" i="20"/>
  <c r="G86" i="20"/>
  <c r="F86" i="20"/>
  <c r="E86" i="20"/>
  <c r="D86" i="20"/>
  <c r="H85" i="20"/>
  <c r="G85" i="20"/>
  <c r="F85" i="20"/>
  <c r="E85" i="20"/>
  <c r="D85" i="20"/>
  <c r="H84" i="20"/>
  <c r="G84" i="20"/>
  <c r="F84" i="20"/>
  <c r="E84" i="20"/>
  <c r="D84" i="20"/>
  <c r="H83" i="20"/>
  <c r="G83" i="20"/>
  <c r="F83" i="20"/>
  <c r="E83" i="20"/>
  <c r="D83" i="20"/>
  <c r="H82" i="20"/>
  <c r="G82" i="20"/>
  <c r="F82" i="20"/>
  <c r="E82" i="20"/>
  <c r="D82" i="20"/>
  <c r="H81" i="20"/>
  <c r="G81" i="20"/>
  <c r="F81" i="20"/>
  <c r="E81" i="20"/>
  <c r="D81" i="20"/>
  <c r="H80" i="20"/>
  <c r="G80" i="20"/>
  <c r="F80" i="20"/>
  <c r="E80" i="20"/>
  <c r="D80" i="20"/>
  <c r="H79" i="20"/>
  <c r="G79" i="20"/>
  <c r="F79" i="20"/>
  <c r="E79" i="20"/>
  <c r="D79" i="20"/>
  <c r="H78" i="20"/>
  <c r="G78" i="20"/>
  <c r="F78" i="20"/>
  <c r="E78" i="20"/>
  <c r="D78" i="20"/>
  <c r="H77" i="20"/>
  <c r="G77" i="20"/>
  <c r="F77" i="20"/>
  <c r="E77" i="20"/>
  <c r="D77" i="20"/>
  <c r="H76" i="20"/>
  <c r="G76" i="20"/>
  <c r="F76" i="20"/>
  <c r="E76" i="20"/>
  <c r="D76" i="20"/>
  <c r="H75" i="20"/>
  <c r="G75" i="20"/>
  <c r="F75" i="20"/>
  <c r="E75" i="20"/>
  <c r="D75" i="20"/>
  <c r="H74" i="20"/>
  <c r="G74" i="20"/>
  <c r="F74" i="20"/>
  <c r="E74" i="20"/>
  <c r="D74" i="20"/>
  <c r="H73" i="20"/>
  <c r="G73" i="20"/>
  <c r="F73" i="20"/>
  <c r="E73" i="20"/>
  <c r="D73" i="20"/>
  <c r="H72" i="20"/>
  <c r="G72" i="20"/>
  <c r="F72" i="20"/>
  <c r="E72" i="20"/>
  <c r="D72" i="20"/>
  <c r="H70" i="20"/>
  <c r="G70" i="20"/>
  <c r="F70" i="20"/>
  <c r="E70" i="20"/>
  <c r="D70" i="20"/>
  <c r="H69" i="20"/>
  <c r="G69" i="20"/>
  <c r="F69" i="20"/>
  <c r="E69" i="20"/>
  <c r="D69" i="20"/>
  <c r="H68" i="20"/>
  <c r="F68" i="20"/>
  <c r="F121" i="20" s="1"/>
  <c r="E68" i="20"/>
  <c r="E121" i="20" s="1"/>
  <c r="D68" i="20"/>
  <c r="D121" i="20" s="1"/>
  <c r="H67" i="20"/>
  <c r="F67" i="20"/>
  <c r="E67" i="20"/>
  <c r="D67" i="20"/>
  <c r="H66" i="20"/>
  <c r="G66" i="20"/>
  <c r="F66" i="20"/>
  <c r="E66" i="20"/>
  <c r="D66" i="20"/>
  <c r="D119" i="20" s="1"/>
  <c r="H65" i="20"/>
  <c r="G65" i="20"/>
  <c r="G118" i="20" s="1"/>
  <c r="E65" i="20"/>
  <c r="E118" i="20" s="1"/>
  <c r="D65" i="20"/>
  <c r="D118" i="20" s="1"/>
  <c r="H64" i="20"/>
  <c r="G64" i="20"/>
  <c r="E64" i="20"/>
  <c r="D64" i="20"/>
  <c r="H63" i="20"/>
  <c r="G63" i="20"/>
  <c r="F63" i="20"/>
  <c r="E63" i="20"/>
  <c r="E116" i="20" s="1"/>
  <c r="D63" i="20"/>
  <c r="D116" i="20" s="1"/>
  <c r="H62" i="20"/>
  <c r="G62" i="20"/>
  <c r="G115" i="20" s="1"/>
  <c r="F62" i="20"/>
  <c r="F115" i="20" s="1"/>
  <c r="D62" i="20"/>
  <c r="H61" i="20"/>
  <c r="G61" i="20"/>
  <c r="F61" i="20"/>
  <c r="D61" i="20"/>
  <c r="H60" i="20"/>
  <c r="G60" i="20"/>
  <c r="F60" i="20"/>
  <c r="F113" i="20" s="1"/>
  <c r="E60" i="20"/>
  <c r="E113" i="20" s="1"/>
  <c r="D60" i="20"/>
  <c r="D113" i="20" s="1"/>
  <c r="H59" i="20"/>
  <c r="G59" i="20"/>
  <c r="G112" i="20" s="1"/>
  <c r="F59" i="20"/>
  <c r="E59" i="20"/>
  <c r="H58" i="20"/>
  <c r="G58" i="20"/>
  <c r="F58" i="20"/>
  <c r="E58" i="20"/>
  <c r="H57" i="20"/>
  <c r="G57" i="20"/>
  <c r="F57" i="20"/>
  <c r="E57" i="20"/>
  <c r="D57" i="20"/>
  <c r="H56" i="20"/>
  <c r="G56" i="20"/>
  <c r="F56" i="20"/>
  <c r="E56" i="20"/>
  <c r="D56" i="20"/>
  <c r="H55" i="20"/>
  <c r="G55" i="20"/>
  <c r="F55" i="20"/>
  <c r="E55" i="20"/>
  <c r="D55" i="20"/>
  <c r="E10" i="16"/>
  <c r="E9" i="16"/>
  <c r="E8" i="16"/>
  <c r="E7" i="16"/>
  <c r="E6" i="16"/>
  <c r="E5" i="16"/>
  <c r="E4" i="16"/>
  <c r="E3" i="16"/>
  <c r="E2" i="16"/>
  <c r="F4" i="13"/>
  <c r="E4" i="13"/>
  <c r="D4" i="13"/>
  <c r="C4" i="13"/>
  <c r="B4" i="13"/>
  <c r="F3" i="13"/>
  <c r="E3" i="13"/>
  <c r="D3" i="13"/>
  <c r="C3" i="13"/>
  <c r="B3" i="13"/>
  <c r="F2" i="13"/>
  <c r="E2" i="13"/>
  <c r="D2" i="13"/>
  <c r="C2" i="13"/>
  <c r="B2" i="13"/>
  <c r="E20" i="8"/>
  <c r="E19" i="8"/>
  <c r="E18" i="8"/>
  <c r="E17" i="8"/>
  <c r="E16" i="8"/>
  <c r="E13" i="8"/>
  <c r="E12" i="8"/>
  <c r="E11" i="8"/>
  <c r="E10" i="8"/>
  <c r="E9" i="8"/>
  <c r="E6" i="8"/>
  <c r="E5" i="8"/>
  <c r="E4" i="8"/>
  <c r="E3" i="8"/>
  <c r="E2" i="8"/>
  <c r="G5" i="5"/>
  <c r="F5" i="5"/>
  <c r="E5" i="5"/>
  <c r="O15" i="4"/>
  <c r="N15" i="4"/>
  <c r="M15" i="4"/>
  <c r="L15" i="4"/>
  <c r="K15" i="4"/>
  <c r="J15" i="4"/>
  <c r="I15" i="4"/>
  <c r="H15" i="4"/>
  <c r="G15" i="4"/>
  <c r="F15" i="4"/>
  <c r="E15" i="4"/>
  <c r="D15" i="4"/>
  <c r="C15" i="4"/>
  <c r="G9" i="4"/>
  <c r="F9" i="4"/>
  <c r="E9" i="4"/>
  <c r="D9" i="4"/>
  <c r="C9" i="4"/>
  <c r="G8" i="4"/>
  <c r="F8" i="4"/>
  <c r="E8" i="4"/>
  <c r="D8" i="4"/>
  <c r="C8" i="4"/>
  <c r="G3" i="4"/>
  <c r="F3" i="4"/>
  <c r="E3" i="4"/>
  <c r="D3" i="4"/>
  <c r="C3" i="4"/>
  <c r="G2" i="4"/>
  <c r="F2" i="4"/>
  <c r="E2" i="4"/>
  <c r="D2" i="4"/>
  <c r="C2" i="4"/>
  <c r="C35" i="3"/>
  <c r="F23" i="3"/>
  <c r="E23" i="3"/>
  <c r="D23" i="3"/>
  <c r="C23" i="3"/>
  <c r="C11" i="3"/>
  <c r="H40" i="2"/>
  <c r="G40" i="2"/>
  <c r="H39" i="2"/>
  <c r="G39" i="2"/>
  <c r="H38" i="2"/>
  <c r="G38" i="2"/>
  <c r="H13" i="2"/>
  <c r="G13" i="2"/>
  <c r="H12" i="2"/>
  <c r="G12" i="2"/>
  <c r="H11" i="2"/>
  <c r="G11" i="2"/>
  <c r="H10" i="2"/>
  <c r="G10" i="2"/>
  <c r="H9" i="2"/>
  <c r="G9" i="2"/>
  <c r="H8" i="2"/>
  <c r="G8" i="2"/>
  <c r="H7" i="2"/>
  <c r="G7" i="2"/>
  <c r="H6" i="2"/>
  <c r="G6" i="2"/>
  <c r="H5" i="2"/>
  <c r="G5" i="2"/>
  <c r="H4" i="2"/>
  <c r="G4" i="2"/>
  <c r="H3" i="2"/>
  <c r="G3" i="2"/>
  <c r="H2" i="2"/>
  <c r="G2" i="2"/>
  <c r="A2" i="2"/>
  <c r="A39" i="2" s="1"/>
  <c r="C33" i="1"/>
  <c r="C20" i="1"/>
  <c r="I9" i="2" l="1"/>
  <c r="I13" i="2"/>
  <c r="I38" i="2"/>
  <c r="A26" i="2"/>
  <c r="I39" i="2"/>
  <c r="A31" i="2"/>
  <c r="A34" i="2"/>
  <c r="A40" i="2"/>
  <c r="I2" i="2"/>
  <c r="I6" i="2"/>
  <c r="A19" i="2"/>
  <c r="A35" i="2"/>
  <c r="A22" i="2"/>
  <c r="A36" i="2"/>
  <c r="I3" i="2"/>
  <c r="I7" i="2"/>
  <c r="I11" i="2"/>
  <c r="A23" i="2"/>
  <c r="A37" i="2"/>
  <c r="A24" i="2"/>
  <c r="I4" i="2"/>
  <c r="I8" i="2"/>
  <c r="I12" i="2"/>
  <c r="A25" i="2"/>
  <c r="I5" i="2"/>
  <c r="I10" i="2"/>
  <c r="I40" i="2"/>
  <c r="A20" i="2"/>
  <c r="A32" i="2"/>
  <c r="A21" i="2"/>
  <c r="A33" i="2"/>
  <c r="A38" i="2"/>
  <c r="A27" i="2"/>
  <c r="A16" i="2"/>
  <c r="A28" i="2"/>
  <c r="A14" i="2"/>
  <c r="A15" i="2"/>
  <c r="A17" i="2"/>
  <c r="A29" i="2"/>
  <c r="A3" i="2"/>
  <c r="A4" i="2" s="1"/>
  <c r="A5" i="2" s="1"/>
  <c r="A6" i="2" s="1"/>
  <c r="A7" i="2" s="1"/>
  <c r="A8" i="2" s="1"/>
  <c r="A9" i="2" s="1"/>
  <c r="A10" i="2" s="1"/>
  <c r="A11" i="2" s="1"/>
  <c r="A12" i="2" s="1"/>
  <c r="A13" i="2" s="1"/>
  <c r="A18" i="2"/>
  <c r="A30" i="2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C7" authorId="0" shapeId="0" xr:uid="{00000000-0006-0000-0000-000001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8" authorId="0" shapeId="0" xr:uid="{00000000-0006-0000-0000-000002000000}">
      <text>
        <r>
          <rPr>
            <sz val="10"/>
            <color rgb="FF000000"/>
            <rFont val="Arial"/>
            <family val="2"/>
          </rPr>
          <t>Nick Scott:
LiiST</t>
        </r>
      </text>
    </comment>
    <comment ref="C9" authorId="0" shapeId="0" xr:uid="{00000000-0006-0000-0000-000003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10" authorId="0" shapeId="0" xr:uid="{00000000-0006-0000-0000-000004000000}">
      <text>
        <r>
          <rPr>
            <sz val="10"/>
            <color rgb="FF000000"/>
            <rFont val="Arial"/>
            <family val="2"/>
          </rPr>
          <t>Nick Scott:
Unvalidated</t>
        </r>
      </text>
    </comment>
    <comment ref="C11" authorId="0" shapeId="0" xr:uid="{00000000-0006-0000-0000-000005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12" authorId="0" shapeId="0" xr:uid="{00000000-0006-0000-0000-000006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13" authorId="0" shapeId="0" xr:uid="{00000000-0006-0000-0000-000007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16" authorId="0" shapeId="0" xr:uid="{00000000-0006-0000-0000-000008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17" authorId="0" shapeId="0" xr:uid="{00000000-0006-0000-0000-000009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18" authorId="0" shapeId="0" xr:uid="{00000000-0006-0000-0000-00000A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19" authorId="0" shapeId="0" xr:uid="{00000000-0006-0000-0000-00000B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23" authorId="0" shapeId="0" xr:uid="{00000000-0006-0000-0000-00000C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29" authorId="0" shapeId="0" xr:uid="{00000000-0006-0000-0000-00000D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37" authorId="0" shapeId="0" xr:uid="{00000000-0006-0000-0000-00000E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38" authorId="0" shapeId="0" xr:uid="{00000000-0006-0000-0000-00000F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39" authorId="0" shapeId="0" xr:uid="{00000000-0006-0000-0000-000010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40" authorId="0" shapeId="0" xr:uid="{00000000-0006-0000-0000-000011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41" authorId="0" shapeId="0" xr:uid="{00000000-0006-0000-0000-000012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42" authorId="0" shapeId="0" xr:uid="{00000000-0006-0000-0000-000013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45" authorId="0" shapeId="0" xr:uid="{00000000-0006-0000-0000-000014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46" authorId="0" shapeId="0" xr:uid="{00000000-0006-0000-0000-000015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47" authorId="0" shapeId="0" xr:uid="{00000000-0006-0000-0000-000016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1" authorId="0" shapeId="0" xr:uid="{00000000-0006-0000-0000-000017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2" authorId="0" shapeId="0" xr:uid="{00000000-0006-0000-0000-000018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3" authorId="0" shapeId="0" xr:uid="{00000000-0006-0000-0000-000019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4" authorId="0" shapeId="0" xr:uid="{00000000-0006-0000-0000-00001A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5" authorId="0" shapeId="0" xr:uid="{00000000-0006-0000-0000-00001B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8" authorId="0" shapeId="0" xr:uid="{00000000-0006-0000-0000-00001C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9" authorId="0" shapeId="0" xr:uid="{00000000-0006-0000-0000-00001D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60" authorId="0" shapeId="0" xr:uid="{00000000-0006-0000-0000-00001E000000}">
      <text>
        <r>
          <rPr>
            <sz val="10"/>
            <color rgb="FF000000"/>
            <rFont val="Arial"/>
            <family val="2"/>
          </rPr>
          <t>Nick Scott:
Global average</t>
        </r>
      </text>
    </comment>
    <comment ref="C61" authorId="0" shapeId="0" xr:uid="{00000000-0006-0000-0000-00001F000000}">
      <text>
        <r>
          <rPr>
            <sz val="10"/>
            <color rgb="FF000000"/>
            <rFont val="Arial"/>
            <family val="2"/>
          </rPr>
          <t>Nick Scott:
Global average</t>
        </r>
      </text>
    </comment>
    <comment ref="C62" authorId="0" shapeId="0" xr:uid="{00000000-0006-0000-0000-000020000000}">
      <text>
        <r>
          <rPr>
            <sz val="10"/>
            <color rgb="FF000000"/>
            <rFont val="Arial"/>
            <family val="2"/>
          </rPr>
          <t>Nick Scott:
World Bank Group: Development Indicators. Accessed 11 Sep 2019 from: https://databank.worldbank.org/source/world-development-indicators. 2019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B2" authorId="0" shapeId="0" xr:uid="{00000000-0006-0000-0100-000001000000}">
      <text>
        <r>
          <rPr>
            <sz val="10"/>
            <color rgb="FF000000"/>
            <rFont val="Arial"/>
            <family val="2"/>
          </rPr>
          <t>Nick Scott:
World Bank Group: Population Estimates and Projections. Accessed 11 Sep 2019 from: https://datacatalog.worldbank.org/dataset/population-estimates-and-projections.</t>
        </r>
      </text>
    </comment>
    <comment ref="C2" authorId="0" shapeId="0" xr:uid="{00000000-0006-0000-0100-000002000000}">
      <text>
        <r>
          <rPr>
            <sz val="10"/>
            <color rgb="FF000000"/>
            <rFont val="Arial"/>
            <family val="2"/>
          </rPr>
          <t>Nick Scott:
World Bank Group: Population Estimates and Projections. Accessed 11 Sep 2019 from: https://datacatalog.worldbank.org/dataset/population-estimates-and-projections.</t>
        </r>
      </text>
    </comment>
    <comment ref="D2" authorId="0" shapeId="0" xr:uid="{00000000-0006-0000-0100-000003000000}">
      <text>
        <r>
          <rPr>
            <sz val="10"/>
            <color rgb="FF000000"/>
            <rFont val="Arial"/>
            <family val="2"/>
          </rPr>
          <t>Nick Scott:
World Bank Group: Population Estimates and Projections. Accessed 11 Sep 2019 from: https://datacatalog.worldbank.org/dataset/population-estimates-and-projections.</t>
        </r>
      </text>
    </comment>
    <comment ref="E2" authorId="0" shapeId="0" xr:uid="{00000000-0006-0000-0100-000004000000}">
      <text>
        <r>
          <rPr>
            <sz val="10"/>
            <color rgb="FF000000"/>
            <rFont val="Arial"/>
            <family val="2"/>
          </rPr>
          <t>Nick Scott:
World Bank Group: Population Estimates and Projections. Accessed 11 Sep 2019 from: https://datacatalog.worldbank.org/dataset/population-estimates-and-projections.</t>
        </r>
      </text>
    </comment>
    <comment ref="F2" authorId="0" shapeId="0" xr:uid="{00000000-0006-0000-0100-000005000000}">
      <text>
        <r>
          <rPr>
            <sz val="10"/>
            <color rgb="FF000000"/>
            <rFont val="Arial"/>
            <family val="2"/>
          </rPr>
          <t>Nick Scott:
World Bank Group: Population Estimates and Projections. Accessed 11 Sep 2019 from: https://datacatalog.worldbank.org/dataset/population-estimates-and-projections.</t>
        </r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C3" authorId="0" shapeId="0" xr:uid="{00000000-0006-0000-0200-000001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14" authorId="0" shapeId="0" xr:uid="{00000000-0006-0000-0200-000002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D14" authorId="0" shapeId="0" xr:uid="{00000000-0006-0000-0200-000003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E14" authorId="0" shapeId="0" xr:uid="{00000000-0006-0000-0200-000004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F14" authorId="0" shapeId="0" xr:uid="{00000000-0006-0000-0200-000005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26" authorId="0" shapeId="0" xr:uid="{00000000-0006-0000-0200-000006000000}">
      <text>
        <r>
          <rPr>
            <sz val="10"/>
            <color rgb="FF000000"/>
            <rFont val="Arial"/>
            <family val="2"/>
          </rPr>
          <t>Nick Scott:
LiST</t>
        </r>
      </text>
    </comment>
  </commentList>
</comments>
</file>

<file path=xl/comments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C4" authorId="0" shapeId="0" xr:uid="{00000000-0006-0000-0300-000001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" authorId="0" shapeId="0" xr:uid="{00000000-0006-0000-0300-000002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14" authorId="0" shapeId="0" xr:uid="{00000000-0006-0000-0300-000003000000}">
      <text>
        <r>
          <rPr>
            <sz val="10"/>
            <color rgb="FF000000"/>
            <rFont val="Arial"/>
            <family val="2"/>
          </rPr>
          <t>Nick Scott:
Placeholder</t>
        </r>
      </text>
    </comment>
    <comment ref="H14" authorId="0" shapeId="0" xr:uid="{00000000-0006-0000-0300-000004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L14" authorId="0" shapeId="0" xr:uid="{00000000-0006-0000-0300-000005000000}">
      <text>
        <r>
          <rPr>
            <sz val="10"/>
            <color rgb="FF000000"/>
            <rFont val="Arial"/>
            <family val="2"/>
          </rPr>
          <t>Nick Scott:
LiST</t>
        </r>
      </text>
    </comment>
  </commentList>
</comments>
</file>

<file path=xl/comments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A14" authorId="0" shapeId="0" xr:uid="{DF0264FA-B6D6-4BB9-B9CD-50F2BBAA88BE}">
      <text>
        <r>
          <rPr>
            <b/>
            <sz val="9"/>
            <color indexed="81"/>
            <rFont val="Tahoma"/>
            <family val="2"/>
          </rPr>
          <t>Tharindu Wickramaarachchi:</t>
        </r>
        <r>
          <rPr>
            <sz val="9"/>
            <color indexed="81"/>
            <rFont val="Tahoma"/>
            <family val="2"/>
          </rPr>
          <t xml:space="preserve">
This is estimated by using:
Wage Share in GDP for manual occupations
[Gains productivity in light labour (Horton and Ross, 2003) *
Blue-Collar Share employment in total employment +
Wage Share of Heavy manual labor (Age share * manual labor) *
Gains in productivity in heavy labor (Horton and Ross, 2003)]</t>
        </r>
      </text>
    </comment>
  </commentList>
</comments>
</file>

<file path=xl/comments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D1" authorId="0" shapeId="0" xr:uid="{00000000-0006-0000-0900-000001000000}">
      <text>
        <r>
          <rPr>
            <sz val="10"/>
            <color rgb="FF000000"/>
            <rFont val="Arial"/>
            <family val="2"/>
          </rPr>
          <t>Nick Scott:
Cost per person per year, or per pregnancy</t>
        </r>
      </text>
    </comment>
  </commentList>
</comments>
</file>

<file path=xl/comments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Sam</author>
  </authors>
  <commentList>
    <comment ref="B1" authorId="0" shapeId="0" xr:uid="{00000000-0006-0000-0A00-000001000000}">
      <text>
        <r>
          <rPr>
            <sz val="10"/>
            <color rgb="FF000000"/>
            <rFont val="Arial"/>
            <family val="2"/>
          </rPr>
          <t>Sam:
When one intervention cannot exceed 1-coverage of another</t>
        </r>
      </text>
    </comment>
    <comment ref="C1" authorId="0" shapeId="0" xr:uid="{00000000-0006-0000-0A00-000002000000}">
      <text>
        <r>
          <rPr>
            <sz val="10"/>
            <color rgb="FF000000"/>
            <rFont val="Arial"/>
            <family val="2"/>
          </rPr>
          <t>Sam:
When one program cannot exceed coverage of another</t>
        </r>
      </text>
    </comment>
  </commentList>
</comments>
</file>

<file path=xl/comments8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Sam</author>
  </authors>
  <commentList>
    <comment ref="A1" authorId="0" shapeId="0" xr:uid="{00000000-0006-0000-0F00-000001000000}">
      <text>
        <r>
          <rPr>
            <sz val="10"/>
            <color rgb="FF000000"/>
            <rFont val="Arial"/>
            <family val="2"/>
          </rPr>
          <t>Sam:
Don't really want this here, but the proportional cost is linked -- can think of better place?</t>
        </r>
      </text>
    </comment>
  </commentList>
</comments>
</file>

<file path=xl/comments9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  <author>Tharindu Wickramaarachchi</author>
  </authors>
  <commentList>
    <comment ref="D5" authorId="0" shapeId="0" xr:uid="{00000000-0006-0000-1300-000001000000}">
      <text>
        <r>
          <rPr>
            <sz val="10"/>
            <color rgb="FF000000"/>
            <rFont val="Arial"/>
            <family val="2"/>
          </rPr>
          <t>Nick Scott:
Sinah et al 2017 home or community settings, OR 2.17 (1.84-2.56)</t>
        </r>
      </text>
    </comment>
    <comment ref="D6" authorId="0" shapeId="0" xr:uid="{00000000-0006-0000-1300-000002000000}">
      <text>
        <r>
          <rPr>
            <sz val="10"/>
            <color rgb="FF000000"/>
            <rFont val="Arial"/>
            <family val="2"/>
          </rPr>
          <t>Nick Scott:
Sinah et al 2017 home or community settings, OR 2.17 (1.84-2.56)</t>
        </r>
      </text>
    </comment>
    <comment ref="E8" authorId="0" shapeId="0" xr:uid="{00000000-0006-0000-1300-000003000000}">
      <text>
        <r>
          <rPr>
            <sz val="10"/>
            <color rgb="FF000000"/>
            <rFont val="Arial"/>
            <family val="2"/>
          </rPr>
          <t xml:space="preserve">Nick Scott:
Sinah et al 2017 home and community settings, OR 2.48 (1.99-3.09) </t>
        </r>
      </text>
    </comment>
    <comment ref="E9" authorId="0" shapeId="0" xr:uid="{00000000-0006-0000-1300-000004000000}">
      <text>
        <r>
          <rPr>
            <sz val="10"/>
            <color rgb="FF000000"/>
            <rFont val="Arial"/>
            <family val="2"/>
          </rPr>
          <t xml:space="preserve">Nick Scott:
Sinah et al 2017 home and community settings, OR 2.48 (1.99-3.09) </t>
        </r>
      </text>
    </comment>
    <comment ref="F11" authorId="0" shapeId="0" xr:uid="{00000000-0006-0000-1300-000005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F12" authorId="0" shapeId="0" xr:uid="{00000000-0006-0000-1300-000006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G14" authorId="0" shapeId="0" xr:uid="{00000000-0006-0000-1300-000007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G15" authorId="0" shapeId="0" xr:uid="{00000000-0006-0000-1300-000008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F28" authorId="1" shapeId="0" xr:uid="{00000000-0006-0000-1300-000009000000}">
      <text>
        <r>
          <rPr>
            <sz val="10"/>
            <color rgb="FF000000"/>
            <rFont val="Arial"/>
            <family val="2"/>
          </rPr>
          <t>Tharindu Wickramaarachchi:
No statistically significant effect directly
Lassi et al 2020, RR 0.50 (0.18-1.40) &amp; HAZ SMD 0.29 (0.04, 0.54 )</t>
        </r>
      </text>
    </comment>
    <comment ref="F29" authorId="1" shapeId="0" xr:uid="{00000000-0006-0000-1300-00000A000000}">
      <text>
        <r>
          <rPr>
            <sz val="10"/>
            <color rgb="FF000000"/>
            <rFont val="Arial"/>
            <family val="2"/>
          </rPr>
          <t>Tharindu Wickramaarachchi:
No statistically significant effect directly
Lassi et al 2020, RR 0.50 (0.18-1.40) &amp; HAZ SMD 0.29 (0.04, 0.54 )</t>
        </r>
      </text>
    </comment>
    <comment ref="G31" authorId="1" shapeId="0" xr:uid="{00000000-0006-0000-1300-00000B000000}">
      <text>
        <r>
          <rPr>
            <sz val="10"/>
            <color rgb="FF000000"/>
            <rFont val="Arial"/>
            <family val="2"/>
          </rPr>
          <t>Tharindu Wickramaarachchi:
No statistically significant effect directly
Lassi et al 2020, RR 0.50 (0.18-1.40) &amp; HAZ SMD 0.29 (0.04, 0.54 )</t>
        </r>
      </text>
    </comment>
    <comment ref="G32" authorId="1" shapeId="0" xr:uid="{00000000-0006-0000-1300-00000C000000}">
      <text>
        <r>
          <rPr>
            <sz val="10"/>
            <color rgb="FF000000"/>
            <rFont val="Arial"/>
            <family val="2"/>
          </rPr>
          <t>Tharindu Wickramaarachchi:
No statistically significant effect directly
Lassi et al 2020, RR 0.50 (0.18-1.40) &amp; HAZ SMD 0.29 (0.04, 0.54 )</t>
        </r>
      </text>
    </comment>
    <comment ref="A36" authorId="0" shapeId="0" xr:uid="{00000000-0006-0000-1300-00000D000000}">
      <text>
        <r>
          <rPr>
            <sz val="10"/>
            <color rgb="FF000000"/>
            <rFont val="Arial"/>
            <family val="2"/>
          </rPr>
          <t>Nick Scott:
These are not used in the current model version</t>
        </r>
      </text>
    </comment>
    <comment ref="D58" authorId="0" shapeId="0" xr:uid="{00000000-0006-0000-1300-00000E000000}">
      <text>
        <r>
          <rPr>
            <sz val="10"/>
            <color rgb="FF000000"/>
            <rFont val="Arial"/>
            <family val="2"/>
          </rPr>
          <t>Nick Scott:
Sinah et al 2017 home or community settings, OR 2.17 (1.84-2.56)</t>
        </r>
      </text>
    </comment>
    <comment ref="D59" authorId="0" shapeId="0" xr:uid="{00000000-0006-0000-1300-00000F000000}">
      <text>
        <r>
          <rPr>
            <sz val="10"/>
            <color rgb="FF000000"/>
            <rFont val="Arial"/>
            <family val="2"/>
          </rPr>
          <t>Nick Scott:
Sinah et al 2017 home or community settings, OR 2.17 (1.84-2.56)</t>
        </r>
      </text>
    </comment>
    <comment ref="E61" authorId="0" shapeId="0" xr:uid="{00000000-0006-0000-1300-000010000000}">
      <text>
        <r>
          <rPr>
            <sz val="10"/>
            <color rgb="FF000000"/>
            <rFont val="Arial"/>
            <family val="2"/>
          </rPr>
          <t xml:space="preserve">Nick Scott:
Sinah et al 2017 home and community settings, OR 2.48 (1.99-3.09) </t>
        </r>
      </text>
    </comment>
    <comment ref="E62" authorId="0" shapeId="0" xr:uid="{00000000-0006-0000-1300-000011000000}">
      <text>
        <r>
          <rPr>
            <sz val="10"/>
            <color rgb="FF000000"/>
            <rFont val="Arial"/>
            <family val="2"/>
          </rPr>
          <t xml:space="preserve">Nick Scott:
Sinah et al 2017 home and community settings, OR 2.48 (1.99-3.09) </t>
        </r>
      </text>
    </comment>
    <comment ref="F64" authorId="0" shapeId="0" xr:uid="{00000000-0006-0000-1300-000012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F65" authorId="0" shapeId="0" xr:uid="{00000000-0006-0000-1300-000013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G67" authorId="0" shapeId="0" xr:uid="{00000000-0006-0000-1300-000014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G68" authorId="0" shapeId="0" xr:uid="{00000000-0006-0000-1300-000015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A89" authorId="0" shapeId="0" xr:uid="{00000000-0006-0000-1300-000016000000}">
      <text>
        <r>
          <rPr>
            <sz val="10"/>
            <color rgb="FF000000"/>
            <rFont val="Arial"/>
            <family val="2"/>
          </rPr>
          <t>Nick Scott:
These are not used in the current model version</t>
        </r>
      </text>
    </comment>
    <comment ref="D111" authorId="0" shapeId="0" xr:uid="{00000000-0006-0000-1300-000017000000}">
      <text>
        <r>
          <rPr>
            <sz val="10"/>
            <color rgb="FF000000"/>
            <rFont val="Arial"/>
            <family val="2"/>
          </rPr>
          <t>Nick Scott:
Sinah et al 2017 home or community settings, OR 2.17 (1.84-2.56)</t>
        </r>
      </text>
    </comment>
    <comment ref="D112" authorId="0" shapeId="0" xr:uid="{00000000-0006-0000-1300-000018000000}">
      <text>
        <r>
          <rPr>
            <sz val="10"/>
            <color rgb="FF000000"/>
            <rFont val="Arial"/>
            <family val="2"/>
          </rPr>
          <t>Nick Scott:
Sinah et al 2017 home or community settings, OR 2.17 (1.84-2.56)</t>
        </r>
      </text>
    </comment>
    <comment ref="E114" authorId="0" shapeId="0" xr:uid="{00000000-0006-0000-1300-000019000000}">
      <text>
        <r>
          <rPr>
            <sz val="10"/>
            <color rgb="FF000000"/>
            <rFont val="Arial"/>
            <family val="2"/>
          </rPr>
          <t xml:space="preserve">Nick Scott:
Sinah et al 2017 home and community settings, OR 2.48 (1.99-3.09) </t>
        </r>
      </text>
    </comment>
    <comment ref="E115" authorId="0" shapeId="0" xr:uid="{00000000-0006-0000-1300-00001A000000}">
      <text>
        <r>
          <rPr>
            <sz val="10"/>
            <color rgb="FF000000"/>
            <rFont val="Arial"/>
            <family val="2"/>
          </rPr>
          <t xml:space="preserve">Nick Scott:
Sinah et al 2017 home and community settings, OR 2.48 (1.99-3.09) </t>
        </r>
      </text>
    </comment>
    <comment ref="F117" authorId="0" shapeId="0" xr:uid="{00000000-0006-0000-1300-00001B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F118" authorId="0" shapeId="0" xr:uid="{00000000-0006-0000-1300-00001C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G120" authorId="0" shapeId="0" xr:uid="{00000000-0006-0000-1300-00001D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G121" authorId="0" shapeId="0" xr:uid="{00000000-0006-0000-1300-00001E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A125" authorId="1" shapeId="0" xr:uid="{00000000-0006-0000-1300-00001F000000}">
      <text>
        <r>
          <rPr>
            <sz val="10"/>
            <color rgb="FF000000"/>
            <rFont val="Arial"/>
            <family val="2"/>
          </rPr>
          <t>Tharindu Wickramaarachchi:
Upper boundary for the impact means that the point estimate of the OR should be lower</t>
        </r>
      </text>
    </comment>
    <comment ref="A142" authorId="0" shapeId="0" xr:uid="{00000000-0006-0000-1300-000020000000}">
      <text>
        <r>
          <rPr>
            <sz val="10"/>
            <color rgb="FF000000"/>
            <rFont val="Arial"/>
            <family val="2"/>
          </rPr>
          <t>Nick Scott:
These are not used in the current model version</t>
        </r>
      </text>
    </comment>
  </commentList>
</comments>
</file>

<file path=xl/comments10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B6" authorId="0" shapeId="0" xr:uid="{81F4589C-1780-4EBA-B575-E552071AC881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This assumes PPCF is delivered with education to the fraction below the poverty line</t>
        </r>
      </text>
    </comment>
    <comment ref="B7" authorId="0" shapeId="0" xr:uid="{FACF8BD7-8798-4CCE-8AAB-38235262605E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Nick Scott:
This assumes PPCF is delivered with education to the fraction below the poverty line</t>
        </r>
      </text>
    </comment>
    <comment ref="F8" authorId="0" shapeId="0" xr:uid="{7FEA9C4B-72BF-4181-A79A-89353DBEFA54}">
      <text>
        <r>
          <rPr>
            <sz val="10"/>
            <color rgb="FF000000"/>
            <rFont val="Arial"/>
            <family val="2"/>
          </rPr>
          <t>Nick Scott:
Using as a proxy for cash transfers, to model an impact on stunting
Reduction in stunting (baseline 34%) of 4.6 percentage points (S.D.=2.1 pc pts) for cash transfer + SBCC. https://www.nber.org/system/files/working_papers/w28443/w28443.pdf
Converted to OR = 0.808 (0.395-0.956)</t>
        </r>
      </text>
    </comment>
    <comment ref="G8" authorId="0" shapeId="0" xr:uid="{08D96EBA-0117-4AB6-8F79-0E390B80228B}">
      <text>
        <r>
          <rPr>
            <sz val="10"/>
            <color rgb="FF000000"/>
            <rFont val="Arial"/>
            <family val="2"/>
          </rPr>
          <t>Nick Scott:
Using as a proxy for cash transfers, to model an impact on stunting
Reduction in stunting (baseline 34%) of 4.6 percentage points (S.D.=2.1 pc pts) for cash transfer + SBCC. https://www.nber.org/system/files/working_papers/w28443/w28443.pdf
Converted to OR = 0.808 (0.395-0.956)</t>
        </r>
      </text>
    </comment>
    <comment ref="B30" authorId="0" shapeId="0" xr:uid="{6C9EB23A-B848-4734-BF89-A6A3A471075C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This assumes PPCF is delivered with education to the fraction below the poverty line</t>
        </r>
      </text>
    </comment>
    <comment ref="B31" authorId="0" shapeId="0" xr:uid="{5155DBF5-8175-48E5-82C9-CBC6031315A2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Nick Scott:
This assumes PPCF is delivered with education to the fraction below the poverty line</t>
        </r>
      </text>
    </comment>
    <comment ref="F32" authorId="0" shapeId="0" xr:uid="{44AC148F-E3A6-4AB2-95D7-98E6D700E1E8}">
      <text>
        <r>
          <rPr>
            <sz val="10"/>
            <color rgb="FF000000"/>
            <rFont val="Arial"/>
            <family val="2"/>
          </rPr>
          <t>Nick Scott:
Using as a proxy for cash transfers, to model an impact on stunting
Reduction in stunting (baseline 34%) of 4.6 percentage points (S.D.=2.1 pc pts) for cash transfer + SBCC. https://www.nber.org/system/files/working_papers/w28443/w28443.pdf
Converted to OR = 0.808 (0.395-0.956)</t>
        </r>
      </text>
    </comment>
    <comment ref="G32" authorId="0" shapeId="0" xr:uid="{7B044F71-7F62-45EA-9806-F20C239F10ED}">
      <text>
        <r>
          <rPr>
            <sz val="10"/>
            <color rgb="FF000000"/>
            <rFont val="Arial"/>
            <family val="2"/>
          </rPr>
          <t>Nick Scott:
Using as a proxy for cash transfers, to model an impact on stunting
Reduction in stunting (baseline 34%) of 4.6 percentage points (S.D.=2.1 pc pts) for cash transfer + SBCC. https://www.nber.org/system/files/working_papers/w28443/w28443.pdf
Converted to OR = 0.808 (0.395-0.956)</t>
        </r>
      </text>
    </comment>
    <comment ref="B54" authorId="0" shapeId="0" xr:uid="{48C3C9E4-F093-472A-9A5F-63E58DAD5C75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This assumes PPCF is delivered with education to the fraction below the poverty line</t>
        </r>
      </text>
    </comment>
    <comment ref="B55" authorId="0" shapeId="0" xr:uid="{995E37B5-966C-41D4-A3DF-5D1DB89F2BE0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Nick Scott:
This assumes PPCF is delivered with education to the fraction below the poverty line</t>
        </r>
      </text>
    </comment>
    <comment ref="F56" authorId="0" shapeId="0" xr:uid="{F4DFC4CA-FF99-4637-826C-26601B0E5997}">
      <text>
        <r>
          <rPr>
            <sz val="10"/>
            <color rgb="FF000000"/>
            <rFont val="Arial"/>
            <family val="2"/>
          </rPr>
          <t>Nick Scott:
Using as a proxy for cash transfers, to model an impact on stunting
Reduction in stunting (baseline 34%) of 4.6 percentage points (S.D.=2.1 pc pts) for cash transfer + SBCC. https://www.nber.org/system/files/working_papers/w28443/w28443.pdf
Converted to OR = 0.808 (0.395-0.956)</t>
        </r>
      </text>
    </comment>
    <comment ref="G56" authorId="0" shapeId="0" xr:uid="{38C7434E-90D6-4C8B-A108-09EFA6B5660C}">
      <text>
        <r>
          <rPr>
            <sz val="10"/>
            <color rgb="FF000000"/>
            <rFont val="Arial"/>
            <family val="2"/>
          </rPr>
          <t>Nick Scott:
Using as a proxy for cash transfers, to model an impact on stunting
Reduction in stunting (baseline 34%) of 4.6 percentage points (S.D.=2.1 pc pts) for cash transfer + SBCC. https://www.nber.org/system/files/working_papers/w28443/w28443.pdf
Converted to OR = 0.808 (0.395-0.956)</t>
        </r>
      </text>
    </comment>
  </commentList>
</comments>
</file>

<file path=xl/comments1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  <author>Tharindu Wickramaarachchi</author>
  </authors>
  <commentList>
    <comment ref="C4" authorId="0" shapeId="0" xr:uid="{D62CD89F-BD2F-4478-8F3E-0EA4D2085B3B}">
      <text>
        <r>
          <rPr>
            <sz val="10"/>
            <color rgb="FF000000"/>
            <rFont val="Arial"/>
            <family val="2"/>
          </rPr>
          <t>Nick Scott:
Ca supplementation on preterm birth Hofmeyr et al 2023, RR 0.76 (0.60-0.97), all women</t>
        </r>
      </text>
    </comment>
    <comment ref="D4" authorId="1" shapeId="0" xr:uid="{D11A7C1F-57C7-45FF-AF35-46BFB6CDF672}">
      <text>
        <r>
          <rPr>
            <sz val="10"/>
            <color rgb="FF000000"/>
            <rFont val="Arial"/>
            <family val="2"/>
          </rPr>
          <t>Tharindu Wickramaarachchi:
Lassi et al 2021, RR 0.71 (0.54-0.94)
So effectiveness = 1-0.71=0.29</t>
        </r>
      </text>
    </comment>
    <comment ref="E4" authorId="0" shapeId="0" xr:uid="{686D10A3-A5B1-434C-A4D1-BD62E37259A7}">
      <text>
        <r>
          <rPr>
            <sz val="10"/>
            <color rgb="FF000000"/>
            <rFont val="Arial"/>
            <family val="2"/>
          </rPr>
          <t>Nick Scott:
Ca supplementation on preterm birth Hofmeyr et al 2023, RR 0.76 (0.60-0.97), all women</t>
        </r>
      </text>
    </comment>
    <comment ref="C21" authorId="0" shapeId="0" xr:uid="{91E40E3C-FF4C-43CD-81EF-0E1BC1EA54E2}">
      <text>
        <r>
          <rPr>
            <sz val="10"/>
            <color rgb="FF000000"/>
            <rFont val="Arial"/>
            <family val="2"/>
          </rPr>
          <t>Nick Scott:
Ca supplementation on preterm birth Hofmeyr et al 2023, RR 0.76 (0.60-0.97), all women</t>
        </r>
      </text>
    </comment>
    <comment ref="D21" authorId="1" shapeId="0" xr:uid="{26FB7C01-8BFC-4CDE-B944-09A78509DFB6}">
      <text>
        <r>
          <rPr>
            <sz val="10"/>
            <color rgb="FF000000"/>
            <rFont val="Arial"/>
            <family val="2"/>
          </rPr>
          <t>Tharindu Wickramaarachchi:
Lassi et al 2021, RR 0.71 (0.54-0.94)
So effectiveness = 1-0.71=0.29</t>
        </r>
      </text>
    </comment>
    <comment ref="E21" authorId="0" shapeId="0" xr:uid="{CE8D769D-B0CE-403D-B0F9-93DC64D00AEE}">
      <text>
        <r>
          <rPr>
            <sz val="10"/>
            <color rgb="FF000000"/>
            <rFont val="Arial"/>
            <family val="2"/>
          </rPr>
          <t>Nick Scott:
Ca supplementation on preterm birth Hofmeyr et al 2023, RR 0.76 (0.60-0.97), all women</t>
        </r>
      </text>
    </comment>
    <comment ref="C38" authorId="0" shapeId="0" xr:uid="{47FC79F1-D2EC-41F0-9C61-50A3B649EE53}">
      <text>
        <r>
          <rPr>
            <sz val="10"/>
            <color rgb="FF000000"/>
            <rFont val="Arial"/>
            <family val="2"/>
          </rPr>
          <t>Nick Scott:
Ca supplementation on preterm birth Hofmeyr et al 2023, RR 0.76 (0.60-0.97), all women</t>
        </r>
      </text>
    </comment>
    <comment ref="D38" authorId="1" shapeId="0" xr:uid="{F08797EF-8D01-4FCB-9A0D-7F4D5E4BADD7}">
      <text>
        <r>
          <rPr>
            <sz val="10"/>
            <color rgb="FF000000"/>
            <rFont val="Arial"/>
            <family val="2"/>
          </rPr>
          <t>Tharindu Wickramaarachchi:
Lassi et al 2021, RR 0.71 (0.54-0.94)
So effectiveness = 1-0.71=0.29</t>
        </r>
      </text>
    </comment>
    <comment ref="E38" authorId="0" shapeId="0" xr:uid="{460E7559-A270-49FB-B37B-B927DDEE0A7F}">
      <text>
        <r>
          <rPr>
            <sz val="10"/>
            <color rgb="FF000000"/>
            <rFont val="Arial"/>
            <family val="2"/>
          </rPr>
          <t>Nick Scott:
Ca supplementation on preterm birth Hofmeyr et al 2023, RR 0.76 (0.60-0.97), all women</t>
        </r>
      </text>
    </comment>
  </commentList>
</comments>
</file>

<file path=xl/comments1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A3" authorId="0" shapeId="0" xr:uid="{00000000-0006-0000-1400-000001000000}">
      <text>
        <r>
          <rPr>
            <sz val="10"/>
            <color rgb="FF000000"/>
            <rFont val="Arial"/>
            <family val="2"/>
          </rPr>
          <t>Tharindu Wickramaarachchi:
Spectrum LiST baed on Kozuki et al, 2017</t>
        </r>
      </text>
    </comment>
    <comment ref="B4" authorId="0" shapeId="0" xr:uid="{00000000-0006-0000-1400-000002000000}">
      <text>
        <r>
          <rPr>
            <sz val="10"/>
            <color rgb="FF000000"/>
            <rFont val="Arial"/>
            <family val="2"/>
          </rPr>
          <t>Tharindu Wickramaarachchi:
Spectrum LiST baed on Kozuki et al, 2017</t>
        </r>
      </text>
    </comment>
    <comment ref="B18" authorId="0" shapeId="0" xr:uid="{00000000-0006-0000-1400-000003000000}">
      <text>
        <r>
          <rPr>
            <sz val="10"/>
            <color rgb="FF000000"/>
            <rFont val="Arial"/>
            <family val="2"/>
          </rPr>
          <t>Tharindu Wickramaarachchi:
LiST 6.29
Katz J, Lee AC, Kozuki N, et al. Mortality risk in preterm and small-for-gestational-age infants in low-income and middle-income countries: A pooled country analysis. Lancet 2013; 382(9890): 417–25</t>
        </r>
      </text>
    </comment>
  </commentList>
</comments>
</file>

<file path=xl/comments1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  <author>Tharindu Wickramaarachchi</author>
  </authors>
  <commentList>
    <comment ref="D3" authorId="0" shapeId="0" xr:uid="{00000000-0006-0000-1500-000001000000}">
      <text>
        <r>
          <rPr>
            <sz val="10"/>
            <color rgb="FF000000"/>
            <rFont val="Arial"/>
            <family val="2"/>
          </rPr>
          <t xml:space="preserve">Nick Scott:
Olofin I, McDonald CM, Ezzati M, et al. Associations of Suboptimal Growth with All-Cause and Cause-Specific Mortality in Children under Five Years: A Pooled Analysis of Ten Prospective Studies. PLOS One 2013; 8(5): e64636. </t>
        </r>
      </text>
    </comment>
    <comment ref="D30" authorId="0" shapeId="0" xr:uid="{00000000-0006-0000-1500-000002000000}">
      <text>
        <r>
          <rPr>
            <sz val="10"/>
            <color rgb="FF000000"/>
            <rFont val="Arial"/>
            <family val="2"/>
          </rPr>
          <t>Nick Scott:
Olofin I, McDonald CM, Ezzati M, et al. Associations of Suboptimal Growth with All-Cause and Cause-Specific Mortality in Children under Five Years: A Pooled Analysis of Ten Prospective Studies. PLOS One 2013; 8(5): e64636</t>
        </r>
      </text>
    </comment>
    <comment ref="D57" authorId="0" shapeId="0" xr:uid="{00000000-0006-0000-1500-000003000000}">
      <text>
        <r>
          <rPr>
            <sz val="10"/>
            <color rgb="FF000000"/>
            <rFont val="Arial"/>
            <family val="2"/>
          </rPr>
          <t>Nick Scott:
Heidkamp R, Guida R, Phillips E, Clermont A. The Lives Saved Tool (LiST) as a Model for Prevention of Anemia in Women of Reproductive Age. J Nutr. 2017;147(11):2156S-2162S</t>
        </r>
      </text>
    </comment>
    <comment ref="D66" authorId="0" shapeId="0" xr:uid="{00000000-0006-0000-1500-000004000000}">
      <text>
        <r>
          <rPr>
            <sz val="10"/>
            <color rgb="FF000000"/>
            <rFont val="Arial"/>
            <family val="2"/>
          </rPr>
          <t xml:space="preserve">Nick Scott:
NEOVITA Study Group. Timing of initiation, patterns of breastfeeding, and infant survival: prospective analysis of pooled data from three randomised trials. Lancet Global Health 2016; 4(4): e266-75. </t>
        </r>
      </text>
    </comment>
    <comment ref="D70" authorId="0" shapeId="0" xr:uid="{00000000-0006-0000-1500-000005000000}">
      <text>
        <r>
          <rPr>
            <sz val="10"/>
            <color rgb="FF000000"/>
            <rFont val="Arial"/>
            <family val="2"/>
          </rPr>
          <t xml:space="preserve">Nick Scott:
NEOVITA Study Group. Timing of initiation, patterns of breastfeeding, and infant survival: prospective analysis of pooled data from three randomised trials. Lancet Global Health 2016; 4(4): e266-75. </t>
        </r>
      </text>
    </comment>
    <comment ref="D74" authorId="0" shapeId="0" xr:uid="{00000000-0006-0000-1500-000006000000}">
      <text>
        <r>
          <rPr>
            <sz val="10"/>
            <color rgb="FF000000"/>
            <rFont val="Arial"/>
            <family val="2"/>
          </rPr>
          <t xml:space="preserve">Nick Scott:
NEOVITA Study Group. Timing of initiation, patterns of breastfeeding, and infant survival: prospective analysis of pooled data from three randomised trials. Lancet Global Health 2016; 4(4): e266-75. </t>
        </r>
      </text>
    </comment>
    <comment ref="D82" authorId="0" shapeId="0" xr:uid="{00000000-0006-0000-1500-000007000000}">
      <text>
        <r>
          <rPr>
            <sz val="10"/>
            <color rgb="FF000000"/>
            <rFont val="Arial"/>
            <family val="2"/>
          </rPr>
          <t xml:space="preserve">Nick Scott:
Lamberti LM, Fischer Walker CL, Noiman A, et al. Breastfeeding and the risk for diarrhea morbidity and mortality. BMC Public Health 2011. </t>
        </r>
      </text>
    </comment>
    <comment ref="D86" authorId="0" shapeId="0" xr:uid="{00000000-0006-0000-1500-000008000000}">
      <text>
        <r>
          <rPr>
            <sz val="10"/>
            <color rgb="FF000000"/>
            <rFont val="Arial"/>
            <family val="2"/>
          </rPr>
          <t xml:space="preserve">Nick Scott:
Lamberti LM, Fischer Walker CL, Noiman A, et al. Breastfeeding and the risk for diarrhea morbidity and mortality. BMC Public Health 2011. </t>
        </r>
      </text>
    </comment>
    <comment ref="D90" authorId="0" shapeId="0" xr:uid="{00000000-0006-0000-1500-000009000000}">
      <text>
        <r>
          <rPr>
            <sz val="10"/>
            <color rgb="FF000000"/>
            <rFont val="Arial"/>
            <family val="2"/>
          </rPr>
          <t xml:space="preserve">Nick Scott:
Lamberti LM, Fischer Walker CL, Noiman A, et al. Breastfeeding and the risk for diarrhea morbidity and mortality. BMC Public Health 2011. </t>
        </r>
      </text>
    </comment>
    <comment ref="D94" authorId="0" shapeId="0" xr:uid="{00000000-0006-0000-1500-00000A000000}">
      <text>
        <r>
          <rPr>
            <sz val="10"/>
            <color rgb="FF000000"/>
            <rFont val="Arial"/>
            <family val="2"/>
          </rPr>
          <t xml:space="preserve">Nick Scott:
Lamberti LM, Fischer Walker CL, Noiman A, et al. Breastfeeding and the risk for diarrhea morbidity and mortality. BMC Public Health 2011. </t>
        </r>
      </text>
    </comment>
    <comment ref="D98" authorId="0" shapeId="0" xr:uid="{00000000-0006-0000-1500-00000B000000}">
      <text>
        <r>
          <rPr>
            <sz val="10"/>
            <color rgb="FF000000"/>
            <rFont val="Arial"/>
            <family val="2"/>
          </rPr>
          <t xml:space="preserve">Nick Scott:
Lamberti LM, Fischer Walker CL, Noiman A, et al. Breastfeeding and the risk for diarrhea morbidity and mortality. BMC Public Health 2011. </t>
        </r>
      </text>
    </comment>
    <comment ref="D105" authorId="0" shapeId="0" xr:uid="{00000000-0006-0000-1500-00000C000000}">
      <text>
        <r>
          <rPr>
            <sz val="10"/>
            <color rgb="FF000000"/>
            <rFont val="Arial"/>
            <family val="2"/>
          </rPr>
          <t>Nick Scott:
Lamberti LM, Fischer Walker CL, Noiman A, et al. Breastfeeding and the risk for diarrhea morbidity and mortality. BMC Public Health 2011</t>
        </r>
      </text>
    </comment>
    <comment ref="A220" authorId="1" shapeId="0" xr:uid="{00000000-0006-0000-1500-00000D000000}">
      <text>
        <r>
          <rPr>
            <sz val="10"/>
            <color rgb="FF000000"/>
            <rFont val="Arial"/>
            <family val="2"/>
          </rPr>
          <t>Tharindu Wickramaarachchi:
All the values should be greater than 1 and above the point estimate</t>
        </r>
      </text>
    </comment>
  </commentList>
</comments>
</file>

<file path=xl/comments1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  <author>Nick Scott</author>
  </authors>
  <commentList>
    <comment ref="C3" authorId="0" shapeId="0" xr:uid="{00000000-0006-0000-1800-000001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(0.87-0.99 );
Assuming at least the same effect on younger group</t>
        </r>
      </text>
    </comment>
    <comment ref="D3" authorId="0" shapeId="0" xr:uid="{00000000-0006-0000-1800-000002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(0.87-0.99 );
Assuming at least the same effect on younger group</t>
        </r>
      </text>
    </comment>
    <comment ref="E3" authorId="0" shapeId="0" xr:uid="{00000000-0006-0000-1800-000003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</t>
        </r>
      </text>
    </comment>
    <comment ref="H4" authorId="0" shapeId="0" xr:uid="{00000000-0006-0000-1800-000004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5" authorId="0" shapeId="0" xr:uid="{00000000-0006-0000-1800-000005000000}">
      <text>
        <r>
          <rPr>
            <sz val="10"/>
            <color rgb="FF000000"/>
            <rFont val="Arial"/>
            <family val="2"/>
          </rPr>
          <t>Tharindu Wickramaarachchi:
RRR = 0.73 (0.56-0.95) for anaemia in non-pregnant women [Fernandez-Gaxiola &amp; De-Regil 2011, Cochrane Database Syst Rev [76]]</t>
        </r>
      </text>
    </comment>
    <comment ref="H6" authorId="0" shapeId="0" xr:uid="{00000000-0006-0000-1800-000006000000}">
      <text>
        <r>
          <rPr>
            <sz val="10"/>
            <color rgb="FF000000"/>
            <rFont val="Arial"/>
            <family val="2"/>
          </rPr>
          <t>Tharindu Wickramaarachchi:
RRR = 0.73 (0.56-0.95) for anaemia in non-pregnant women [Fernandez-Gaxiola &amp; De-Regil 2011, Cochrane Database Syst Rev [76]]</t>
        </r>
      </text>
    </comment>
    <comment ref="H7" authorId="0" shapeId="0" xr:uid="{00000000-0006-0000-1800-000007000000}">
      <text>
        <r>
          <rPr>
            <sz val="10"/>
            <color rgb="FF000000"/>
            <rFont val="Arial"/>
            <family val="2"/>
          </rPr>
          <t>Tharindu Wickramaarachchi:
RRR = 0.73 (0.56-0.95) for anaemia in non-pregnant women [Fernandez-Gaxiola &amp; De-Regil 2011, Cochrane Database Syst Rev [76]]</t>
        </r>
      </text>
    </comment>
    <comment ref="L8" authorId="0" shapeId="0" xr:uid="{00000000-0006-0000-1800-000008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M8" authorId="0" shapeId="0" xr:uid="{00000000-0006-0000-1800-000009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N8" authorId="0" shapeId="0" xr:uid="{00000000-0006-0000-1800-00000A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O8" authorId="0" shapeId="0" xr:uid="{00000000-0006-0000-1800-00000B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L9" authorId="0" shapeId="0" xr:uid="{00000000-0006-0000-1800-00000C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M9" authorId="0" shapeId="0" xr:uid="{00000000-0006-0000-1800-00000D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N9" authorId="0" shapeId="0" xr:uid="{00000000-0006-0000-1800-00000E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O9" authorId="0" shapeId="0" xr:uid="{00000000-0006-0000-1800-00000F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L10" authorId="0" shapeId="0" xr:uid="{00000000-0006-0000-1800-000010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M10" authorId="0" shapeId="0" xr:uid="{00000000-0006-0000-1800-000011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N10" authorId="0" shapeId="0" xr:uid="{00000000-0006-0000-1800-000012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O10" authorId="0" shapeId="0" xr:uid="{00000000-0006-0000-1800-000013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B11" authorId="1" shapeId="0" xr:uid="{00000000-0006-0000-1800-000014000000}">
      <text>
        <r>
          <rPr>
            <sz val="10"/>
            <color rgb="FF000000"/>
            <rFont val="Arial"/>
            <family val="2"/>
          </rPr>
          <t>Nick Scott:
Using as a proxy for cash transfers in this databook</t>
        </r>
      </text>
    </comment>
    <comment ref="C12" authorId="0" shapeId="0" xr:uid="{00000000-0006-0000-1800-000015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D12" authorId="0" shapeId="0" xr:uid="{00000000-0006-0000-1800-000016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E12" authorId="0" shapeId="0" xr:uid="{00000000-0006-0000-1800-000017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F12" authorId="0" shapeId="0" xr:uid="{00000000-0006-0000-1800-000018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G12" authorId="0" shapeId="0" xr:uid="{00000000-0006-0000-1800-000019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H12" authorId="0" shapeId="0" xr:uid="{00000000-0006-0000-1800-00001A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I12" authorId="0" shapeId="0" xr:uid="{00000000-0006-0000-1800-00001B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J12" authorId="0" shapeId="0" xr:uid="{00000000-0006-0000-1800-00001C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K12" authorId="0" shapeId="0" xr:uid="{00000000-0006-0000-1800-00001D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L12" authorId="0" shapeId="0" xr:uid="{00000000-0006-0000-1800-00001E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M12" authorId="0" shapeId="0" xr:uid="{00000000-0006-0000-1800-00001F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N12" authorId="0" shapeId="0" xr:uid="{00000000-0006-0000-1800-000020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O12" authorId="0" shapeId="0" xr:uid="{00000000-0006-0000-1800-000021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E13" authorId="0" shapeId="0" xr:uid="{00000000-0006-0000-1800-000022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F13" authorId="0" shapeId="0" xr:uid="{00000000-0006-0000-1800-000023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G13" authorId="0" shapeId="0" xr:uid="{00000000-0006-0000-1800-000024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L14" authorId="1" shapeId="0" xr:uid="{00000000-0006-0000-1800-000025000000}">
      <text>
        <r>
          <rPr>
            <sz val="10"/>
            <color rgb="FF000000"/>
            <rFont val="Arial"/>
            <family val="2"/>
          </rPr>
          <t xml:space="preserve">Nick Scott:
Not statistically significantly different to IFAS
MMS vs I/IFA
Oh et al 2020, RR 1.02 (0.95-1.10)
Keats et al 2019, RR 1.04 (0.94-1.15)  </t>
        </r>
      </text>
    </comment>
    <comment ref="M14" authorId="1" shapeId="0" xr:uid="{00000000-0006-0000-1800-000026000000}">
      <text>
        <r>
          <rPr>
            <sz val="10"/>
            <color rgb="FF000000"/>
            <rFont val="Arial"/>
            <family val="2"/>
          </rPr>
          <t xml:space="preserve">Nick Scott:
Not statistically significantly different to IFAS
MMS vs I/IFA
Oh et al 2020, RR 1.02 (0.95-1.10)
Keats et al 2019, RR 1.04 (0.94-1.15)  </t>
        </r>
      </text>
    </comment>
    <comment ref="N14" authorId="1" shapeId="0" xr:uid="{00000000-0006-0000-1800-000027000000}">
      <text>
        <r>
          <rPr>
            <sz val="10"/>
            <color rgb="FF000000"/>
            <rFont val="Arial"/>
            <family val="2"/>
          </rPr>
          <t xml:space="preserve">Nick Scott:
Not statistically significantly different to IFAS
MMS vs I/IFA
Oh et al 2020, RR 1.02 (0.95-1.10)
Keats et al 2019, RR 1.04 (0.94-1.15)  </t>
        </r>
      </text>
    </comment>
    <comment ref="O14" authorId="1" shapeId="0" xr:uid="{00000000-0006-0000-1800-000028000000}">
      <text>
        <r>
          <rPr>
            <sz val="10"/>
            <color rgb="FF000000"/>
            <rFont val="Arial"/>
            <family val="2"/>
          </rPr>
          <t xml:space="preserve">Nick Scott:
Not statistically significantly different to IFAS
MMS vs I/IFA
Oh et al 2020, RR 1.02 (0.95-1.10)
Keats et al 2019, RR 1.04 (0.94-1.15)  </t>
        </r>
      </text>
    </comment>
    <comment ref="E15" authorId="0" shapeId="0" xr:uid="{00000000-0006-0000-1800-000029000000}">
      <text>
        <r>
          <rPr>
            <sz val="10"/>
            <color rgb="FF000000"/>
            <rFont val="Arial"/>
            <family val="2"/>
          </rPr>
          <t xml:space="preserve">Tharindu Wickramaarachchi:
Wessells et al 2022, iron deficiency anemia), PR 0.36 (0.30-0.44) </t>
        </r>
      </text>
    </comment>
    <comment ref="F15" authorId="0" shapeId="0" xr:uid="{00000000-0006-0000-1800-00002A000000}">
      <text>
        <r>
          <rPr>
            <sz val="10"/>
            <color rgb="FF000000"/>
            <rFont val="Arial"/>
            <family val="2"/>
          </rPr>
          <t xml:space="preserve">Tharindu Wickramaarachchi:
Wessells et al 2022, iron deficiency anemia), PR 0.36 (0.30-0.44) </t>
        </r>
      </text>
    </comment>
    <comment ref="E18" authorId="0" shapeId="0" xr:uid="{00000000-0006-0000-1800-00002B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F18" authorId="0" shapeId="0" xr:uid="{00000000-0006-0000-1800-00002C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G18" authorId="0" shapeId="0" xr:uid="{00000000-0006-0000-1800-00002D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H18" authorId="0" shapeId="0" xr:uid="{00000000-0006-0000-1800-00002E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I18" authorId="0" shapeId="0" xr:uid="{00000000-0006-0000-1800-00002F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J18" authorId="0" shapeId="0" xr:uid="{00000000-0006-0000-1800-000030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K18" authorId="0" shapeId="0" xr:uid="{00000000-0006-0000-1800-000031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L18" authorId="0" shapeId="0" xr:uid="{00000000-0006-0000-1800-000032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M18" authorId="0" shapeId="0" xr:uid="{00000000-0006-0000-1800-000033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N18" authorId="0" shapeId="0" xr:uid="{00000000-0006-0000-1800-000034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O18" authorId="0" shapeId="0" xr:uid="{00000000-0006-0000-1800-000035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19" authorId="0" shapeId="0" xr:uid="{00000000-0006-0000-1800-000036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20" authorId="0" shapeId="0" xr:uid="{00000000-0006-0000-1800-000037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F20" authorId="0" shapeId="0" xr:uid="{00000000-0006-0000-1800-000038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G20" authorId="0" shapeId="0" xr:uid="{00000000-0006-0000-1800-000039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H20" authorId="0" shapeId="0" xr:uid="{00000000-0006-0000-1800-00003A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I20" authorId="0" shapeId="0" xr:uid="{00000000-0006-0000-1800-00003B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J20" authorId="0" shapeId="0" xr:uid="{00000000-0006-0000-1800-00003C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K20" authorId="0" shapeId="0" xr:uid="{00000000-0006-0000-1800-00003D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L20" authorId="0" shapeId="0" xr:uid="{00000000-0006-0000-1800-00003E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M20" authorId="0" shapeId="0" xr:uid="{00000000-0006-0000-1800-00003F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N20" authorId="0" shapeId="0" xr:uid="{00000000-0006-0000-1800-000040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O20" authorId="0" shapeId="0" xr:uid="{00000000-0006-0000-1800-000041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21" authorId="0" shapeId="0" xr:uid="{00000000-0006-0000-1800-000042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A25" authorId="0" shapeId="0" xr:uid="{00000000-0006-0000-1800-000043000000}">
      <text>
        <r>
          <rPr>
            <sz val="10"/>
            <color rgb="FF000000"/>
            <rFont val="Arial"/>
            <family val="2"/>
          </rPr>
          <t>Tharindu Wickramaarachchi:
RRR should be lower so the values should be greater than point estimate (for less reduction of anaemia)</t>
        </r>
      </text>
    </comment>
    <comment ref="C26" authorId="0" shapeId="0" xr:uid="{00000000-0006-0000-1800-000044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(0.87-0.99 );
Assuming at least the same effect on younger group</t>
        </r>
      </text>
    </comment>
    <comment ref="D26" authorId="0" shapeId="0" xr:uid="{00000000-0006-0000-1800-000045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(0.87-0.99 );
Assuming at least the same effect on younger group</t>
        </r>
      </text>
    </comment>
    <comment ref="E26" authorId="0" shapeId="0" xr:uid="{00000000-0006-0000-1800-000046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</t>
        </r>
      </text>
    </comment>
    <comment ref="H27" authorId="0" shapeId="0" xr:uid="{00000000-0006-0000-1800-000047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28" authorId="0" shapeId="0" xr:uid="{00000000-0006-0000-1800-000048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29" authorId="0" shapeId="0" xr:uid="{00000000-0006-0000-1800-000049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30" authorId="0" shapeId="0" xr:uid="{00000000-0006-0000-1800-00004A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L31" authorId="0" shapeId="0" xr:uid="{00000000-0006-0000-1800-00004B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M31" authorId="0" shapeId="0" xr:uid="{00000000-0006-0000-1800-00004C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N31" authorId="0" shapeId="0" xr:uid="{00000000-0006-0000-1800-00004D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O31" authorId="0" shapeId="0" xr:uid="{00000000-0006-0000-1800-00004E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L32" authorId="0" shapeId="0" xr:uid="{00000000-0006-0000-1800-00004F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M32" authorId="0" shapeId="0" xr:uid="{00000000-0006-0000-1800-000050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N32" authorId="0" shapeId="0" xr:uid="{00000000-0006-0000-1800-000051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O32" authorId="0" shapeId="0" xr:uid="{00000000-0006-0000-1800-000052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L33" authorId="0" shapeId="0" xr:uid="{00000000-0006-0000-1800-000053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M33" authorId="0" shapeId="0" xr:uid="{00000000-0006-0000-1800-000054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N33" authorId="0" shapeId="0" xr:uid="{00000000-0006-0000-1800-000055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O33" authorId="0" shapeId="0" xr:uid="{00000000-0006-0000-1800-000056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C35" authorId="0" shapeId="0" xr:uid="{00000000-0006-0000-1800-000057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D35" authorId="0" shapeId="0" xr:uid="{00000000-0006-0000-1800-000058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E35" authorId="0" shapeId="0" xr:uid="{00000000-0006-0000-1800-000059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F35" authorId="0" shapeId="0" xr:uid="{00000000-0006-0000-1800-00005A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G35" authorId="0" shapeId="0" xr:uid="{00000000-0006-0000-1800-00005B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H35" authorId="0" shapeId="0" xr:uid="{00000000-0006-0000-1800-00005C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I35" authorId="0" shapeId="0" xr:uid="{00000000-0006-0000-1800-00005D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J35" authorId="0" shapeId="0" xr:uid="{00000000-0006-0000-1800-00005E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K35" authorId="0" shapeId="0" xr:uid="{00000000-0006-0000-1800-00005F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L35" authorId="0" shapeId="0" xr:uid="{00000000-0006-0000-1800-000060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M35" authorId="0" shapeId="0" xr:uid="{00000000-0006-0000-1800-000061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N35" authorId="0" shapeId="0" xr:uid="{00000000-0006-0000-1800-000062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O35" authorId="0" shapeId="0" xr:uid="{00000000-0006-0000-1800-000063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E36" authorId="0" shapeId="0" xr:uid="{00000000-0006-0000-1800-000064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F36" authorId="0" shapeId="0" xr:uid="{00000000-0006-0000-1800-000065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G36" authorId="0" shapeId="0" xr:uid="{00000000-0006-0000-1800-000066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E38" authorId="0" shapeId="0" xr:uid="{00000000-0006-0000-1800-000067000000}">
      <text>
        <r>
          <rPr>
            <sz val="10"/>
            <color rgb="FF000000"/>
            <rFont val="Arial"/>
            <family val="2"/>
          </rPr>
          <t xml:space="preserve">Tharindu Wickramaarachchi:
Wessells et al 2022, iron deficiency anemia), PR 0.36 (0.30-0.44) </t>
        </r>
      </text>
    </comment>
    <comment ref="F38" authorId="0" shapeId="0" xr:uid="{00000000-0006-0000-1800-000068000000}">
      <text>
        <r>
          <rPr>
            <sz val="10"/>
            <color rgb="FF000000"/>
            <rFont val="Arial"/>
            <family val="2"/>
          </rPr>
          <t xml:space="preserve">Tharindu Wickramaarachchi:
Wessells et al 2022, iron deficiency anemia), PR 0.36 (0.30-0.44) </t>
        </r>
      </text>
    </comment>
    <comment ref="E41" authorId="0" shapeId="0" xr:uid="{00000000-0006-0000-1800-000069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42" authorId="0" shapeId="0" xr:uid="{00000000-0006-0000-1800-00006A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43" authorId="0" shapeId="0" xr:uid="{00000000-0006-0000-1800-00006B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44" authorId="0" shapeId="0" xr:uid="{00000000-0006-0000-1800-00006C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C49" authorId="0" shapeId="0" xr:uid="{00000000-0006-0000-1800-00006D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(0.87-0.99 );
Assuming at least the same effect on younger group</t>
        </r>
      </text>
    </comment>
    <comment ref="D49" authorId="0" shapeId="0" xr:uid="{00000000-0006-0000-1800-00006E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(0.87-0.99 );
Assuming at least the same effect on younger group</t>
        </r>
      </text>
    </comment>
    <comment ref="E49" authorId="0" shapeId="0" xr:uid="{00000000-0006-0000-1800-00006F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</t>
        </r>
      </text>
    </comment>
    <comment ref="H50" authorId="0" shapeId="0" xr:uid="{00000000-0006-0000-1800-000070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I50" authorId="0" shapeId="0" xr:uid="{00000000-0006-0000-1800-000071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J50" authorId="0" shapeId="0" xr:uid="{00000000-0006-0000-1800-000072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K50" authorId="0" shapeId="0" xr:uid="{00000000-0006-0000-1800-000073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51" authorId="0" shapeId="0" xr:uid="{00000000-0006-0000-1800-000074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I51" authorId="0" shapeId="0" xr:uid="{00000000-0006-0000-1800-000075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J51" authorId="0" shapeId="0" xr:uid="{00000000-0006-0000-1800-000076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K51" authorId="0" shapeId="0" xr:uid="{00000000-0006-0000-1800-000077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52" authorId="0" shapeId="0" xr:uid="{00000000-0006-0000-1800-000078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I52" authorId="0" shapeId="0" xr:uid="{00000000-0006-0000-1800-000079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J52" authorId="0" shapeId="0" xr:uid="{00000000-0006-0000-1800-00007A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K52" authorId="0" shapeId="0" xr:uid="{00000000-0006-0000-1800-00007B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53" authorId="0" shapeId="0" xr:uid="{00000000-0006-0000-1800-00007C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I53" authorId="0" shapeId="0" xr:uid="{00000000-0006-0000-1800-00007D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J53" authorId="0" shapeId="0" xr:uid="{00000000-0006-0000-1800-00007E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K53" authorId="0" shapeId="0" xr:uid="{00000000-0006-0000-1800-00007F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L54" authorId="0" shapeId="0" xr:uid="{00000000-0006-0000-1800-000080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M54" authorId="0" shapeId="0" xr:uid="{00000000-0006-0000-1800-000081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N54" authorId="0" shapeId="0" xr:uid="{00000000-0006-0000-1800-000082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O54" authorId="0" shapeId="0" xr:uid="{00000000-0006-0000-1800-000083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L55" authorId="0" shapeId="0" xr:uid="{00000000-0006-0000-1800-000084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M55" authorId="0" shapeId="0" xr:uid="{00000000-0006-0000-1800-000085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N55" authorId="0" shapeId="0" xr:uid="{00000000-0006-0000-1800-000086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O55" authorId="0" shapeId="0" xr:uid="{00000000-0006-0000-1800-000087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L56" authorId="0" shapeId="0" xr:uid="{00000000-0006-0000-1800-000088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M56" authorId="0" shapeId="0" xr:uid="{00000000-0006-0000-1800-000089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N56" authorId="0" shapeId="0" xr:uid="{00000000-0006-0000-1800-00008A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O56" authorId="0" shapeId="0" xr:uid="{00000000-0006-0000-1800-00008B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C58" authorId="0" shapeId="0" xr:uid="{00000000-0006-0000-1800-00008C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D58" authorId="0" shapeId="0" xr:uid="{00000000-0006-0000-1800-00008D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E58" authorId="0" shapeId="0" xr:uid="{00000000-0006-0000-1800-00008E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F58" authorId="0" shapeId="0" xr:uid="{00000000-0006-0000-1800-00008F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G58" authorId="0" shapeId="0" xr:uid="{00000000-0006-0000-1800-000090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H58" authorId="0" shapeId="0" xr:uid="{00000000-0006-0000-1800-000091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I58" authorId="0" shapeId="0" xr:uid="{00000000-0006-0000-1800-000092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J58" authorId="0" shapeId="0" xr:uid="{00000000-0006-0000-1800-000093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K58" authorId="0" shapeId="0" xr:uid="{00000000-0006-0000-1800-000094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L58" authorId="0" shapeId="0" xr:uid="{00000000-0006-0000-1800-000095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M58" authorId="0" shapeId="0" xr:uid="{00000000-0006-0000-1800-000096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N58" authorId="0" shapeId="0" xr:uid="{00000000-0006-0000-1800-000097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O58" authorId="0" shapeId="0" xr:uid="{00000000-0006-0000-1800-000098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E59" authorId="0" shapeId="0" xr:uid="{00000000-0006-0000-1800-000099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F59" authorId="0" shapeId="0" xr:uid="{00000000-0006-0000-1800-00009A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G59" authorId="0" shapeId="0" xr:uid="{00000000-0006-0000-1800-00009B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E61" authorId="0" shapeId="0" xr:uid="{00000000-0006-0000-1800-00009C000000}">
      <text>
        <r>
          <rPr>
            <sz val="10"/>
            <color rgb="FF000000"/>
            <rFont val="Arial"/>
            <family val="2"/>
          </rPr>
          <t xml:space="preserve">Tharindu Wickramaarachchi:
Wessells et al 2022, iron deficiency anemia), PR 0.36 (0.30-0.44) </t>
        </r>
      </text>
    </comment>
    <comment ref="F61" authorId="0" shapeId="0" xr:uid="{00000000-0006-0000-1800-00009D000000}">
      <text>
        <r>
          <rPr>
            <sz val="10"/>
            <color rgb="FF000000"/>
            <rFont val="Arial"/>
            <family val="2"/>
          </rPr>
          <t xml:space="preserve">Tharindu Wickramaarachchi:
Wessells et al 2022, iron deficiency anemia), PR 0.36 (0.30-0.44) </t>
        </r>
      </text>
    </comment>
    <comment ref="E64" authorId="0" shapeId="0" xr:uid="{00000000-0006-0000-1800-00009E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65" authorId="0" shapeId="0" xr:uid="{00000000-0006-0000-1800-00009F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66" authorId="0" shapeId="0" xr:uid="{00000000-0006-0000-1800-0000A0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67" authorId="0" shapeId="0" xr:uid="{00000000-0006-0000-1800-0000A1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</commentList>
</comments>
</file>

<file path=xl/comments1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D3" authorId="0" shapeId="0" xr:uid="{00000000-0006-0000-1900-000001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E3" authorId="0" shapeId="0" xr:uid="{00000000-0006-0000-1900-000002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F3" authorId="0" shapeId="0" xr:uid="{00000000-0006-0000-1900-000003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G3" authorId="0" shapeId="0" xr:uid="{00000000-0006-0000-1900-000004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D5" authorId="0" shapeId="0" xr:uid="{00000000-0006-0000-1900-000005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E5" authorId="0" shapeId="0" xr:uid="{00000000-0006-0000-1900-000006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F5" authorId="0" shapeId="0" xr:uid="{00000000-0006-0000-1900-000007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G5" authorId="0" shapeId="0" xr:uid="{00000000-0006-0000-1900-000008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D10" authorId="0" shapeId="0" xr:uid="{00000000-0006-0000-1900-000009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E10" authorId="0" shapeId="0" xr:uid="{00000000-0006-0000-1900-00000A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F10" authorId="0" shapeId="0" xr:uid="{00000000-0006-0000-1900-00000B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G10" authorId="0" shapeId="0" xr:uid="{00000000-0006-0000-1900-00000C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D12" authorId="0" shapeId="0" xr:uid="{00000000-0006-0000-1900-00000D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E12" authorId="0" shapeId="0" xr:uid="{00000000-0006-0000-1900-00000E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F12" authorId="0" shapeId="0" xr:uid="{00000000-0006-0000-1900-00000F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G12" authorId="0" shapeId="0" xr:uid="{00000000-0006-0000-1900-000010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D17" authorId="0" shapeId="0" xr:uid="{00000000-0006-0000-1900-000011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E17" authorId="0" shapeId="0" xr:uid="{00000000-0006-0000-1900-000012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F17" authorId="0" shapeId="0" xr:uid="{00000000-0006-0000-1900-000013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G17" authorId="0" shapeId="0" xr:uid="{00000000-0006-0000-1900-000014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D19" authorId="0" shapeId="0" xr:uid="{00000000-0006-0000-1900-000015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E19" authorId="0" shapeId="0" xr:uid="{00000000-0006-0000-1900-000016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F19" authorId="0" shapeId="0" xr:uid="{00000000-0006-0000-1900-000017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G19" authorId="0" shapeId="0" xr:uid="{00000000-0006-0000-1900-000018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</commentList>
</comments>
</file>

<file path=xl/comments1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  <author>Nick Scott</author>
  </authors>
  <commentList>
    <comment ref="F3" authorId="0" shapeId="0" xr:uid="{6BB5D3EA-EB2C-4557-A77A-BC3B31DE5A74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G3" authorId="0" shapeId="0" xr:uid="{8276B184-5391-46AC-9017-CD45ED68E7E2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H3" authorId="0" shapeId="0" xr:uid="{70662288-9B2B-4D49-A059-B389A408D887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F4" authorId="0" shapeId="0" xr:uid="{5F99FF59-4E44-4847-82EE-D42B7418AA00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G4" authorId="0" shapeId="0" xr:uid="{F6C9465E-FBDE-45D1-8394-CD6F9C9C2529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H4" authorId="0" shapeId="0" xr:uid="{8724D448-9507-4D14-BCA7-F21B3CAF1BD6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F6" authorId="1" shapeId="0" xr:uid="{1D086CE7-3639-4C5A-8FD3-DB935503731C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G6" authorId="1" shapeId="0" xr:uid="{1EDBAC82-3035-4B47-8DB4-6C9605D373FF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F8" authorId="1" shapeId="0" xr:uid="{F889FFDD-F5D3-428F-97C9-3FA317F4DEEC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G8" authorId="1" shapeId="0" xr:uid="{178C61B9-10CF-475E-AE2A-1148BD159501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F10" authorId="1" shapeId="0" xr:uid="{D1ADD6AA-00B3-496F-889D-6AD9E8EC7261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G10" authorId="1" shapeId="0" xr:uid="{D8A7821F-2C8B-4B9F-B2CF-783B6F1D6ACB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F12" authorId="1" shapeId="0" xr:uid="{30A88894-D578-48EA-8642-A1FBFF69A3C1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G12" authorId="1" shapeId="0" xr:uid="{1FC0B5F8-9FC2-4095-AEC3-321F62EB13E4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F14" authorId="0" shapeId="0" xr:uid="{037243D6-BCDE-4F6B-AFCC-3F94A0DD5E02}">
      <text>
        <r>
          <rPr>
            <sz val="10"/>
            <color rgb="FF000000"/>
            <rFont val="Arial"/>
            <family val="2"/>
          </rPr>
          <t xml:space="preserve">Tharindu Wickramaarachchi:
Dewey et al 2022, severe wasting, PR 0.69 (0.55-0.86) </t>
        </r>
      </text>
    </comment>
    <comment ref="G14" authorId="0" shapeId="0" xr:uid="{DE335ADC-5DD3-496C-A5AC-AAE47036457E}">
      <text>
        <r>
          <rPr>
            <sz val="10"/>
            <color rgb="FF000000"/>
            <rFont val="Arial"/>
            <family val="2"/>
          </rPr>
          <t xml:space="preserve">Tharindu Wickramaarachchi:
Dewey et al 2022, severe wasting, PR 0.69 (0.55-0.86) </t>
        </r>
      </text>
    </comment>
    <comment ref="F16" authorId="0" shapeId="0" xr:uid="{2912EBE3-D556-42B6-96D5-24EC21E6156C}">
      <text>
        <r>
          <rPr>
            <sz val="10"/>
            <color rgb="FF000000"/>
            <rFont val="Arial"/>
            <family val="2"/>
          </rPr>
          <t xml:space="preserve">Tharindu Wickramaarachchi:
Dewey et al 2021, wasting, PR 0.86 (0.80-0.93) </t>
        </r>
      </text>
    </comment>
    <comment ref="G16" authorId="0" shapeId="0" xr:uid="{4CB9182B-79CD-4596-8295-56AF4E3846AB}">
      <text>
        <r>
          <rPr>
            <sz val="10"/>
            <color rgb="FF000000"/>
            <rFont val="Arial"/>
            <family val="2"/>
          </rPr>
          <t xml:space="preserve">Tharindu Wickramaarachchi:
Dewey et al 2021, wasting, PR 0.86 (0.80-0.93) </t>
        </r>
      </text>
    </comment>
    <comment ref="F18" authorId="0" shapeId="0" xr:uid="{80F6289A-949B-4FAE-AC85-22980BCEA4F4}">
      <text>
        <r>
          <rPr>
            <b/>
            <sz val="9"/>
            <color indexed="81"/>
            <rFont val="Tahoma"/>
            <charset val="1"/>
          </rPr>
          <t>Tharindu Wickramaarachchi:</t>
        </r>
        <r>
          <rPr>
            <sz val="9"/>
            <color indexed="81"/>
            <rFont val="Tahoma"/>
            <charset val="1"/>
          </rPr>
          <t xml:space="preserve">
Until clear effect evidence is found, assume no effect</t>
        </r>
      </text>
    </comment>
    <comment ref="F20" authorId="1" shapeId="0" xr:uid="{96FCBC9B-E5EC-46B8-8DF3-3E8D35EE350D}">
      <text>
        <r>
          <rPr>
            <sz val="10"/>
            <color rgb="FF000000"/>
            <rFont val="Arial"/>
            <family val="2"/>
          </rPr>
          <t>Nick Scott:
TAG agreement to use no impact based on the WHO recommendations</t>
        </r>
      </text>
    </comment>
    <comment ref="F22" authorId="1" shapeId="0" xr:uid="{93171B53-CE10-41E2-9E96-E27147D4D778}">
      <text>
        <r>
          <rPr>
            <sz val="10"/>
            <color rgb="FF000000"/>
            <rFont val="Arial"/>
            <family val="2"/>
          </rPr>
          <t>Nick Scott:
TAG agreement to use no impact based on the WHO recommendations</t>
        </r>
      </text>
    </comment>
    <comment ref="D24" authorId="0" shapeId="0" xr:uid="{5FE03E37-E69F-43F4-B94E-7BBC3063A87D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26" authorId="0" shapeId="0" xr:uid="{626B60BA-B78A-4BE5-ACC0-D15C014DDDE7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28" authorId="0" shapeId="0" xr:uid="{A6D7FDB2-70C1-4A3F-AE05-E1F583DAC911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30" authorId="1" shapeId="0" xr:uid="{73FE6ADA-DBBD-4E18-9E0A-7E9F1B65F4FF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E30" authorId="1" shapeId="0" xr:uid="{36DC02C6-7D52-483D-9E4D-A62E1832D1E9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F30" authorId="1" shapeId="0" xr:uid="{3A418ECB-CB98-4DAE-914F-181BDF7ED565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G30" authorId="1" shapeId="0" xr:uid="{F54E6507-D7CB-4F8D-8BA0-8C678AC88484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H30" authorId="1" shapeId="0" xr:uid="{51D136EC-624C-44D3-B5B3-53EE7A4C79F4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D45" authorId="0" shapeId="0" xr:uid="{0358037B-23C7-469B-B136-BD3C312D371A}">
      <text>
        <r>
          <rPr>
            <sz val="10"/>
            <color rgb="FF000000"/>
            <rFont val="Arial"/>
            <family val="2"/>
          </rPr>
          <t xml:space="preserve">Tharindu Wickramaarachchi: RR are not significant
Imdad et al 2023, RR 0.95 (0.69-1.31 ) </t>
        </r>
      </text>
    </comment>
    <comment ref="E45" authorId="0" shapeId="0" xr:uid="{83DD7CE2-EBA6-4C72-A5A2-1E7961104F35}">
      <text>
        <r>
          <rPr>
            <sz val="10"/>
            <color rgb="FF000000"/>
            <rFont val="Arial"/>
            <family val="2"/>
          </rPr>
          <t xml:space="preserve">Tharindu Wickramaarachchi: RR are not significant
Imdad et al 2023, RR 0.95 (0.69-1.31 ) </t>
        </r>
      </text>
    </comment>
    <comment ref="F45" authorId="0" shapeId="0" xr:uid="{D00C0728-6CE5-4232-9E9D-03298AA7E83F}">
      <text>
        <r>
          <rPr>
            <sz val="10"/>
            <color rgb="FF000000"/>
            <rFont val="Arial"/>
            <family val="2"/>
          </rPr>
          <t xml:space="preserve">Tharindu Wickramaarachchi: RR are not significant
Imdad et al 2023, RR 0.95 (0.69-1.31 ) </t>
        </r>
      </text>
    </comment>
    <comment ref="G45" authorId="0" shapeId="0" xr:uid="{DE005C0A-2F8A-418C-851E-64B2B8CFE1FA}">
      <text>
        <r>
          <rPr>
            <sz val="10"/>
            <color rgb="FF000000"/>
            <rFont val="Arial"/>
            <family val="2"/>
          </rPr>
          <t xml:space="preserve">Tharindu Wickramaarachchi: RR are not significant
Imdad et al 2023, RR 0.95 (0.69-1.31 ) </t>
        </r>
      </text>
    </comment>
    <comment ref="H45" authorId="0" shapeId="0" xr:uid="{E55324F7-370C-4385-ADBA-E8B0EBEB4BEC}">
      <text>
        <r>
          <rPr>
            <sz val="10"/>
            <color rgb="FF000000"/>
            <rFont val="Arial"/>
            <family val="2"/>
          </rPr>
          <t xml:space="preserve">Tharindu Wickramaarachchi: RR are not significant
Imdad et al 2023, RR 0.95 (0.69-1.31 ) </t>
        </r>
      </text>
    </comment>
    <comment ref="D46" authorId="0" shapeId="0" xr:uid="{F53439F8-F18B-45A1-B265-14A4B9BFCA4E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E46" authorId="0" shapeId="0" xr:uid="{D3552897-BBD5-4175-B68A-A3F1E4A6E75C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F46" authorId="0" shapeId="0" xr:uid="{CC47941B-D047-44AD-8609-225A3A1207CF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G46" authorId="0" shapeId="0" xr:uid="{0CBE3706-3924-4509-A583-88069D4C218C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H46" authorId="0" shapeId="0" xr:uid="{A5F6F3D3-D70F-4D04-A795-6D6BF5E34983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D49" authorId="0" shapeId="0" xr:uid="{DD598447-A738-4E83-BE84-12132D14A7E3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E49" authorId="0" shapeId="0" xr:uid="{AAC1265A-FBA5-4B61-B6FD-C1ADAB02C015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F49" authorId="0" shapeId="0" xr:uid="{CB5BEA38-52BE-4279-8999-876D134092DA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G49" authorId="0" shapeId="0" xr:uid="{EEC82E46-7238-472F-8156-89C286EC0CC5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H49" authorId="0" shapeId="0" xr:uid="{9AD99541-38BF-452C-BBDF-30A63672B134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D51" authorId="0" shapeId="0" xr:uid="{9F2485E2-4FB1-40DF-95BC-EF307614F383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E51" authorId="0" shapeId="0" xr:uid="{5A344499-6486-4E45-BC00-E472735A7CB2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F51" authorId="0" shapeId="0" xr:uid="{031BB5AD-8138-4687-BD78-7EBC20A98663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G51" authorId="0" shapeId="0" xr:uid="{184A5B5A-1F15-44FE-898C-B90309E01D89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H51" authorId="0" shapeId="0" xr:uid="{8ED585B4-389F-460E-8916-C9CBE4D87E3D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D53" authorId="0" shapeId="0" xr:uid="{AD24A257-1231-432A-9AC2-49A1BBCFE8E5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E53" authorId="0" shapeId="0" xr:uid="{A07ED250-D084-453F-8461-66EC0C10E110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F53" authorId="0" shapeId="0" xr:uid="{9059BCA8-1FD3-4E64-86A7-3061E1F307E3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G53" authorId="0" shapeId="0" xr:uid="{7052734F-4036-424E-8991-EAD18C6FC7CF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H53" authorId="0" shapeId="0" xr:uid="{9211745A-0C8C-4E89-B62F-2D6F1D5B7D01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D55" authorId="1" shapeId="0" xr:uid="{5423B35A-FBAB-43E1-A574-44F7790EAEA1}">
      <text>
        <r>
          <rPr>
            <sz val="10"/>
            <color rgb="FF000000"/>
            <rFont val="Arial"/>
            <family val="2"/>
          </rPr>
          <t>Nick Scott:
Sivanandan &amp; Sankar 2023, neonatal RR 0.68 (0.53-0.86)</t>
        </r>
      </text>
    </comment>
    <comment ref="F60" authorId="0" shapeId="0" xr:uid="{9923839E-0345-401E-8DBE-0D84F514E4A9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G60" authorId="0" shapeId="0" xr:uid="{BA7FE3E3-08B4-4F16-B01F-05A523005C56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H60" authorId="0" shapeId="0" xr:uid="{6D26BBC2-8403-47E0-89A8-CCA5B5E2A63F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F61" authorId="0" shapeId="0" xr:uid="{4063B8B9-975B-4060-938A-48F03FAEF419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G61" authorId="0" shapeId="0" xr:uid="{50660BAB-9FCC-42B5-9F93-0DBB8CA89897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H61" authorId="0" shapeId="0" xr:uid="{C6A07F78-8D75-479F-926E-474BA841B234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F63" authorId="1" shapeId="0" xr:uid="{FA86AF70-4991-447A-BCAA-1000A44BF256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G63" authorId="1" shapeId="0" xr:uid="{FD47D524-CA3E-4654-B95C-882313C71EE4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F65" authorId="1" shapeId="0" xr:uid="{350D10EC-94B3-4790-8891-B0A27313C3E5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G65" authorId="1" shapeId="0" xr:uid="{E54F70F0-DBA3-4F25-90EB-D1DFD3641E6A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F67" authorId="1" shapeId="0" xr:uid="{77363AFB-2A43-477F-8EB8-CC2F7E3ECEA0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G67" authorId="1" shapeId="0" xr:uid="{01109C22-04ED-4FDB-949C-C34810AB2E95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F69" authorId="1" shapeId="0" xr:uid="{72F3E256-254B-4FFC-9E01-1752BCF475A6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G69" authorId="1" shapeId="0" xr:uid="{E057EF81-59F3-42CB-9D3F-907D93019067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F71" authorId="0" shapeId="0" xr:uid="{DF457454-4973-4207-9E3D-7D50D7830FDE}">
      <text>
        <r>
          <rPr>
            <sz val="10"/>
            <color rgb="FF000000"/>
            <rFont val="Arial"/>
            <family val="2"/>
          </rPr>
          <t xml:space="preserve">Tharindu Wickramaarachchi:
Dewey et al 2022, severe wasting, PR 0.69 (0.55-0.86) </t>
        </r>
      </text>
    </comment>
    <comment ref="G71" authorId="0" shapeId="0" xr:uid="{0A31E4B1-743B-4208-AE2B-4146BBD81A93}">
      <text>
        <r>
          <rPr>
            <sz val="10"/>
            <color rgb="FF000000"/>
            <rFont val="Arial"/>
            <family val="2"/>
          </rPr>
          <t xml:space="preserve">Tharindu Wickramaarachchi:
Dewey et al 2022, severe wasting, PR 0.69 (0.55-0.86) </t>
        </r>
      </text>
    </comment>
    <comment ref="F73" authorId="0" shapeId="0" xr:uid="{BA5122FC-4C8D-49F0-9902-8C88B2457CA4}">
      <text>
        <r>
          <rPr>
            <sz val="10"/>
            <color rgb="FF000000"/>
            <rFont val="Arial"/>
            <family val="2"/>
          </rPr>
          <t xml:space="preserve">Tharindu Wickramaarachchi:
Dewey et al 2021, wasting, PR 0.86 (0.80-0.93) </t>
        </r>
      </text>
    </comment>
    <comment ref="G73" authorId="0" shapeId="0" xr:uid="{EB775666-1A82-4D30-A432-4C033A1A7AED}">
      <text>
        <r>
          <rPr>
            <sz val="10"/>
            <color rgb="FF000000"/>
            <rFont val="Arial"/>
            <family val="2"/>
          </rPr>
          <t xml:space="preserve">Tharindu Wickramaarachchi:
Dewey et al 2021, wasting, PR 0.86 (0.80-0.93) </t>
        </r>
      </text>
    </comment>
    <comment ref="F77" authorId="1" shapeId="0" xr:uid="{98BB8C6D-B30B-4DB6-8B35-7D8DCE93E79C}">
      <text>
        <r>
          <rPr>
            <sz val="10"/>
            <color rgb="FF000000"/>
            <rFont val="Arial"/>
            <family val="2"/>
          </rPr>
          <t>Nick Scott:
AIR 2024, prevalence of wasting OR 0.89 (0.80, 0.99). Cash transfers (cash only), unconditional or conditional.
Converted to 1-RR using setting-specific prevalence. Assumes baseline intervention coverage is low</t>
        </r>
      </text>
    </comment>
    <comment ref="F79" authorId="1" shapeId="0" xr:uid="{75544419-0995-4A7F-98E3-CBE19D6471D0}">
      <text>
        <r>
          <rPr>
            <sz val="10"/>
            <color rgb="FF000000"/>
            <rFont val="Arial"/>
            <family val="2"/>
          </rPr>
          <t>Nick Scott:
AIR 2024, prevalence of wasting OR 0.89 (0.80, 0.99). Cash transfers (cash only), unconditional or conditional.
Converted to 1-RR using setting-specific prevalence. Assumes baseline intervention coverage is low</t>
        </r>
      </text>
    </comment>
    <comment ref="D81" authorId="0" shapeId="0" xr:uid="{866B3636-D1B7-40EE-A9B3-22FD1891C340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83" authorId="0" shapeId="0" xr:uid="{3C5743BD-EFCC-4AF2-B330-6FDF8775A9D5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85" authorId="0" shapeId="0" xr:uid="{07C4191C-0E34-4B64-AAF8-A7F551741AB2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87" authorId="1" shapeId="0" xr:uid="{419B2D75-98C1-46B5-842D-118FC911FF04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E87" authorId="1" shapeId="0" xr:uid="{A1CD6A7F-EF69-49BD-84EA-F060EB24114F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F87" authorId="1" shapeId="0" xr:uid="{D5825461-688C-438C-8542-BD85D579FDC7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G87" authorId="1" shapeId="0" xr:uid="{AF7C92B2-AC28-43C3-9C19-D68E37FF28FD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H87" authorId="1" shapeId="0" xr:uid="{700142E9-6A7D-415A-8AA2-F2A8B6A75555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D103" authorId="0" shapeId="0" xr:uid="{7D67AB3C-983B-47D0-9AFF-DA097636CBA4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E103" authorId="0" shapeId="0" xr:uid="{38FC6B21-5384-4027-AE29-F2FF12011A26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F103" authorId="0" shapeId="0" xr:uid="{EB3D123B-E86C-4173-B872-21E041277078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G103" authorId="0" shapeId="0" xr:uid="{C5BAFDF7-3C0B-454A-B8DD-17A5272728F7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H103" authorId="0" shapeId="0" xr:uid="{BB84B4E6-6EBF-43F8-A27F-ABACD68A728A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D106" authorId="0" shapeId="0" xr:uid="{BFD18A89-7D4A-4FA5-8D9C-46BDFC49F7B4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E106" authorId="0" shapeId="0" xr:uid="{1ABF9016-F3C2-48B1-BD46-AD89F4003AC8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F106" authorId="0" shapeId="0" xr:uid="{6A6E8E29-2989-40FF-B168-55803883F0D8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G106" authorId="0" shapeId="0" xr:uid="{48DA76B4-3665-4A45-819A-BFEEFF70E5D8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H106" authorId="0" shapeId="0" xr:uid="{B80ED8C6-87BC-498B-8629-005BCCE79F4B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D108" authorId="0" shapeId="0" xr:uid="{B5F2ED77-4534-4005-9653-3943813A8B21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E108" authorId="0" shapeId="0" xr:uid="{76285A74-606B-4904-9089-8C072E19A125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F108" authorId="0" shapeId="0" xr:uid="{63134AD8-900C-4178-BB9D-773F5A2AEB3B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G108" authorId="0" shapeId="0" xr:uid="{E4550204-DAD5-4F24-9613-4B653BB1BEF9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H108" authorId="0" shapeId="0" xr:uid="{8EB04C99-52A7-4C56-9738-8833ED4CF79E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D110" authorId="0" shapeId="0" xr:uid="{1E087D6A-9C87-4366-B106-9662D0E9F522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E110" authorId="0" shapeId="0" xr:uid="{9524A10F-3B35-4B50-9361-07DEAF9EC66F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F110" authorId="0" shapeId="0" xr:uid="{00995C78-B5BF-45A5-8F02-B4D6CB8053C5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G110" authorId="0" shapeId="0" xr:uid="{B614B807-4445-457C-8B76-0D078F087764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H110" authorId="0" shapeId="0" xr:uid="{4A9ECB14-4CB2-41BF-A402-F7A28029EC10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D112" authorId="1" shapeId="0" xr:uid="{B642BE55-802D-4C94-B750-1AEA253BACA7}">
      <text>
        <r>
          <rPr>
            <sz val="10"/>
            <color rgb="FF000000"/>
            <rFont val="Arial"/>
            <family val="2"/>
          </rPr>
          <t>Nick Scott:
Sivanandan &amp; Sankar 2023, neonatal RR 0.68 (0.53-0.86)</t>
        </r>
      </text>
    </comment>
    <comment ref="F117" authorId="0" shapeId="0" xr:uid="{CE9B9D72-3B1C-4412-9D79-6D0874D60CEE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G117" authorId="0" shapeId="0" xr:uid="{AB5427B8-7880-46F7-8737-0E11C545B3E1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H117" authorId="0" shapeId="0" xr:uid="{7DADC3D7-B312-4F80-917D-FD030194B70F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F118" authorId="0" shapeId="0" xr:uid="{E932DAA3-B84B-48A0-A350-BB68775D7800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G118" authorId="0" shapeId="0" xr:uid="{75AFBBA3-C0BF-47C9-96C1-E2BCE0A5518C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H118" authorId="0" shapeId="0" xr:uid="{44B4DAC8-1128-45E5-B99C-C84974BBEE0A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F120" authorId="1" shapeId="0" xr:uid="{BFC250B8-BAEB-445C-954D-7BE97AABDFDB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G120" authorId="1" shapeId="0" xr:uid="{AEC7DAF2-9B1C-4CBB-B735-E9AB7A0CFD03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F122" authorId="1" shapeId="0" xr:uid="{5757C298-3224-4FCB-AE44-57AE2804657A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G122" authorId="1" shapeId="0" xr:uid="{32018E11-B6CC-4CB9-AD83-CDEAB15CB02F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F124" authorId="1" shapeId="0" xr:uid="{548CA939-8049-4A22-8DCF-97B43275D455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G124" authorId="1" shapeId="0" xr:uid="{B79D2BBE-1689-4CA2-9F3C-27F21A096995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F126" authorId="1" shapeId="0" xr:uid="{521B8842-9FA3-4AE6-9999-7E38BD5734E2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G126" authorId="1" shapeId="0" xr:uid="{745C521C-CEC3-4590-B658-F244E03502B3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F128" authorId="0" shapeId="0" xr:uid="{48501DF5-33AD-4137-BF61-A1ACEF3712BB}">
      <text>
        <r>
          <rPr>
            <sz val="10"/>
            <color rgb="FF000000"/>
            <rFont val="Arial"/>
            <family val="2"/>
          </rPr>
          <t xml:space="preserve">Tharindu Wickramaarachchi:
Dewey et al 2022, severe wasting, PR 0.69 (0.55-0.86) </t>
        </r>
      </text>
    </comment>
    <comment ref="G128" authorId="0" shapeId="0" xr:uid="{52DA180B-0E50-41F0-B433-76D057FD32AA}">
      <text>
        <r>
          <rPr>
            <sz val="10"/>
            <color rgb="FF000000"/>
            <rFont val="Arial"/>
            <family val="2"/>
          </rPr>
          <t xml:space="preserve">Tharindu Wickramaarachchi:
Dewey et al 2022, severe wasting, PR 0.69 (0.55-0.86) </t>
        </r>
      </text>
    </comment>
    <comment ref="F130" authorId="0" shapeId="0" xr:uid="{1827DF80-3E7F-4FAE-B545-321A48A20B7F}">
      <text>
        <r>
          <rPr>
            <sz val="10"/>
            <color rgb="FF000000"/>
            <rFont val="Arial"/>
            <family val="2"/>
          </rPr>
          <t xml:space="preserve">Tharindu Wickramaarachchi:
Dewey et al 2021, wasting, PR 0.86 (0.80-0.93) </t>
        </r>
      </text>
    </comment>
    <comment ref="G130" authorId="0" shapeId="0" xr:uid="{428ADF28-94CB-45A6-B512-653753D79D4A}">
      <text>
        <r>
          <rPr>
            <sz val="10"/>
            <color rgb="FF000000"/>
            <rFont val="Arial"/>
            <family val="2"/>
          </rPr>
          <t xml:space="preserve">Tharindu Wickramaarachchi:
Dewey et al 2021, wasting, PR 0.86 (0.80-0.93) </t>
        </r>
      </text>
    </comment>
    <comment ref="F134" authorId="1" shapeId="0" xr:uid="{E327363C-87BF-426D-8031-8E5B15B868F6}">
      <text>
        <r>
          <rPr>
            <sz val="10"/>
            <color rgb="FF000000"/>
            <rFont val="Arial"/>
            <family val="2"/>
          </rPr>
          <t>Nick Scott:
AIR 2024, prevalence of wasting OR 0.89 (0.80, 0.99). Cash transfers (cash only), unconditional or conditional.
Converted to 1-RR using setting-specific prevalence. Assumes baseline intervention coverage is low</t>
        </r>
      </text>
    </comment>
    <comment ref="F136" authorId="1" shapeId="0" xr:uid="{0FC0F10D-E16C-4929-8C9C-BBCE7D585B2C}">
      <text>
        <r>
          <rPr>
            <sz val="10"/>
            <color rgb="FF000000"/>
            <rFont val="Arial"/>
            <family val="2"/>
          </rPr>
          <t>Nick Scott:
AIR 2024, prevalence of wasting OR 0.89 (0.80, 0.99). Cash transfers (cash only), unconditional or conditional.
Converted to 1-RR using setting-specific prevalence. Assumes baseline intervention coverage is low</t>
        </r>
      </text>
    </comment>
    <comment ref="D138" authorId="0" shapeId="0" xr:uid="{83AA2241-D1A0-473B-BB01-4502DE008F6C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140" authorId="0" shapeId="0" xr:uid="{AB840D19-E9DC-41E5-8B1A-28772D27BB6F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142" authorId="0" shapeId="0" xr:uid="{28DA7237-5B4A-4888-B612-1517D8E4181A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144" authorId="1" shapeId="0" xr:uid="{24B15358-0318-4650-A1D9-ACBF45D6BD86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E144" authorId="1" shapeId="0" xr:uid="{3CCBD856-2028-4562-873C-EF798B7CEB0E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F144" authorId="1" shapeId="0" xr:uid="{515C103F-DDC3-40D5-AA24-3704C957FBDF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G144" authorId="1" shapeId="0" xr:uid="{2B07245A-D9DE-402F-8C94-59F9204780AD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H144" authorId="1" shapeId="0" xr:uid="{B09F6ACE-9930-4B23-AC49-D976E3AF6D20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D160" authorId="0" shapeId="0" xr:uid="{08D07A70-B0BF-4318-BF4F-F0DBC6170F84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E160" authorId="0" shapeId="0" xr:uid="{76EC0005-9898-4CC7-A802-EC15F25448F0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F160" authorId="0" shapeId="0" xr:uid="{E5FFA232-5153-4095-946B-DFA45A9FBF8C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G160" authorId="0" shapeId="0" xr:uid="{AFCCFA07-E0EB-45D3-B7C0-514815792647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H160" authorId="0" shapeId="0" xr:uid="{C392BCAD-8C69-4A4C-87EF-377772EECC28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D163" authorId="0" shapeId="0" xr:uid="{E3317A10-0BE4-48FF-9352-A01B5BA3FEE5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E163" authorId="0" shapeId="0" xr:uid="{67EC6033-7BEB-4400-84EE-0A8533A907FD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F163" authorId="0" shapeId="0" xr:uid="{E94FC89C-5249-427A-BE28-D6BFC2F81758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G163" authorId="0" shapeId="0" xr:uid="{AA56A34D-E716-48F4-B898-FA37D2EF7D4D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H163" authorId="0" shapeId="0" xr:uid="{90492BA0-E368-47BA-98D1-DF7E39D86EF5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D165" authorId="0" shapeId="0" xr:uid="{9CD81021-C7F5-4F80-9E36-5A372FBC35BF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E165" authorId="0" shapeId="0" xr:uid="{49DF1121-32A1-4036-AEE8-BCAAA6147B06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F165" authorId="0" shapeId="0" xr:uid="{9499DF21-B57E-420A-A749-CC9BF2D4D725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G165" authorId="0" shapeId="0" xr:uid="{4524A951-07DC-487B-A233-43D4EAAEC701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H165" authorId="0" shapeId="0" xr:uid="{889D9E25-29F0-4C18-931F-58D4600ECBE1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D167" authorId="0" shapeId="0" xr:uid="{678FE956-BF94-4DA4-81E3-20DDE72682D7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E167" authorId="0" shapeId="0" xr:uid="{6CE9DBC0-F411-450C-ADE5-6FE43AB51348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F167" authorId="0" shapeId="0" xr:uid="{F2C8AB55-E76F-4187-99C2-69AB2BD9809A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G167" authorId="0" shapeId="0" xr:uid="{D025E63E-9D67-4225-8627-D53B10AA6DB9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H167" authorId="0" shapeId="0" xr:uid="{E220EC8B-3A48-4133-BD12-15E3EB9F00B6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D169" authorId="1" shapeId="0" xr:uid="{74D29CD4-44A4-4706-B0D2-5EBDC4B70B6C}">
      <text>
        <r>
          <rPr>
            <sz val="10"/>
            <color rgb="FF000000"/>
            <rFont val="Arial"/>
            <family val="2"/>
          </rPr>
          <t>Nick Scott:
Sivanandan &amp; Sankar 2023, neonatal RR 0.68 (0.53-0.86)</t>
        </r>
      </text>
    </comment>
  </commentList>
</comments>
</file>

<file path=xl/comments1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D3" authorId="0" shapeId="0" xr:uid="{00000000-0006-0000-1B00-000001000000}">
      <text>
        <r>
          <rPr>
            <sz val="10"/>
            <color rgb="FF000000"/>
            <rFont val="Arial"/>
            <family val="2"/>
          </rPr>
          <t>Tharindu Wickramaarachchi:
Not statistically significant from Hofmeyr et al 2018, RR 0.17 (0.02-1.39)
RRR=1-1*0.17=0.83</t>
        </r>
      </text>
    </comment>
    <comment ref="E3" authorId="0" shapeId="0" xr:uid="{00000000-0006-0000-1B00-000002000000}">
      <text>
        <r>
          <rPr>
            <sz val="10"/>
            <color rgb="FF000000"/>
            <rFont val="Arial"/>
            <family val="2"/>
          </rPr>
          <t>Tharindu Wickramaarachchi:
Not statistically significant from Hofmeyr et al 2018, RR 0.17 (0.02-1.39)
RRR=1-1*0.17=0.83</t>
        </r>
      </text>
    </comment>
    <comment ref="F3" authorId="0" shapeId="0" xr:uid="{00000000-0006-0000-1B00-000003000000}">
      <text>
        <r>
          <rPr>
            <sz val="10"/>
            <color rgb="FF000000"/>
            <rFont val="Arial"/>
            <family val="2"/>
          </rPr>
          <t>Tharindu Wickramaarachchi:
Not statistically significant from Hofmeyr et al 2018, RR 0.17 (0.02-1.39)
RRR=1-1*0.17=0.83</t>
        </r>
      </text>
    </comment>
    <comment ref="G3" authorId="0" shapeId="0" xr:uid="{00000000-0006-0000-1B00-000004000000}">
      <text>
        <r>
          <rPr>
            <sz val="10"/>
            <color rgb="FF000000"/>
            <rFont val="Arial"/>
            <family val="2"/>
          </rPr>
          <t>Tharindu Wickramaarachchi:
Not statistically significant from Hofmeyr et al 2018, RR 0.17 (0.02-1.39)
RRR=1-1*0.17=0.83</t>
        </r>
      </text>
    </comment>
    <comment ref="D5" authorId="0" shapeId="0" xr:uid="{00000000-0006-0000-1B00-000005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E5" authorId="0" shapeId="0" xr:uid="{00000000-0006-0000-1B00-000006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F5" authorId="0" shapeId="0" xr:uid="{00000000-0006-0000-1B00-000007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G5" authorId="0" shapeId="0" xr:uid="{00000000-0006-0000-1B00-000008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D7" authorId="0" shapeId="0" xr:uid="{00000000-0006-0000-1B00-000009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E7" authorId="0" shapeId="0" xr:uid="{00000000-0006-0000-1B00-00000A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F7" authorId="0" shapeId="0" xr:uid="{00000000-0006-0000-1B00-00000B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G7" authorId="0" shapeId="0" xr:uid="{00000000-0006-0000-1B00-00000C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D9" authorId="0" shapeId="0" xr:uid="{32FA61A0-1B1D-4640-80AE-AA60652E0238}">
      <text>
        <r>
          <rPr>
            <b/>
            <sz val="9"/>
            <color indexed="81"/>
            <rFont val="Tahoma"/>
            <family val="2"/>
          </rPr>
          <t>Tharindu Wickramaarachchi:</t>
        </r>
        <r>
          <rPr>
            <sz val="9"/>
            <color indexed="81"/>
            <rFont val="Tahoma"/>
            <family val="2"/>
          </rPr>
          <t xml:space="preserve">
RR = 0.91 (0.86-0.98)
Hofmeyr et al 2023 </t>
        </r>
      </text>
    </comment>
    <comment ref="D14" authorId="0" shapeId="0" xr:uid="{00000000-0006-0000-1B00-00000D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E14" authorId="0" shapeId="0" xr:uid="{00000000-0006-0000-1B00-00000E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F14" authorId="0" shapeId="0" xr:uid="{00000000-0006-0000-1B00-00000F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G14" authorId="0" shapeId="0" xr:uid="{00000000-0006-0000-1B00-000010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D25" authorId="0" shapeId="0" xr:uid="{00000000-0006-0000-1B00-000011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E25" authorId="0" shapeId="0" xr:uid="{00000000-0006-0000-1B00-000012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F25" authorId="0" shapeId="0" xr:uid="{00000000-0006-0000-1B00-000013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G25" authorId="0" shapeId="0" xr:uid="{00000000-0006-0000-1B00-000014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</commentList>
</comments>
</file>

<file path=xl/sharedStrings.xml><?xml version="1.0" encoding="utf-8"?>
<sst xmlns="http://schemas.openxmlformats.org/spreadsheetml/2006/main" count="2169" uniqueCount="369">
  <si>
    <t>Field</t>
  </si>
  <si>
    <t>Causes</t>
  </si>
  <si>
    <t>Sepsis</t>
  </si>
  <si>
    <t>Population</t>
  </si>
  <si>
    <t>x</t>
  </si>
  <si>
    <t>Extension</t>
  </si>
  <si>
    <t>Condition</t>
  </si>
  <si>
    <t>Distribution</t>
  </si>
  <si>
    <t>Implant</t>
  </si>
  <si>
    <t>Normal</t>
  </si>
  <si>
    <t>N/A</t>
  </si>
  <si>
    <t>Outcome</t>
  </si>
  <si>
    <t>Parameter</t>
  </si>
  <si>
    <t>Value</t>
  </si>
  <si>
    <t>Life tables</t>
  </si>
  <si>
    <t>Age 5</t>
  </si>
  <si>
    <t>Age  10</t>
  </si>
  <si>
    <t>Age 15</t>
  </si>
  <si>
    <t>Age 20</t>
  </si>
  <si>
    <t>Age 25</t>
  </si>
  <si>
    <t>Age 30</t>
  </si>
  <si>
    <t>Age 35</t>
  </si>
  <si>
    <t>Age 40</t>
  </si>
  <si>
    <t>Age 45</t>
  </si>
  <si>
    <t>Age 50</t>
  </si>
  <si>
    <t>Age 55</t>
  </si>
  <si>
    <t>Age 60</t>
  </si>
  <si>
    <t>Age 65</t>
  </si>
  <si>
    <t>Age 70</t>
  </si>
  <si>
    <t>Cash transfers - lower</t>
  </si>
  <si>
    <t>Cash transfers - upper</t>
  </si>
  <si>
    <t>Données de l'année de référence</t>
  </si>
  <si>
    <t>Années de projection</t>
  </si>
  <si>
    <t>Année de référence (première année de la projection)</t>
  </si>
  <si>
    <t>Année finale</t>
  </si>
  <si>
    <t>Données démographiques</t>
  </si>
  <si>
    <t>Population des enfants de moins de 5 ans</t>
  </si>
  <si>
    <t>Pourcentage de la population en situation d'insécurité alimentaire (pauvre par défaut)</t>
  </si>
  <si>
    <t>Pourcentage de la population exposé au risque de paludisme</t>
  </si>
  <si>
    <t>Fréquentation scolaire (pourcentage des femmes de 15 à 19 ans)</t>
  </si>
  <si>
    <t>Pourcentage des femmes enceintes fréquentant un établissement de santé</t>
  </si>
  <si>
    <t>Pourcentage des enfants fréquentant un établissement de santé</t>
  </si>
  <si>
    <t>Besoin non satisfait pour la planification familiale</t>
  </si>
  <si>
    <t>Alimentation</t>
  </si>
  <si>
    <t>Fraction de l'agriculture de subsistance</t>
  </si>
  <si>
    <t>Fraction qui mange du riz comme denrée de base principale</t>
  </si>
  <si>
    <t>Fraction qui mange du blé comme denrée de base principale</t>
  </si>
  <si>
    <t>Fraction qui mange du maïs comme denrée de base principale</t>
  </si>
  <si>
    <t>Fraction qui consomme d'autres denrées de base comme denrée de base principale</t>
  </si>
  <si>
    <t>Répartition par âge des femmes enceintes</t>
  </si>
  <si>
    <t>Pourcentage des femmes enceintes âgées de 15 à 19 ans</t>
  </si>
  <si>
    <t>Pourcentage des femmes enceintes âgées de 20 à 29 ans</t>
  </si>
  <si>
    <t>Pourcentage des femmes enceintes âgées de 30 à 39 ans</t>
  </si>
  <si>
    <t>Pourcentage des femmes enceintes âgées de 40 à 49 ans</t>
  </si>
  <si>
    <t>Espacement des naissances</t>
  </si>
  <si>
    <t>Première naissance</t>
  </si>
  <si>
    <t>moins de 18 mois</t>
  </si>
  <si>
    <t>18 à 23 mois</t>
  </si>
  <si>
    <t>24 mois ou plus</t>
  </si>
  <si>
    <t>Total (doit être 100%)</t>
  </si>
  <si>
    <t>Mortalité et facteurs de risque de l'année de référence</t>
  </si>
  <si>
    <t>Mortalité</t>
  </si>
  <si>
    <t>Mortalité néonatale (pour 1 000 naissances vivantes)</t>
  </si>
  <si>
    <t>Mortalité infantile (pour 1 000 naissances vivantes)</t>
  </si>
  <si>
    <t>Mortalité des moins de 5 ans (pour 1 000 naissances vivantes)</t>
  </si>
  <si>
    <t>Mortalité maternelle (pour 1 000 naissances vivantes)</t>
  </si>
  <si>
    <t>Fraction des grossesses se terminant par un avortement spontané</t>
  </si>
  <si>
    <t>Mortinatalité (pour 1 000 naissances totales)</t>
  </si>
  <si>
    <t>Distribution des résultats des naissances</t>
  </si>
  <si>
    <t>SGA prématuré</t>
  </si>
  <si>
    <t>AGA prématuré</t>
  </si>
  <si>
    <t>SGA à terme</t>
  </si>
  <si>
    <t>AGA à terme</t>
  </si>
  <si>
    <t>Incidence de la diarrhée</t>
  </si>
  <si>
    <t>Nombre moyen d'épisodes par an: &lt;1 mois</t>
  </si>
  <si>
    <t>Nombre moyen d'épisodes par an: 1-5 mois</t>
  </si>
  <si>
    <t>Nombre moyen d'épisodes par an: 6-11 mois</t>
  </si>
  <si>
    <t>Nombre moyen d'épisodes par an: 12-23 mois</t>
  </si>
  <si>
    <t>Nombre moyen d'épisodes par an: 24-59 mois</t>
  </si>
  <si>
    <t>Autres risques</t>
  </si>
  <si>
    <t>Pourcentage de la diarrhée qui est aiguë</t>
  </si>
  <si>
    <t>Pourcentage de l'anémie qui est ferriprive</t>
  </si>
  <si>
    <t>Prévalence de la pré-éclampsie</t>
  </si>
  <si>
    <t>Prévalence de l'éclampsie</t>
  </si>
  <si>
    <t>Données</t>
  </si>
  <si>
    <t>Insuffisance pondérale à la naissance</t>
  </si>
  <si>
    <t>Nombre de naissances</t>
  </si>
  <si>
    <t>FAP: 15-19 ans</t>
  </si>
  <si>
    <t>FAP: 20-29 ans</t>
  </si>
  <si>
    <t>FAP: 30-39 ans</t>
  </si>
  <si>
    <t>FAP: 40-49 ans</t>
  </si>
  <si>
    <t>Total FAP</t>
  </si>
  <si>
    <t>Estimation des femmes enceintes</t>
  </si>
  <si>
    <t>FAP non enceintes</t>
  </si>
  <si>
    <t>année</t>
  </si>
  <si>
    <t>Néonatal</t>
  </si>
  <si>
    <t>Diarrhée néonatale</t>
  </si>
  <si>
    <t>Sepsis néonatal</t>
  </si>
  <si>
    <t>Pneumonie néonatale</t>
  </si>
  <si>
    <t>Asphyxie néonatale</t>
  </si>
  <si>
    <t>Prématurité néonatale</t>
  </si>
  <si>
    <t>Tétanos néonatal</t>
  </si>
  <si>
    <t>Anomalies congénitales néonatales</t>
  </si>
  <si>
    <t>Autres pathologies néonatales</t>
  </si>
  <si>
    <t>Enfants</t>
  </si>
  <si>
    <t>Diarrhée</t>
  </si>
  <si>
    <t>Pneumonie</t>
  </si>
  <si>
    <t>Méningite</t>
  </si>
  <si>
    <t>Rougeole</t>
  </si>
  <si>
    <t>Paludisme</t>
  </si>
  <si>
    <t>Coqueluche</t>
  </si>
  <si>
    <t>SIDA</t>
  </si>
  <si>
    <t>Blessure</t>
  </si>
  <si>
    <t>Autre</t>
  </si>
  <si>
    <t>1-5 mois</t>
  </si>
  <si>
    <t>6-11 mois</t>
  </si>
  <si>
    <t>12-23 mois</t>
  </si>
  <si>
    <t>24-59 mois</t>
  </si>
  <si>
    <t>Femmes enceintes</t>
  </si>
  <si>
    <t>Hémorragie antepartum</t>
  </si>
  <si>
    <t>Hémorragie intra-partum</t>
  </si>
  <si>
    <t>Hémorragie du post-partum</t>
  </si>
  <si>
    <t>Troubles hypertensifs</t>
  </si>
  <si>
    <t>Avortement</t>
  </si>
  <si>
    <t>Embolie</t>
  </si>
  <si>
    <t>Autres causes directes</t>
  </si>
  <si>
    <t>Causes indirectes</t>
  </si>
  <si>
    <t>&lt;1 mois</t>
  </si>
  <si>
    <t>État</t>
  </si>
  <si>
    <t>Retard de croissance (taille-pour-âge)</t>
  </si>
  <si>
    <t>Normal (score HAZ &gt; -1)</t>
  </si>
  <si>
    <t>Léger (score HAZ entre -2 et -1)</t>
  </si>
  <si>
    <t>Modéré (score HAZ entre -3 et -2)</t>
  </si>
  <si>
    <t>Élevé (score HAZ &lt; -3)</t>
  </si>
  <si>
    <t>Émaciation (poids-pour-taille)</t>
  </si>
  <si>
    <t>Normal (score WHZ &gt; -1)</t>
  </si>
  <si>
    <t>Léger (score WHZ entre -2 et -1)</t>
  </si>
  <si>
    <t>MM (score WHZ entre -3 et -2)</t>
  </si>
  <si>
    <t>MAS (score WHZ &lt; -3)</t>
  </si>
  <si>
    <t>Anémie</t>
  </si>
  <si>
    <t>FE: 15-19 ans</t>
  </si>
  <si>
    <t>FE: 20-29 ans</t>
  </si>
  <si>
    <t>FE: 30-39 ans</t>
  </si>
  <si>
    <t>FE: 40-49 ans</t>
  </si>
  <si>
    <t>Prévalence de l'anémie</t>
  </si>
  <si>
    <t>Prévalence de l'anémie ferriprive</t>
  </si>
  <si>
    <t>Allaitement maternel</t>
  </si>
  <si>
    <t>Exclusif</t>
  </si>
  <si>
    <t>Prédominant</t>
  </si>
  <si>
    <t>Partiel</t>
  </si>
  <si>
    <t>Aucun</t>
  </si>
  <si>
    <t>Risque</t>
  </si>
  <si>
    <t>Prévalence du retard de croissance (%)</t>
  </si>
  <si>
    <t>Prévalence de l'émaciation (%)</t>
  </si>
  <si>
    <t>Prévalence de l'anémie (%)</t>
  </si>
  <si>
    <t>Femmes en âge de procréer</t>
  </si>
  <si>
    <t>Prévalence de l'allaitement maternel adapté à l'âge des enfants</t>
  </si>
  <si>
    <t>Enfants âgés de 0 à 5 mois</t>
  </si>
  <si>
    <t>Enfants âgés de 6 à 23 mois</t>
  </si>
  <si>
    <t>Moins de cinq ans (décès pour 1 000 naissances)</t>
  </si>
  <si>
    <t>Maternelle (décès pour 1 000 naissances)</t>
  </si>
  <si>
    <t>Enfants âgés de 0 à 59 mois</t>
  </si>
  <si>
    <t>Taux de croissance du PIB</t>
  </si>
  <si>
    <t>PIB par habitant</t>
  </si>
  <si>
    <t>Actualisation (coûts)</t>
  </si>
  <si>
    <t>Actualisation (avantages)</t>
  </si>
  <si>
    <t>Pourcentage des gains à vie réellement réalisés</t>
  </si>
  <si>
    <t>Âge de départ de la population active</t>
  </si>
  <si>
    <t>Âge d’entrée dans la population active</t>
  </si>
  <si>
    <t>Participation des femmes à la population active</t>
  </si>
  <si>
    <t>Pourcentage de la grossesse auquel attribuer la perte de productivité imputée à l’anémie maternelle</t>
  </si>
  <si>
    <t>Augmentation des points QI grâce à l’allaitement maternel</t>
  </si>
  <si>
    <t>Augmentation de gains grâce à une augmentation d’un point du QI</t>
  </si>
  <si>
    <t>Part du travail du PIB</t>
  </si>
  <si>
    <t>Pourcentage de réduction des gains à vie pour un individu avec un retard de croissance</t>
  </si>
  <si>
    <t>Pourcentage de la perte de productivité imputable à l’anémie infantile</t>
  </si>
  <si>
    <t>Pourcentage de la perte de productivité imputable à l’insuffisance pondérale à la naissance</t>
  </si>
  <si>
    <t>Pourcentage de la perte de productivité imputable à l’anémie maternelle</t>
  </si>
  <si>
    <t>Pourcentage des mortinaissances à inclure pour la perte de productivité</t>
  </si>
  <si>
    <t>Nombre de personnes qui restent en vie (Avec un point de départ de 100.000 naissances)</t>
  </si>
  <si>
    <t>Paquet ANJE</t>
  </si>
  <si>
    <t>Population cible</t>
  </si>
  <si>
    <t>Établissement de santé</t>
  </si>
  <si>
    <t>Communautaire</t>
  </si>
  <si>
    <t>Médias de masse</t>
  </si>
  <si>
    <t>Tous</t>
  </si>
  <si>
    <t>ANJE 1</t>
  </si>
  <si>
    <t>ANJE 2</t>
  </si>
  <si>
    <t>ANJE 3</t>
  </si>
  <si>
    <t>Programme</t>
  </si>
  <si>
    <t>Traitement de la MAS</t>
  </si>
  <si>
    <t>Défaut</t>
  </si>
  <si>
    <t>Ajouter une extension</t>
  </si>
  <si>
    <t>Mode de livraison</t>
  </si>
  <si>
    <t>Gestion de la MAM</t>
  </si>
  <si>
    <t>Couverture à saturation de la population cible</t>
  </si>
  <si>
    <t>Relation coût-couverture</t>
  </si>
  <si>
    <t>Supplémentation équilibrée en énergie et en protéines</t>
  </si>
  <si>
    <t>Supplémentation en calcium</t>
  </si>
  <si>
    <t>Transferts monétaires</t>
  </si>
  <si>
    <t>Clampage tardif du cordon</t>
  </si>
  <si>
    <t>Planification familiale</t>
  </si>
  <si>
    <t>Enrichissement du maïs en FAF</t>
  </si>
  <si>
    <t>Enrichissement du riz en FAF</t>
  </si>
  <si>
    <t>Enrichissement en FAF de la farine de blé</t>
  </si>
  <si>
    <t>SFAF (communautaire)</t>
  </si>
  <si>
    <t>SFAF (établissement de santé)</t>
  </si>
  <si>
    <t>SFAF (détaillant)</t>
  </si>
  <si>
    <t>SFAF (école)</t>
  </si>
  <si>
    <t>SFAF pour les femmes enceintes (communautaire)</t>
  </si>
  <si>
    <t>SFAF pour les femmes enceintes (établissement de santé)</t>
  </si>
  <si>
    <t>TPIg</t>
  </si>
  <si>
    <t>Enrichissement du sel en fer et en iode</t>
  </si>
  <si>
    <t>Soins maternals kangourou</t>
  </si>
  <si>
    <t>Supplémentation en nutriments à base de lipides</t>
  </si>
  <si>
    <t>Moustiquaires imprégnées d'insecticide de longue durée</t>
  </si>
  <si>
    <t>Mg pour l'éclampsie</t>
  </si>
  <si>
    <t>Mg pour la pré-éclampsie</t>
  </si>
  <si>
    <t>Poudres de micronutriments</t>
  </si>
  <si>
    <t>Supplémentation en micronutriments multiples</t>
  </si>
  <si>
    <t>Sels de réhydratation orale</t>
  </si>
  <si>
    <t>Fourniture publique d'aliments complémentaires</t>
  </si>
  <si>
    <t>Supplémentation en vitamine A</t>
  </si>
  <si>
    <t>WASH: lavage des mains</t>
  </si>
  <si>
    <t>WASH: Élimination hygiénique</t>
  </si>
  <si>
    <t>WASH: Amélioration de l'assainissement</t>
  </si>
  <si>
    <t>WASH: Source d'eau améliorée</t>
  </si>
  <si>
    <t>WASH: Eau courante</t>
  </si>
  <si>
    <t>SRO+Zn pour le traitement de la diarrhée</t>
  </si>
  <si>
    <t>Supplémentation en zinc</t>
  </si>
  <si>
    <t>Linéaire (coût marginal constant) [par défaut].</t>
  </si>
  <si>
    <t>Coût à l'unité (US$)</t>
  </si>
  <si>
    <t>Augmentation maximale par an</t>
  </si>
  <si>
    <t>Réduction maximale par an</t>
  </si>
  <si>
    <t>Petite quantité de supplémentation en nutriments à base de lipides</t>
  </si>
  <si>
    <t>Dépendance d'exclusion</t>
  </si>
  <si>
    <t>Dépendance de seuil</t>
  </si>
  <si>
    <t>MAS</t>
  </si>
  <si>
    <t>MM</t>
  </si>
  <si>
    <t>Population générale</t>
  </si>
  <si>
    <t>Groupe général de la population</t>
  </si>
  <si>
    <t>Courbe avec coût marginal croissant</t>
  </si>
  <si>
    <t>Courbe avec coût marginal décroissant</t>
  </si>
  <si>
    <t>En forme de S (coût marginal décroissant puis croissant)</t>
  </si>
  <si>
    <t>Efficacité</t>
  </si>
  <si>
    <t>Méthode</t>
  </si>
  <si>
    <t>Préservatif</t>
  </si>
  <si>
    <t>Stérilisation masculine</t>
  </si>
  <si>
    <t>Stérilisation féminine</t>
  </si>
  <si>
    <t>Injection Depo Provera</t>
  </si>
  <si>
    <t>Pilule</t>
  </si>
  <si>
    <t>Retrait</t>
  </si>
  <si>
    <t>Sensibilisation à la fertilité</t>
  </si>
  <si>
    <t>DIU</t>
  </si>
  <si>
    <t>Coût</t>
  </si>
  <si>
    <t>Coût proportionnel</t>
  </si>
  <si>
    <t>Retard de croissance</t>
  </si>
  <si>
    <t>Prévention de l'émaciation</t>
  </si>
  <si>
    <t>Traitement de l'émaciation</t>
  </si>
  <si>
    <t>Résultats des naissances</t>
  </si>
  <si>
    <t>Mortinaissances</t>
  </si>
  <si>
    <t>Tranche d'âge</t>
  </si>
  <si>
    <t>Comportement</t>
  </si>
  <si>
    <t>Rapport des cotes pour l'allaitement maternelle correct</t>
  </si>
  <si>
    <t>Rapport des cotes pour le retard de croissance</t>
  </si>
  <si>
    <t>Rapport des cotes pour l'alimentation complémentaire</t>
  </si>
  <si>
    <t>Bornes inférieures</t>
  </si>
  <si>
    <t>Rapport des cotes pour l'allaitement maternelle correct - inférieur</t>
  </si>
  <si>
    <t>Rapport des cotes pour le retard de croissance - inférieur</t>
  </si>
  <si>
    <t>Rapport des cotes pour l'alimentation complémentaire correct - inférieur</t>
  </si>
  <si>
    <t>Bornes supérieures</t>
  </si>
  <si>
    <t>Rapport des cotes pour l'allaitement maternelle correct - supérieur</t>
  </si>
  <si>
    <t>Rapport des cotes pour le retard de croissance - supérieur</t>
  </si>
  <si>
    <t>Rapport des cotes pour l'alimentation complémentaire correct - supérieur</t>
  </si>
  <si>
    <t>Compte tenu du retard de croissance antérieur (HAZ &lt; -2 dans la tranche d’âge précédente)</t>
  </si>
  <si>
    <t>Diarrhée (par épisode supplémentaire)</t>
  </si>
  <si>
    <t>Par programme</t>
  </si>
  <si>
    <t>Rapports des cotes supplémentaires</t>
  </si>
  <si>
    <t>Pour MAS par épisode supplémentaire de la diarrhée</t>
  </si>
  <si>
    <t>Pour l'anémie par épisode supplémentaire de la diarrhée aiguë</t>
  </si>
  <si>
    <t>Rapport des cotes pour l'allaitement maternel correct par programme</t>
  </si>
  <si>
    <t>Pour MM par épisode supplémentaire de la diarrhée</t>
  </si>
  <si>
    <t>Rapports des cotes pour l'espacement des naissances optimal par programme</t>
  </si>
  <si>
    <t>Émaciation</t>
  </si>
  <si>
    <t>Compte tenu du retard de croissance antérieur (HAZ &lt; -2 dans la tranche d’âge précédente) - inférieur</t>
  </si>
  <si>
    <t>Diarrhée (par épisode supplémentaire) - inférieur</t>
  </si>
  <si>
    <t>Par programme - inférieur</t>
  </si>
  <si>
    <t>Fourniture publique d'aliments complémentaires - inférieur</t>
  </si>
  <si>
    <t>Supplémentation en nutriments à base de lipids - inférieur</t>
  </si>
  <si>
    <t>Supplémentation en zinc - inférieur</t>
  </si>
  <si>
    <t>Rapport des cotes pour l'allaitement correct par programme - inférieur</t>
  </si>
  <si>
    <t>Soins maternals kangourou - inférieur</t>
  </si>
  <si>
    <t>Pour MAS par épisode supplémentaire de la diarrhée - inférieur</t>
  </si>
  <si>
    <t>Pour MM par épisode supplémentaire de la diarrhée - inférieur</t>
  </si>
  <si>
    <t>Pour l'anémie par épisode supplémentaire de la diarrhée aiguë - inférieur</t>
  </si>
  <si>
    <t>Rapports des cotes pour l'espacement des naissances optimal par programme - inférieur</t>
  </si>
  <si>
    <t>Planification familiale - inférieur</t>
  </si>
  <si>
    <t>Compte tenu du retard de croissance antérieur (HAZ &lt; -2 dans la tranche d’âge précédente) - supérieur</t>
  </si>
  <si>
    <t>Diarrhée (par épisode supplémentaire) - supérieur</t>
  </si>
  <si>
    <t>Par programme - supérieur</t>
  </si>
  <si>
    <t>Fourniture publique d'aliments complémentaires - supérieur</t>
  </si>
  <si>
    <t>Supplémentation en nutriments à base de lipids - supérieur</t>
  </si>
  <si>
    <t>Supplémentation en zinc - supérieur</t>
  </si>
  <si>
    <t>Rapport des cotes pour l'allaitement correct par programme - supérieur</t>
  </si>
  <si>
    <t>Soins maternals kangourou - supérieur</t>
  </si>
  <si>
    <t>Pour MAS par épisode supplémentaire de la diarrhée - supérieur</t>
  </si>
  <si>
    <t>Pour MM par épisode supplémentaire de la diarrhée - supérieur</t>
  </si>
  <si>
    <t>Pour l'anémie par épisode supplémentaire de la diarrhée aiguë - supérieur</t>
  </si>
  <si>
    <t>Rapports des cotes pour l'espacement des naissances optimal par programme - supérieur</t>
  </si>
  <si>
    <t>Planification familiale - supérieur</t>
  </si>
  <si>
    <t>Petite quantité de supplémentation en nutriments à base de lipids - inférieur</t>
  </si>
  <si>
    <t>Petite quantité de supplémentation en nutriments à base de lipids - supérieur</t>
  </si>
  <si>
    <t>efficacité</t>
  </si>
  <si>
    <t>fraction touchée</t>
  </si>
  <si>
    <t>Facteurs de risque maternels contribuant aux résultats des naissances</t>
  </si>
  <si>
    <t>Risque relatif par espacement des naissances</t>
  </si>
  <si>
    <t>Risques pour les enfants touchés par chaque résultat des naissances</t>
  </si>
  <si>
    <t>Rapport des cotes pour des conditions</t>
  </si>
  <si>
    <t>Émaciation (score-HAZ &lt; -2)</t>
  </si>
  <si>
    <t>Risques relatifs des causes du décès néonatales</t>
  </si>
  <si>
    <t>Rapport des cotes pour les femmes avec l'anémie maternelle</t>
  </si>
  <si>
    <t>Risque relatif par espacement des naissances - inférieur</t>
  </si>
  <si>
    <t>Rapport des cotes pour des conditions - inférieur</t>
  </si>
  <si>
    <t>Risques relatifs des causes du décès néonatales - inférieur</t>
  </si>
  <si>
    <t>Risque relatif par espacement des naissances - supérieur</t>
  </si>
  <si>
    <t>Rapport des cotes pour des conditions - supérieur</t>
  </si>
  <si>
    <t>Risques relatifs des causes du décès néonatales - supérieur</t>
  </si>
  <si>
    <t>Retard de croissance (HAZ-score &lt; -2)-i</t>
  </si>
  <si>
    <t>MM (score WHZ entre -3 et -2)-i</t>
  </si>
  <si>
    <t>MAS (score WHZ &lt; -3)-i</t>
  </si>
  <si>
    <t>Retard de croissance (HAZ-score &lt; -2)-s</t>
  </si>
  <si>
    <t>MM (score WHZ entre -3 et -2)-s</t>
  </si>
  <si>
    <t>MAS (score WHZ &lt; -3)-s</t>
  </si>
  <si>
    <t>Rapports des cotes pour les femmes avec l'anémie maternelle - inférieur</t>
  </si>
  <si>
    <t>Rapports des cotes pour les femmes avec l'anémie maternelle - supérieur</t>
  </si>
  <si>
    <t>Risque relatif des causes du décès par la distribution de la taille-pour-âge (retard de croissance)</t>
  </si>
  <si>
    <t>Cause du décès</t>
  </si>
  <si>
    <t>Niveau HAZ</t>
  </si>
  <si>
    <t>Léger</t>
  </si>
  <si>
    <t>Modéré</t>
  </si>
  <si>
    <t>Élevé</t>
  </si>
  <si>
    <t>Niveau WHZ</t>
  </si>
  <si>
    <t>Risque relatif des causes du décès par condition anémique</t>
  </si>
  <si>
    <t>Condition anémique</t>
  </si>
  <si>
    <t>Pas anémique</t>
  </si>
  <si>
    <t>Anémique</t>
  </si>
  <si>
    <t>Risque relatif des causes du décès par mode d'allaitement maternel</t>
  </si>
  <si>
    <t>Mode d'allaitement maternel</t>
  </si>
  <si>
    <t>Risques relatifs de la diarrhée par mode d'allaitement maternel</t>
  </si>
  <si>
    <t>Risque relatif des causes du décès par la distribution du poids-pour-taille (émaciation)</t>
  </si>
  <si>
    <t>Risques relatifs de l'anémie en recevant l'intervention</t>
  </si>
  <si>
    <t>Rapports des cotes de l'anémie en étant couverte par l'intervention</t>
  </si>
  <si>
    <t>Risques relatifs de l'anémie en recevant l'intervention - inférieur</t>
  </si>
  <si>
    <t>Risques relatifs de l'anémie en recevant l'intervention - supérieur</t>
  </si>
  <si>
    <t>Rapport des cotes pour l'anémie en étant couvert par l'intervention - inférieur</t>
  </si>
  <si>
    <t>Rapport des cotes pour l'anémie en étant couvert par l'intervention - supérieur</t>
  </si>
  <si>
    <t>Rapport des cotes de la MAS en étant couvert par le programme</t>
  </si>
  <si>
    <t>Rapport des cotes de la MM en étant couvert par le programme</t>
  </si>
  <si>
    <t>Rapport des cotes de la MAS en étant couvert par le programme - inférieur</t>
  </si>
  <si>
    <t>Rapport des cotes de la MM en étant couvert par le programme - inférieur</t>
  </si>
  <si>
    <t>Rapport des cotes de la MAS en étant couvert par le programme - supérieur</t>
  </si>
  <si>
    <t>Rapport des cotes de la MM en étant couvert par le programme - supérieur</t>
  </si>
  <si>
    <t>Borne inférieure</t>
  </si>
  <si>
    <t>Borne supérieure</t>
  </si>
  <si>
    <t>Condition ciblée</t>
  </si>
  <si>
    <t>Fraction touchée</t>
  </si>
  <si>
    <t>Efficacité à prévenir une mort</t>
  </si>
  <si>
    <t>Efficacité à prévenir un cas</t>
  </si>
  <si>
    <t>Toutes les causes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</si>
</sst>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">
    <numFmt numFmtId="164" formatCode="_(* #,##0.00_);_(* \(#,##0.00\);_(* &quot;-&quot;??_);_(@_)"/>
    <numFmt numFmtId="165" formatCode="_(* #,##0_);_(* \(#,##0\);_(* &quot;-&quot;??_);_(@_)"/>
    <numFmt numFmtId="166" formatCode="0.000"/>
    <numFmt numFmtId="167" formatCode="0.0%"/>
    <numFmt numFmtId="168" formatCode="0.0"/>
    <numFmt numFmtId="169" formatCode="#,##0.0"/>
    <numFmt numFmtId="170" formatCode="0.0000"/>
  </numFmts>
  <fonts count="24" x14ac:knownFonts="1">
    <font>
      <sz val="10"/>
      <color rgb="FF000000"/>
      <name val="Arial"/>
    </font>
    <font>
      <sz val="12"/>
      <color theme="1"/>
      <name val="Calibri"/>
      <family val="2"/>
      <scheme val="minor"/>
    </font>
    <font>
      <b/>
      <sz val="10"/>
      <name val="Arial"/>
      <family val="2"/>
    </font>
    <font>
      <sz val="10"/>
      <name val="Arial"/>
      <family val="2"/>
    </font>
    <font>
      <sz val="10"/>
      <color rgb="FF000000"/>
      <name val="Arial"/>
      <family val="2"/>
    </font>
    <font>
      <u/>
      <sz val="10"/>
      <color theme="10"/>
      <name val="Arial"/>
      <family val="2"/>
    </font>
    <font>
      <u/>
      <sz val="10"/>
      <color theme="11"/>
      <name val="Arial"/>
      <family val="2"/>
    </font>
    <font>
      <b/>
      <sz val="10"/>
      <color rgb="FF000000"/>
      <name val="Arial"/>
      <family val="2"/>
    </font>
    <font>
      <sz val="10"/>
      <color theme="0" tint="-0.499984740745262"/>
      <name val="Arial"/>
      <family val="2"/>
    </font>
    <font>
      <sz val="10"/>
      <color rgb="FFFF0000"/>
      <name val="Arial"/>
      <family val="2"/>
    </font>
    <font>
      <sz val="10"/>
      <color theme="1"/>
      <name val="Arial"/>
      <family val="2"/>
    </font>
    <font>
      <i/>
      <sz val="10"/>
      <color theme="0" tint="-0.34998626667073579"/>
      <name val="Arial"/>
      <family val="2"/>
    </font>
    <font>
      <sz val="11"/>
      <color rgb="FF000000"/>
      <name val="Arial"/>
      <family val="2"/>
    </font>
    <font>
      <b/>
      <sz val="10"/>
      <color theme="0"/>
      <name val="Arial"/>
      <family val="2"/>
    </font>
    <font>
      <sz val="10"/>
      <color theme="0" tint="-4.9989318521683403E-2"/>
      <name val="Arial"/>
      <family val="2"/>
    </font>
    <font>
      <sz val="10"/>
      <color theme="0"/>
      <name val="Arial"/>
      <family val="2"/>
    </font>
    <font>
      <sz val="10"/>
      <color theme="2" tint="-0.499984740745262"/>
      <name val="Arial"/>
      <family val="2"/>
    </font>
    <font>
      <sz val="12"/>
      <color theme="0" tint="-0.499984740745262"/>
      <name val="Calibri"/>
      <family val="2"/>
      <scheme val="minor"/>
    </font>
    <font>
      <sz val="8"/>
      <color rgb="FF000000"/>
      <name val="Arial"/>
      <family val="2"/>
    </font>
    <font>
      <sz val="10"/>
      <color rgb="FF000000"/>
      <name val="Arial"/>
      <family val="2"/>
    </font>
    <font>
      <b/>
      <sz val="9"/>
      <color indexed="81"/>
      <name val="Tahoma"/>
      <family val="2"/>
    </font>
    <font>
      <sz val="9"/>
      <color indexed="81"/>
      <name val="Tahoma"/>
      <family val="2"/>
    </font>
    <font>
      <sz val="9"/>
      <color indexed="81"/>
      <name val="Tahoma"/>
      <charset val="1"/>
    </font>
    <font>
      <b/>
      <sz val="9"/>
      <color indexed="81"/>
      <name val="Tahoma"/>
      <charset val="1"/>
    </font>
  </fonts>
  <fills count="8">
    <fill>
      <patternFill patternType="none"/>
    </fill>
    <fill>
      <patternFill patternType="gray125"/>
    </fill>
    <fill>
      <patternFill patternType="solid">
        <fgColor rgb="FFCCFFCC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3" tint="0.79998168889431442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rgb="FFFFFF00"/>
        <bgColor indexed="64"/>
      </patternFill>
    </fill>
  </fills>
  <borders count="8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 style="thin">
        <color auto="1"/>
      </left>
      <right style="thin">
        <color auto="1"/>
      </right>
      <top/>
      <bottom/>
      <diagonal/>
    </border>
  </borders>
  <cellStyleXfs count="7">
    <xf numFmtId="0" fontId="0" fillId="0" borderId="0"/>
    <xf numFmtId="0" fontId="5" fillId="0" borderId="0"/>
    <xf numFmtId="0" fontId="6" fillId="0" borderId="0"/>
    <xf numFmtId="0" fontId="5" fillId="0" borderId="0"/>
    <xf numFmtId="0" fontId="6" fillId="0" borderId="0"/>
    <xf numFmtId="0" fontId="5" fillId="0" borderId="0"/>
    <xf numFmtId="9" fontId="19" fillId="0" borderId="0" applyFont="0" applyFill="0" applyBorder="0" applyAlignment="0" applyProtection="0"/>
  </cellStyleXfs>
  <cellXfs count="128">
    <xf numFmtId="0" fontId="0" fillId="0" borderId="0" xfId="0"/>
    <xf numFmtId="0" fontId="2" fillId="0" borderId="0" xfId="0" applyFont="1"/>
    <xf numFmtId="0" fontId="3" fillId="0" borderId="0" xfId="0" applyFont="1" applyAlignment="1">
      <alignment horizontal="center"/>
    </xf>
    <xf numFmtId="0" fontId="3" fillId="0" borderId="0" xfId="0" applyFont="1"/>
    <xf numFmtId="0" fontId="7" fillId="0" borderId="0" xfId="0" applyFont="1"/>
    <xf numFmtId="0" fontId="3" fillId="0" borderId="0" xfId="0" applyFont="1" applyAlignment="1">
      <alignment horizontal="right"/>
    </xf>
    <xf numFmtId="10" fontId="0" fillId="0" borderId="0" xfId="0" applyNumberFormat="1"/>
    <xf numFmtId="0" fontId="9" fillId="0" borderId="0" xfId="0" applyFont="1" applyAlignment="1">
      <alignment horizontal="center"/>
    </xf>
    <xf numFmtId="0" fontId="4" fillId="0" borderId="0" xfId="0" applyFont="1"/>
    <xf numFmtId="0" fontId="0" fillId="0" borderId="0" xfId="0" applyAlignment="1">
      <alignment horizontal="right"/>
    </xf>
    <xf numFmtId="0" fontId="0" fillId="0" borderId="0" xfId="0" applyAlignment="1">
      <alignment wrapText="1"/>
    </xf>
    <xf numFmtId="0" fontId="4" fillId="0" borderId="0" xfId="0" applyFont="1" applyAlignment="1">
      <alignment horizontal="right"/>
    </xf>
    <xf numFmtId="164" fontId="4" fillId="0" borderId="0" xfId="0" applyNumberFormat="1" applyFont="1"/>
    <xf numFmtId="165" fontId="4" fillId="0" borderId="0" xfId="0" applyNumberFormat="1" applyFont="1"/>
    <xf numFmtId="0" fontId="7" fillId="0" borderId="0" xfId="0" applyFont="1" applyAlignment="1">
      <alignment horizontal="right"/>
    </xf>
    <xf numFmtId="0" fontId="10" fillId="0" borderId="0" xfId="0" applyFont="1" applyAlignment="1">
      <alignment horizontal="right"/>
    </xf>
    <xf numFmtId="0" fontId="4" fillId="0" borderId="0" xfId="0" applyFont="1" applyAlignment="1">
      <alignment wrapText="1"/>
    </xf>
    <xf numFmtId="165" fontId="8" fillId="3" borderId="1" xfId="0" applyNumberFormat="1" applyFont="1" applyFill="1" applyBorder="1"/>
    <xf numFmtId="0" fontId="4" fillId="0" borderId="0" xfId="0" applyFont="1" applyAlignment="1">
      <alignment horizontal="right" wrapText="1"/>
    </xf>
    <xf numFmtId="0" fontId="4" fillId="0" borderId="0" xfId="0" applyFont="1" applyAlignment="1">
      <alignment horizontal="right" vertical="center"/>
    </xf>
    <xf numFmtId="0" fontId="3" fillId="0" borderId="0" xfId="0" applyFont="1" applyAlignment="1">
      <alignment horizontal="right" wrapText="1"/>
    </xf>
    <xf numFmtId="166" fontId="8" fillId="3" borderId="1" xfId="0" applyNumberFormat="1" applyFont="1" applyFill="1" applyBorder="1" applyAlignment="1">
      <alignment horizontal="right"/>
    </xf>
    <xf numFmtId="0" fontId="2" fillId="0" borderId="0" xfId="0" applyFont="1" applyAlignment="1">
      <alignment wrapText="1"/>
    </xf>
    <xf numFmtId="167" fontId="4" fillId="2" borderId="1" xfId="0" applyNumberFormat="1" applyFont="1" applyFill="1" applyBorder="1" applyAlignment="1">
      <alignment horizontal="right"/>
    </xf>
    <xf numFmtId="167" fontId="4" fillId="0" borderId="0" xfId="0" applyNumberFormat="1" applyFont="1"/>
    <xf numFmtId="0" fontId="3" fillId="0" borderId="0" xfId="0" applyFont="1" applyAlignment="1">
      <alignment horizontal="right" vertical="center" wrapText="1"/>
    </xf>
    <xf numFmtId="0" fontId="2" fillId="0" borderId="0" xfId="0" applyFont="1" applyAlignment="1">
      <alignment horizontal="right" wrapText="1"/>
    </xf>
    <xf numFmtId="0" fontId="11" fillId="0" borderId="0" xfId="0" applyFont="1" applyAlignment="1">
      <alignment horizontal="right" vertical="center"/>
    </xf>
    <xf numFmtId="0" fontId="12" fillId="0" borderId="0" xfId="0" applyFont="1"/>
    <xf numFmtId="0" fontId="13" fillId="0" borderId="0" xfId="0" applyFont="1" applyAlignment="1">
      <alignment horizontal="right"/>
    </xf>
    <xf numFmtId="0" fontId="4" fillId="3" borderId="2" xfId="0" applyFont="1" applyFill="1" applyBorder="1"/>
    <xf numFmtId="0" fontId="4" fillId="3" borderId="3" xfId="0" applyFont="1" applyFill="1" applyBorder="1"/>
    <xf numFmtId="0" fontId="4" fillId="0" borderId="2" xfId="0" applyFont="1" applyBorder="1"/>
    <xf numFmtId="167" fontId="4" fillId="2" borderId="1" xfId="0" applyNumberFormat="1" applyFont="1" applyFill="1" applyBorder="1" applyAlignment="1">
      <alignment horizontal="right" vertical="center"/>
    </xf>
    <xf numFmtId="0" fontId="7" fillId="0" borderId="6" xfId="0" applyFont="1" applyBorder="1"/>
    <xf numFmtId="0" fontId="7" fillId="0" borderId="5" xfId="0" applyFont="1" applyBorder="1"/>
    <xf numFmtId="0" fontId="7" fillId="0" borderId="1" xfId="0" applyFont="1" applyBorder="1"/>
    <xf numFmtId="0" fontId="1" fillId="0" borderId="0" xfId="0" applyFont="1"/>
    <xf numFmtId="167" fontId="14" fillId="3" borderId="4" xfId="0" applyNumberFormat="1" applyFont="1" applyFill="1" applyBorder="1"/>
    <xf numFmtId="0" fontId="15" fillId="0" borderId="0" xfId="0" applyFont="1"/>
    <xf numFmtId="0" fontId="7" fillId="0" borderId="2" xfId="0" applyFont="1" applyBorder="1"/>
    <xf numFmtId="0" fontId="4" fillId="2" borderId="1" xfId="0" applyFont="1" applyFill="1" applyBorder="1" applyAlignment="1" applyProtection="1">
      <alignment horizontal="right"/>
      <protection locked="0"/>
    </xf>
    <xf numFmtId="0" fontId="4" fillId="2" borderId="1" xfId="0" applyFont="1" applyFill="1" applyBorder="1" applyProtection="1">
      <protection locked="0"/>
    </xf>
    <xf numFmtId="3" fontId="4" fillId="2" borderId="1" xfId="0" applyNumberFormat="1" applyFont="1" applyFill="1" applyBorder="1" applyProtection="1">
      <protection locked="0"/>
    </xf>
    <xf numFmtId="9" fontId="4" fillId="2" borderId="1" xfId="0" applyNumberFormat="1" applyFont="1" applyFill="1" applyBorder="1" applyAlignment="1" applyProtection="1">
      <alignment horizontal="right"/>
      <protection locked="0"/>
    </xf>
    <xf numFmtId="9" fontId="4" fillId="2" borderId="1" xfId="0" applyNumberFormat="1" applyFont="1" applyFill="1" applyBorder="1" applyProtection="1">
      <protection locked="0"/>
    </xf>
    <xf numFmtId="9" fontId="8" fillId="3" borderId="1" xfId="0" applyNumberFormat="1" applyFont="1" applyFill="1" applyBorder="1" applyProtection="1">
      <protection locked="0"/>
    </xf>
    <xf numFmtId="167" fontId="4" fillId="2" borderId="1" xfId="0" applyNumberFormat="1" applyFont="1" applyFill="1" applyBorder="1" applyAlignment="1" applyProtection="1">
      <alignment horizontal="right" vertical="center"/>
      <protection locked="0"/>
    </xf>
    <xf numFmtId="9" fontId="8" fillId="3" borderId="1" xfId="0" applyNumberFormat="1" applyFont="1" applyFill="1" applyBorder="1" applyAlignment="1" applyProtection="1">
      <alignment horizontal="right"/>
      <protection locked="0"/>
    </xf>
    <xf numFmtId="3" fontId="4" fillId="2" borderId="1" xfId="0" applyNumberFormat="1" applyFont="1" applyFill="1" applyBorder="1" applyAlignment="1" applyProtection="1">
      <alignment horizontal="center"/>
      <protection locked="0"/>
    </xf>
    <xf numFmtId="165" fontId="4" fillId="2" borderId="1" xfId="0" applyNumberFormat="1" applyFont="1" applyFill="1" applyBorder="1" applyProtection="1">
      <protection locked="0"/>
    </xf>
    <xf numFmtId="10" fontId="3" fillId="2" borderId="1" xfId="0" applyNumberFormat="1" applyFont="1" applyFill="1" applyBorder="1" applyAlignment="1" applyProtection="1">
      <alignment horizontal="right"/>
      <protection locked="0"/>
    </xf>
    <xf numFmtId="167" fontId="8" fillId="3" borderId="1" xfId="0" applyNumberFormat="1" applyFont="1" applyFill="1" applyBorder="1" applyAlignment="1" applyProtection="1">
      <alignment horizontal="right"/>
      <protection locked="0"/>
    </xf>
    <xf numFmtId="167" fontId="4" fillId="2" borderId="1" xfId="0" applyNumberFormat="1" applyFont="1" applyFill="1" applyBorder="1" applyAlignment="1" applyProtection="1">
      <alignment horizontal="right"/>
      <protection locked="0"/>
    </xf>
    <xf numFmtId="167" fontId="0" fillId="2" borderId="1" xfId="0" applyNumberFormat="1" applyFill="1" applyBorder="1" applyProtection="1">
      <protection locked="0"/>
    </xf>
    <xf numFmtId="167" fontId="4" fillId="2" borderId="1" xfId="0" applyNumberFormat="1" applyFont="1" applyFill="1" applyBorder="1" applyProtection="1">
      <protection locked="0"/>
    </xf>
    <xf numFmtId="2" fontId="3" fillId="2" borderId="1" xfId="0" applyNumberFormat="1" applyFont="1" applyFill="1" applyBorder="1" applyProtection="1">
      <protection locked="0"/>
    </xf>
    <xf numFmtId="0" fontId="3" fillId="0" borderId="0" xfId="0" applyFont="1" applyAlignment="1" applyProtection="1">
      <alignment horizontal="right"/>
      <protection locked="0"/>
    </xf>
    <xf numFmtId="0" fontId="4" fillId="0" borderId="0" xfId="0" applyFont="1" applyProtection="1">
      <protection locked="0"/>
    </xf>
    <xf numFmtId="0" fontId="0" fillId="0" borderId="0" xfId="0" applyAlignment="1" applyProtection="1">
      <alignment horizontal="right"/>
      <protection locked="0"/>
    </xf>
    <xf numFmtId="2" fontId="8" fillId="3" borderId="0" xfId="0" applyNumberFormat="1" applyFont="1" applyFill="1" applyAlignment="1" applyProtection="1">
      <alignment horizontal="center"/>
      <protection locked="0"/>
    </xf>
    <xf numFmtId="0" fontId="8" fillId="3" borderId="0" xfId="0" applyFont="1" applyFill="1" applyAlignment="1" applyProtection="1">
      <alignment horizontal="center"/>
      <protection locked="0"/>
    </xf>
    <xf numFmtId="9" fontId="3" fillId="0" borderId="0" xfId="0" applyNumberFormat="1" applyFont="1" applyAlignment="1">
      <alignment horizontal="right"/>
    </xf>
    <xf numFmtId="1" fontId="16" fillId="0" borderId="7" xfId="0" applyNumberFormat="1" applyFont="1" applyBorder="1"/>
    <xf numFmtId="2" fontId="4" fillId="0" borderId="0" xfId="0" applyNumberFormat="1" applyFont="1"/>
    <xf numFmtId="0" fontId="7" fillId="0" borderId="0" xfId="0" applyFont="1" applyAlignment="1">
      <alignment horizontal="center" vertical="center"/>
    </xf>
    <xf numFmtId="0" fontId="7" fillId="4" borderId="0" xfId="0" applyFont="1" applyFill="1"/>
    <xf numFmtId="0" fontId="7" fillId="5" borderId="0" xfId="0" applyFont="1" applyFill="1"/>
    <xf numFmtId="0" fontId="4" fillId="5" borderId="0" xfId="0" applyFont="1" applyFill="1"/>
    <xf numFmtId="0" fontId="7" fillId="0" borderId="0" xfId="0" applyFont="1" applyAlignment="1">
      <alignment wrapText="1"/>
    </xf>
    <xf numFmtId="0" fontId="7" fillId="0" borderId="0" xfId="0" applyFont="1" applyAlignment="1">
      <alignment horizontal="right" wrapText="1"/>
    </xf>
    <xf numFmtId="1" fontId="3" fillId="0" borderId="0" xfId="0" applyNumberFormat="1" applyFont="1" applyAlignment="1">
      <alignment horizontal="right" vertical="center" wrapText="1"/>
    </xf>
    <xf numFmtId="2" fontId="3" fillId="0" borderId="0" xfId="0" applyNumberFormat="1" applyFont="1" applyAlignment="1">
      <alignment horizontal="right" vertical="center" wrapText="1"/>
    </xf>
    <xf numFmtId="1" fontId="4" fillId="0" borderId="0" xfId="0" applyNumberFormat="1" applyFont="1"/>
    <xf numFmtId="1" fontId="4" fillId="5" borderId="0" xfId="0" applyNumberFormat="1" applyFont="1" applyFill="1"/>
    <xf numFmtId="2" fontId="4" fillId="5" borderId="0" xfId="0" applyNumberFormat="1" applyFont="1" applyFill="1"/>
    <xf numFmtId="1" fontId="3" fillId="0" borderId="0" xfId="0" applyNumberFormat="1" applyFont="1"/>
    <xf numFmtId="1" fontId="2" fillId="0" borderId="0" xfId="0" applyNumberFormat="1" applyFont="1"/>
    <xf numFmtId="2" fontId="7" fillId="0" borderId="0" xfId="0" applyNumberFormat="1" applyFont="1"/>
    <xf numFmtId="0" fontId="15" fillId="0" borderId="0" xfId="0" applyFont="1" applyAlignment="1">
      <alignment horizontal="right" wrapText="1"/>
    </xf>
    <xf numFmtId="1" fontId="15" fillId="0" borderId="0" xfId="0" applyNumberFormat="1" applyFont="1"/>
    <xf numFmtId="0" fontId="13" fillId="0" borderId="0" xfId="0" applyFont="1" applyAlignment="1">
      <alignment horizontal="right" wrapText="1"/>
    </xf>
    <xf numFmtId="0" fontId="13" fillId="0" borderId="0" xfId="0" applyFont="1"/>
    <xf numFmtId="166" fontId="4" fillId="0" borderId="0" xfId="0" applyNumberFormat="1" applyFont="1"/>
    <xf numFmtId="1" fontId="17" fillId="0" borderId="0" xfId="0" applyNumberFormat="1" applyFont="1"/>
    <xf numFmtId="1" fontId="8" fillId="0" borderId="0" xfId="0" applyNumberFormat="1" applyFont="1" applyAlignment="1">
      <alignment horizontal="center"/>
    </xf>
    <xf numFmtId="0" fontId="8" fillId="0" borderId="0" xfId="0" applyFont="1"/>
    <xf numFmtId="1" fontId="8" fillId="3" borderId="1" xfId="0" applyNumberFormat="1" applyFont="1" applyFill="1" applyBorder="1" applyProtection="1">
      <protection locked="0"/>
    </xf>
    <xf numFmtId="2" fontId="8" fillId="3" borderId="1" xfId="0" applyNumberFormat="1" applyFont="1" applyFill="1" applyBorder="1" applyProtection="1">
      <protection locked="0"/>
    </xf>
    <xf numFmtId="1" fontId="8" fillId="3" borderId="1" xfId="0" applyNumberFormat="1" applyFont="1" applyFill="1" applyBorder="1" applyAlignment="1" applyProtection="1">
      <alignment horizontal="right"/>
      <protection locked="0"/>
    </xf>
    <xf numFmtId="2" fontId="8" fillId="3" borderId="1" xfId="0" applyNumberFormat="1" applyFont="1" applyFill="1" applyBorder="1" applyAlignment="1" applyProtection="1">
      <alignment horizontal="right"/>
      <protection locked="0"/>
    </xf>
    <xf numFmtId="168" fontId="8" fillId="3" borderId="1" xfId="0" applyNumberFormat="1" applyFont="1" applyFill="1" applyBorder="1" applyAlignment="1" applyProtection="1">
      <alignment horizontal="right"/>
      <protection locked="0"/>
    </xf>
    <xf numFmtId="0" fontId="7" fillId="6" borderId="0" xfId="0" applyFont="1" applyFill="1"/>
    <xf numFmtId="0" fontId="4" fillId="6" borderId="0" xfId="0" applyFont="1" applyFill="1"/>
    <xf numFmtId="1" fontId="4" fillId="6" borderId="0" xfId="0" applyNumberFormat="1" applyFont="1" applyFill="1"/>
    <xf numFmtId="2" fontId="4" fillId="6" borderId="0" xfId="0" applyNumberFormat="1" applyFont="1" applyFill="1"/>
    <xf numFmtId="9" fontId="3" fillId="2" borderId="1" xfId="0" applyNumberFormat="1" applyFont="1" applyFill="1" applyBorder="1" applyProtection="1">
      <protection locked="0"/>
    </xf>
    <xf numFmtId="9" fontId="4" fillId="2" borderId="1" xfId="0" applyNumberFormat="1" applyFont="1" applyFill="1" applyBorder="1" applyAlignment="1" applyProtection="1">
      <alignment horizontal="right" vertical="center"/>
      <protection locked="0"/>
    </xf>
    <xf numFmtId="169" fontId="4" fillId="2" borderId="1" xfId="0" applyNumberFormat="1" applyFont="1" applyFill="1" applyBorder="1" applyProtection="1">
      <protection locked="0"/>
    </xf>
    <xf numFmtId="167" fontId="3" fillId="2" borderId="1" xfId="0" applyNumberFormat="1" applyFont="1" applyFill="1" applyBorder="1" applyAlignment="1" applyProtection="1">
      <alignment horizontal="right"/>
      <protection locked="0"/>
    </xf>
    <xf numFmtId="0" fontId="18" fillId="0" borderId="0" xfId="0" applyFont="1" applyAlignment="1">
      <alignment horizontal="right" wrapText="1"/>
    </xf>
    <xf numFmtId="0" fontId="3" fillId="7" borderId="0" xfId="0" applyFont="1" applyFill="1" applyAlignment="1">
      <alignment horizontal="right"/>
    </xf>
    <xf numFmtId="2" fontId="8" fillId="7" borderId="1" xfId="0" applyNumberFormat="1" applyFont="1" applyFill="1" applyBorder="1" applyAlignment="1" applyProtection="1">
      <alignment horizontal="right"/>
      <protection locked="0"/>
    </xf>
    <xf numFmtId="0" fontId="7" fillId="0" borderId="0" xfId="3" applyFont="1"/>
    <xf numFmtId="0" fontId="5" fillId="0" borderId="0" xfId="3"/>
    <xf numFmtId="0" fontId="2" fillId="0" borderId="0" xfId="3" applyFont="1"/>
    <xf numFmtId="0" fontId="3" fillId="0" borderId="0" xfId="3" applyFont="1"/>
    <xf numFmtId="3" fontId="3" fillId="2" borderId="1" xfId="3" applyNumberFormat="1" applyFont="1" applyFill="1" applyBorder="1" applyAlignment="1" applyProtection="1">
      <alignment horizontal="right"/>
      <protection locked="0"/>
    </xf>
    <xf numFmtId="167" fontId="3" fillId="2" borderId="1" xfId="6" applyNumberFormat="1" applyFont="1" applyFill="1" applyBorder="1" applyAlignment="1" applyProtection="1">
      <alignment horizontal="right"/>
      <protection locked="0"/>
    </xf>
    <xf numFmtId="0" fontId="3" fillId="2" borderId="1" xfId="3" applyFont="1" applyFill="1" applyBorder="1" applyAlignment="1" applyProtection="1">
      <alignment horizontal="right"/>
      <protection locked="0"/>
    </xf>
    <xf numFmtId="10" fontId="3" fillId="2" borderId="1" xfId="6" applyNumberFormat="1" applyFont="1" applyFill="1" applyBorder="1" applyAlignment="1" applyProtection="1">
      <alignment horizontal="right"/>
      <protection locked="0"/>
    </xf>
    <xf numFmtId="170" fontId="3" fillId="2" borderId="1" xfId="3" applyNumberFormat="1" applyFont="1" applyFill="1" applyBorder="1" applyAlignment="1" applyProtection="1">
      <alignment horizontal="right"/>
      <protection locked="0"/>
    </xf>
    <xf numFmtId="0" fontId="5" fillId="0" borderId="0" xfId="3" applyAlignment="1">
      <alignment horizontal="right"/>
    </xf>
    <xf numFmtId="0" fontId="3" fillId="0" borderId="0" xfId="4" applyFont="1" applyAlignment="1">
      <alignment horizontal="right"/>
    </xf>
    <xf numFmtId="1" fontId="8" fillId="3" borderId="1" xfId="3" applyNumberFormat="1" applyFont="1" applyFill="1" applyBorder="1" applyProtection="1">
      <protection locked="0"/>
    </xf>
    <xf numFmtId="0" fontId="3" fillId="0" borderId="0" xfId="3" applyFont="1" applyAlignment="1">
      <alignment horizontal="right"/>
    </xf>
    <xf numFmtId="2" fontId="8" fillId="3" borderId="1" xfId="5" applyNumberFormat="1" applyFont="1" applyFill="1" applyBorder="1" applyAlignment="1" applyProtection="1">
      <alignment horizontal="right"/>
      <protection locked="0"/>
    </xf>
    <xf numFmtId="0" fontId="7" fillId="6" borderId="0" xfId="3" applyFont="1" applyFill="1"/>
    <xf numFmtId="0" fontId="7" fillId="5" borderId="0" xfId="3" applyFont="1" applyFill="1"/>
    <xf numFmtId="0" fontId="5" fillId="5" borderId="0" xfId="3" applyFill="1"/>
    <xf numFmtId="0" fontId="13" fillId="0" borderId="0" xfId="3" applyFont="1"/>
    <xf numFmtId="0" fontId="7" fillId="0" borderId="0" xfId="3" applyFont="1" applyAlignment="1">
      <alignment horizontal="right"/>
    </xf>
    <xf numFmtId="0" fontId="7" fillId="0" borderId="0" xfId="4" applyFont="1"/>
    <xf numFmtId="0" fontId="2" fillId="6" borderId="0" xfId="4" applyFont="1" applyFill="1" applyAlignment="1">
      <alignment horizontal="left"/>
    </xf>
    <xf numFmtId="0" fontId="3" fillId="6" borderId="0" xfId="4" applyFont="1" applyFill="1" applyAlignment="1">
      <alignment horizontal="right"/>
    </xf>
    <xf numFmtId="0" fontId="5" fillId="6" borderId="0" xfId="3" applyFill="1"/>
    <xf numFmtId="0" fontId="7" fillId="0" borderId="0" xfId="0" applyFont="1" applyAlignment="1">
      <alignment horizontal="center" vertical="center"/>
    </xf>
    <xf numFmtId="0" fontId="4" fillId="0" borderId="0" xfId="0" applyFont="1"/>
  </cellXfs>
  <cellStyles count="7">
    <cellStyle name="Comma 2" xfId="5" xr:uid="{00000000-0005-0000-0000-000005000000}"/>
    <cellStyle name="Followed Hyperlink" xfId="2" builtinId="9" hidden="1"/>
    <cellStyle name="Hyperlink" xfId="1" builtinId="8" hidden="1"/>
    <cellStyle name="Normal" xfId="0" builtinId="0"/>
    <cellStyle name="Normal 2" xfId="3" xr:uid="{00000000-0005-0000-0000-000003000000}"/>
    <cellStyle name="Normal 3" xfId="4" xr:uid="{00000000-0005-0000-0000-000004000000}"/>
    <cellStyle name="Percent" xfId="6" builtinId="5"/>
  </cellStyles>
  <dxfs count="1">
    <dxf>
      <font>
        <color theme="0"/>
      </font>
      <fill>
        <patternFill>
          <fgColor indexed="64"/>
          <bgColor auto="1"/>
        </patternFill>
      </fill>
      <border>
        <left/>
        <right/>
        <top/>
        <bottom/>
      </border>
    </dxf>
  </dxfs>
  <tableStyles count="0" defaultTableStyle="TableStyleMedium9" defaultPivotStyle="PivotStyleMedium4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worksheet" Target="worksheets/sheet26.xml"/><Relationship Id="rId3" Type="http://schemas.openxmlformats.org/officeDocument/2006/relationships/worksheet" Target="worksheets/sheet3.xml"/><Relationship Id="rId21" Type="http://schemas.openxmlformats.org/officeDocument/2006/relationships/worksheet" Target="worksheets/sheet21.xml"/><Relationship Id="rId34" Type="http://schemas.openxmlformats.org/officeDocument/2006/relationships/customXml" Target="../customXml/item2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33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29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32" Type="http://schemas.openxmlformats.org/officeDocument/2006/relationships/calcChain" Target="calcChain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worksheet" Target="worksheets/sheet28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31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worksheet" Target="worksheets/sheet27.xml"/><Relationship Id="rId30" Type="http://schemas.openxmlformats.org/officeDocument/2006/relationships/styles" Target="styles.xml"/><Relationship Id="rId35" Type="http://schemas.openxmlformats.org/officeDocument/2006/relationships/customXml" Target="../customXml/item3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comments" Target="../comments3.xml"/><Relationship Id="rId1" Type="http://schemas.openxmlformats.org/officeDocument/2006/relationships/vmlDrawing" Target="../drawings/vmlDrawing3.vml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comments" Target="../comments4.xml"/><Relationship Id="rId1" Type="http://schemas.openxmlformats.org/officeDocument/2006/relationships/vmlDrawing" Target="../drawings/vmlDrawing4.vml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comments" Target="../comments5.xml"/><Relationship Id="rId1" Type="http://schemas.openxmlformats.org/officeDocument/2006/relationships/vmlDrawing" Target="../drawings/vmlDrawing5.vml"/></Relationships>
</file>

<file path=xl/worksheets/_rels/sheet10.xml.rels><?xml version="1.0" encoding="UTF-8" standalone="yes"?>
<Relationships xmlns="http://schemas.openxmlformats.org/package/2006/relationships"><Relationship Id="rId2" Type="http://schemas.openxmlformats.org/officeDocument/2006/relationships/comments" Target="../comments6.xml"/><Relationship Id="rId1" Type="http://schemas.openxmlformats.org/officeDocument/2006/relationships/vmlDrawing" Target="../drawings/vmlDrawing6.vml"/></Relationships>
</file>

<file path=xl/worksheets/_rels/sheet11.xml.rels><?xml version="1.0" encoding="UTF-8" standalone="yes"?>
<Relationships xmlns="http://schemas.openxmlformats.org/package/2006/relationships"><Relationship Id="rId2" Type="http://schemas.openxmlformats.org/officeDocument/2006/relationships/comments" Target="../comments7.xml"/><Relationship Id="rId1" Type="http://schemas.openxmlformats.org/officeDocument/2006/relationships/vmlDrawing" Target="../drawings/vmlDrawing7.vml"/></Relationships>
</file>

<file path=xl/worksheets/_rels/sheet16.xml.rels><?xml version="1.0" encoding="UTF-8" standalone="yes"?>
<Relationships xmlns="http://schemas.openxmlformats.org/package/2006/relationships"><Relationship Id="rId2" Type="http://schemas.openxmlformats.org/officeDocument/2006/relationships/comments" Target="../comments8.xml"/><Relationship Id="rId1" Type="http://schemas.openxmlformats.org/officeDocument/2006/relationships/vmlDrawing" Target="../drawings/vmlDrawing8.vml"/></Relationships>
</file>

<file path=xl/worksheets/_rels/sheet20.xml.rels><?xml version="1.0" encoding="UTF-8" standalone="yes"?>
<Relationships xmlns="http://schemas.openxmlformats.org/package/2006/relationships"><Relationship Id="rId2" Type="http://schemas.openxmlformats.org/officeDocument/2006/relationships/comments" Target="../comments9.xml"/><Relationship Id="rId1" Type="http://schemas.openxmlformats.org/officeDocument/2006/relationships/vmlDrawing" Target="../drawings/vmlDrawing9.vml"/></Relationships>
</file>

<file path=xl/worksheets/_rels/sheet21.xml.rels><?xml version="1.0" encoding="UTF-8" standalone="yes"?>
<Relationships xmlns="http://schemas.openxmlformats.org/package/2006/relationships"><Relationship Id="rId2" Type="http://schemas.openxmlformats.org/officeDocument/2006/relationships/comments" Target="../comments10.xml"/><Relationship Id="rId1" Type="http://schemas.openxmlformats.org/officeDocument/2006/relationships/vmlDrawing" Target="../drawings/vmlDrawing10.vml"/></Relationships>
</file>

<file path=xl/worksheets/_rels/sheet2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1.xml"/><Relationship Id="rId1" Type="http://schemas.openxmlformats.org/officeDocument/2006/relationships/vmlDrawing" Target="../drawings/vmlDrawing11.vml"/></Relationships>
</file>

<file path=xl/worksheets/_rels/sheet23.xml.rels><?xml version="1.0" encoding="UTF-8" standalone="yes"?>
<Relationships xmlns="http://schemas.openxmlformats.org/package/2006/relationships"><Relationship Id="rId2" Type="http://schemas.openxmlformats.org/officeDocument/2006/relationships/comments" Target="../comments12.xml"/><Relationship Id="rId1" Type="http://schemas.openxmlformats.org/officeDocument/2006/relationships/vmlDrawing" Target="../drawings/vmlDrawing12.vml"/></Relationships>
</file>

<file path=xl/worksheets/_rels/sheet24.xml.rels><?xml version="1.0" encoding="UTF-8" standalone="yes"?>
<Relationships xmlns="http://schemas.openxmlformats.org/package/2006/relationships"><Relationship Id="rId2" Type="http://schemas.openxmlformats.org/officeDocument/2006/relationships/comments" Target="../comments13.xml"/><Relationship Id="rId1" Type="http://schemas.openxmlformats.org/officeDocument/2006/relationships/vmlDrawing" Target="../drawings/vmlDrawing13.vml"/></Relationships>
</file>

<file path=xl/worksheets/_rels/sheet25.xml.rels><?xml version="1.0" encoding="UTF-8" standalone="yes"?>
<Relationships xmlns="http://schemas.openxmlformats.org/package/2006/relationships"><Relationship Id="rId2" Type="http://schemas.openxmlformats.org/officeDocument/2006/relationships/comments" Target="../comments14.xml"/><Relationship Id="rId1" Type="http://schemas.openxmlformats.org/officeDocument/2006/relationships/vmlDrawing" Target="../drawings/vmlDrawing14.vml"/></Relationships>
</file>

<file path=xl/worksheets/_rels/sheet26.xml.rels><?xml version="1.0" encoding="UTF-8" standalone="yes"?>
<Relationships xmlns="http://schemas.openxmlformats.org/package/2006/relationships"><Relationship Id="rId2" Type="http://schemas.openxmlformats.org/officeDocument/2006/relationships/comments" Target="../comments15.xml"/><Relationship Id="rId1" Type="http://schemas.openxmlformats.org/officeDocument/2006/relationships/vmlDrawing" Target="../drawings/vmlDrawing15.vml"/></Relationships>
</file>

<file path=xl/worksheets/_rels/sheet27.xml.rels><?xml version="1.0" encoding="UTF-8" standalone="yes"?>
<Relationships xmlns="http://schemas.openxmlformats.org/package/2006/relationships"><Relationship Id="rId2" Type="http://schemas.openxmlformats.org/officeDocument/2006/relationships/comments" Target="../comments16.xml"/><Relationship Id="rId1" Type="http://schemas.openxmlformats.org/officeDocument/2006/relationships/vmlDrawing" Target="../drawings/vmlDrawing16.vml"/></Relationships>
</file>

<file path=xl/worksheets/_rels/sheet28.xml.rels><?xml version="1.0" encoding="UTF-8" standalone="yes"?>
<Relationships xmlns="http://schemas.openxmlformats.org/package/2006/relationships"><Relationship Id="rId2" Type="http://schemas.openxmlformats.org/officeDocument/2006/relationships/comments" Target="../comments17.xml"/><Relationship Id="rId1" Type="http://schemas.openxmlformats.org/officeDocument/2006/relationships/vmlDrawing" Target="../drawings/vmlDrawing17.v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>
    <tabColor rgb="FF007600"/>
  </sheetPr>
  <dimension ref="A1:E63"/>
  <sheetViews>
    <sheetView tabSelected="1" topLeftCell="A22" zoomScaleNormal="100" workbookViewId="0">
      <selection activeCell="C29" sqref="C29"/>
    </sheetView>
  </sheetViews>
  <sheetFormatPr defaultColWidth="14.453125" defaultRowHeight="15.75" customHeight="1" x14ac:dyDescent="0.25"/>
  <cols>
    <col min="1" max="1" width="27.6328125" style="8" customWidth="1"/>
    <col min="2" max="2" width="38.6328125" style="11" customWidth="1"/>
    <col min="3" max="4" width="14.453125" style="8" customWidth="1"/>
    <col min="5" max="16384" width="14.453125" style="8"/>
  </cols>
  <sheetData>
    <row r="1" spans="1:3" ht="15.9" customHeight="1" x14ac:dyDescent="0.3">
      <c r="A1" s="1" t="s">
        <v>31</v>
      </c>
      <c r="B1" s="29" t="s">
        <v>0</v>
      </c>
      <c r="C1" s="29" t="s">
        <v>84</v>
      </c>
    </row>
    <row r="2" spans="1:3" ht="15.9" customHeight="1" x14ac:dyDescent="0.3">
      <c r="A2" s="8" t="s">
        <v>32</v>
      </c>
      <c r="B2" s="29"/>
      <c r="C2" s="29"/>
    </row>
    <row r="3" spans="1:3" ht="15.9" customHeight="1" x14ac:dyDescent="0.3">
      <c r="A3" s="1"/>
      <c r="B3" s="5" t="s">
        <v>33</v>
      </c>
      <c r="C3" s="41">
        <v>2024</v>
      </c>
    </row>
    <row r="4" spans="1:3" ht="15.9" customHeight="1" x14ac:dyDescent="0.3">
      <c r="A4" s="1"/>
      <c r="B4" s="5" t="s">
        <v>34</v>
      </c>
      <c r="C4" s="42">
        <v>2035</v>
      </c>
    </row>
    <row r="5" spans="1:3" ht="15.9" customHeight="1" x14ac:dyDescent="0.3">
      <c r="A5" s="1"/>
      <c r="B5" s="29"/>
      <c r="C5" s="29"/>
    </row>
    <row r="6" spans="1:3" ht="15" customHeight="1" x14ac:dyDescent="0.25">
      <c r="A6" s="8" t="s">
        <v>35</v>
      </c>
    </row>
    <row r="7" spans="1:3" ht="15" customHeight="1" x14ac:dyDescent="0.25">
      <c r="B7" s="11" t="s">
        <v>36</v>
      </c>
      <c r="C7" s="43">
        <v>26870</v>
      </c>
    </row>
    <row r="8" spans="1:3" ht="15" customHeight="1" x14ac:dyDescent="0.25">
      <c r="B8" s="5" t="s">
        <v>37</v>
      </c>
      <c r="C8" s="44">
        <v>1.0999999999999999E-2</v>
      </c>
    </row>
    <row r="9" spans="1:3" ht="15" customHeight="1" x14ac:dyDescent="0.25">
      <c r="B9" s="5" t="s">
        <v>38</v>
      </c>
      <c r="C9" s="45">
        <v>0.01</v>
      </c>
    </row>
    <row r="10" spans="1:3" ht="15" customHeight="1" x14ac:dyDescent="0.25">
      <c r="B10" s="5" t="s">
        <v>39</v>
      </c>
      <c r="C10" s="45">
        <v>0.81079986572265594</v>
      </c>
    </row>
    <row r="11" spans="1:3" ht="15" customHeight="1" x14ac:dyDescent="0.25">
      <c r="B11" s="5" t="s">
        <v>40</v>
      </c>
      <c r="C11" s="45">
        <v>1</v>
      </c>
    </row>
    <row r="12" spans="1:3" ht="15" customHeight="1" x14ac:dyDescent="0.25">
      <c r="B12" s="5" t="s">
        <v>41</v>
      </c>
      <c r="C12" s="45">
        <v>1</v>
      </c>
    </row>
    <row r="13" spans="1:3" ht="15" customHeight="1" x14ac:dyDescent="0.25">
      <c r="B13" s="5" t="s">
        <v>42</v>
      </c>
      <c r="C13" s="45">
        <v>0.60599999999999998</v>
      </c>
    </row>
    <row r="14" spans="1:3" ht="15" customHeight="1" x14ac:dyDescent="0.25">
      <c r="B14" s="8"/>
    </row>
    <row r="15" spans="1:3" ht="15" customHeight="1" x14ac:dyDescent="0.3">
      <c r="A15" s="8" t="s">
        <v>43</v>
      </c>
      <c r="B15" s="14"/>
      <c r="C15" s="3"/>
    </row>
    <row r="16" spans="1:3" ht="15" customHeight="1" x14ac:dyDescent="0.25">
      <c r="B16" s="5" t="s">
        <v>44</v>
      </c>
      <c r="C16" s="45">
        <v>0.1</v>
      </c>
    </row>
    <row r="17" spans="1:3" ht="15" customHeight="1" x14ac:dyDescent="0.25">
      <c r="B17" s="5" t="s">
        <v>45</v>
      </c>
      <c r="C17" s="45">
        <v>0.01</v>
      </c>
    </row>
    <row r="18" spans="1:3" ht="15" customHeight="1" x14ac:dyDescent="0.25">
      <c r="B18" s="5" t="s">
        <v>46</v>
      </c>
      <c r="C18" s="45">
        <v>0.98</v>
      </c>
    </row>
    <row r="19" spans="1:3" ht="15" customHeight="1" x14ac:dyDescent="0.25">
      <c r="B19" s="5" t="s">
        <v>47</v>
      </c>
      <c r="C19" s="45">
        <v>0.01</v>
      </c>
    </row>
    <row r="20" spans="1:3" ht="15" customHeight="1" x14ac:dyDescent="0.25">
      <c r="B20" s="5" t="s">
        <v>48</v>
      </c>
      <c r="C20" s="46">
        <f>1-frac_rice-frac_wheat-frac_maize</f>
        <v>0</v>
      </c>
    </row>
    <row r="21" spans="1:3" ht="15" customHeight="1" x14ac:dyDescent="0.25">
      <c r="B21" s="8"/>
    </row>
    <row r="22" spans="1:3" ht="15" customHeight="1" x14ac:dyDescent="0.25">
      <c r="A22" s="8" t="s">
        <v>49</v>
      </c>
    </row>
    <row r="23" spans="1:3" ht="15" customHeight="1" x14ac:dyDescent="0.25">
      <c r="B23" s="15" t="s">
        <v>50</v>
      </c>
      <c r="C23" s="45">
        <v>3.4700000000000002E-2</v>
      </c>
    </row>
    <row r="24" spans="1:3" ht="15" customHeight="1" x14ac:dyDescent="0.25">
      <c r="B24" s="15" t="s">
        <v>51</v>
      </c>
      <c r="C24" s="45">
        <v>0.47039999999999998</v>
      </c>
    </row>
    <row r="25" spans="1:3" ht="15" customHeight="1" x14ac:dyDescent="0.25">
      <c r="B25" s="15" t="s">
        <v>52</v>
      </c>
      <c r="C25" s="45">
        <v>0.44009999999999999</v>
      </c>
    </row>
    <row r="26" spans="1:3" ht="15" customHeight="1" x14ac:dyDescent="0.25">
      <c r="B26" s="15" t="s">
        <v>53</v>
      </c>
      <c r="C26" s="45">
        <v>5.4799999999999988E-2</v>
      </c>
    </row>
    <row r="27" spans="1:3" ht="15" customHeight="1" x14ac:dyDescent="0.25">
      <c r="B27" s="15"/>
      <c r="C27" s="15"/>
    </row>
    <row r="28" spans="1:3" ht="15" customHeight="1" x14ac:dyDescent="0.25">
      <c r="A28" s="8" t="s">
        <v>54</v>
      </c>
      <c r="B28" s="15"/>
      <c r="C28" s="15"/>
    </row>
    <row r="29" spans="1:3" ht="14.25" customHeight="1" x14ac:dyDescent="0.25">
      <c r="B29" s="25" t="s">
        <v>55</v>
      </c>
      <c r="C29" s="45">
        <v>0.35185775257007201</v>
      </c>
    </row>
    <row r="30" spans="1:3" ht="14.25" customHeight="1" x14ac:dyDescent="0.25">
      <c r="B30" s="25" t="s">
        <v>56</v>
      </c>
      <c r="C30" s="97">
        <v>2.3858720907234902E-2</v>
      </c>
    </row>
    <row r="31" spans="1:3" ht="14.25" customHeight="1" x14ac:dyDescent="0.25">
      <c r="B31" s="25" t="s">
        <v>57</v>
      </c>
      <c r="C31" s="97">
        <v>3.4342930038455802E-2</v>
      </c>
    </row>
    <row r="32" spans="1:3" ht="14.25" customHeight="1" x14ac:dyDescent="0.25">
      <c r="B32" s="25" t="s">
        <v>58</v>
      </c>
      <c r="C32" s="97">
        <v>0.58994059648423802</v>
      </c>
    </row>
    <row r="33" spans="1:5" ht="13.25" customHeight="1" x14ac:dyDescent="0.25">
      <c r="B33" s="27" t="s">
        <v>59</v>
      </c>
      <c r="C33" s="48">
        <f>SUM(C29:C32)</f>
        <v>1.0000000000000007</v>
      </c>
    </row>
    <row r="34" spans="1:5" ht="15" customHeight="1" x14ac:dyDescent="0.25"/>
    <row r="35" spans="1:5" ht="15" customHeight="1" x14ac:dyDescent="0.3">
      <c r="A35" s="4" t="s">
        <v>60</v>
      </c>
    </row>
    <row r="36" spans="1:5" ht="15" customHeight="1" x14ac:dyDescent="0.25">
      <c r="A36" s="8" t="s">
        <v>61</v>
      </c>
      <c r="B36" s="5"/>
    </row>
    <row r="37" spans="1:5" ht="15" customHeight="1" x14ac:dyDescent="0.25">
      <c r="B37" s="11" t="s">
        <v>62</v>
      </c>
      <c r="C37" s="43">
        <v>6.5631199999999996</v>
      </c>
    </row>
    <row r="38" spans="1:5" ht="15" customHeight="1" x14ac:dyDescent="0.25">
      <c r="B38" s="11" t="s">
        <v>63</v>
      </c>
      <c r="C38" s="43">
        <v>14.3725</v>
      </c>
      <c r="D38" s="12"/>
      <c r="E38" s="13"/>
    </row>
    <row r="39" spans="1:5" ht="15" customHeight="1" x14ac:dyDescent="0.25">
      <c r="B39" s="11" t="s">
        <v>64</v>
      </c>
      <c r="C39" s="43">
        <v>16.718489999999999</v>
      </c>
      <c r="D39" s="12"/>
      <c r="E39" s="12"/>
    </row>
    <row r="40" spans="1:5" ht="15" customHeight="1" x14ac:dyDescent="0.25">
      <c r="B40" s="11" t="s">
        <v>65</v>
      </c>
      <c r="C40" s="98">
        <v>0.59</v>
      </c>
    </row>
    <row r="41" spans="1:5" ht="15" customHeight="1" x14ac:dyDescent="0.25">
      <c r="B41" s="11" t="s">
        <v>66</v>
      </c>
      <c r="C41" s="45">
        <v>0.12</v>
      </c>
    </row>
    <row r="42" spans="1:5" ht="15" customHeight="1" x14ac:dyDescent="0.25">
      <c r="B42" s="11" t="s">
        <v>67</v>
      </c>
      <c r="C42" s="43">
        <v>7.6169099999999998</v>
      </c>
    </row>
    <row r="43" spans="1:5" ht="15.75" customHeight="1" x14ac:dyDescent="0.25">
      <c r="D43" s="12"/>
    </row>
    <row r="44" spans="1:5" ht="15.75" customHeight="1" x14ac:dyDescent="0.25">
      <c r="A44" s="8" t="s">
        <v>68</v>
      </c>
      <c r="D44" s="12"/>
    </row>
    <row r="45" spans="1:5" ht="15.75" customHeight="1" x14ac:dyDescent="0.25">
      <c r="B45" s="11" t="s">
        <v>69</v>
      </c>
      <c r="C45" s="45">
        <v>6.1190999999999997E-3</v>
      </c>
      <c r="D45" s="12"/>
    </row>
    <row r="46" spans="1:5" ht="15.75" customHeight="1" x14ac:dyDescent="0.25">
      <c r="B46" s="11" t="s">
        <v>70</v>
      </c>
      <c r="C46" s="45">
        <v>6.5748799999999996E-2</v>
      </c>
      <c r="D46" s="12"/>
    </row>
    <row r="47" spans="1:5" ht="15.75" customHeight="1" x14ac:dyDescent="0.25">
      <c r="B47" s="11" t="s">
        <v>71</v>
      </c>
      <c r="C47" s="45">
        <v>7.5182200000000005E-2</v>
      </c>
      <c r="D47" s="12"/>
      <c r="E47" s="13"/>
    </row>
    <row r="48" spans="1:5" ht="15" customHeight="1" x14ac:dyDescent="0.25">
      <c r="B48" s="11" t="s">
        <v>72</v>
      </c>
      <c r="C48" s="46">
        <v>0.46841549999999998</v>
      </c>
      <c r="D48" s="12"/>
      <c r="E48" s="12"/>
    </row>
    <row r="49" spans="1:4" ht="15.75" customHeight="1" x14ac:dyDescent="0.25">
      <c r="D49" s="12"/>
    </row>
    <row r="50" spans="1:4" ht="15.75" customHeight="1" x14ac:dyDescent="0.25">
      <c r="A50" s="8" t="s">
        <v>73</v>
      </c>
      <c r="D50" s="12"/>
    </row>
    <row r="51" spans="1:4" ht="15.75" customHeight="1" x14ac:dyDescent="0.25">
      <c r="B51" s="11" t="s">
        <v>74</v>
      </c>
      <c r="C51" s="98">
        <v>2.2000000000000002</v>
      </c>
      <c r="D51" s="12"/>
    </row>
    <row r="52" spans="1:4" ht="15" customHeight="1" x14ac:dyDescent="0.25">
      <c r="B52" s="11" t="s">
        <v>75</v>
      </c>
      <c r="C52" s="98">
        <v>2.2000000000000002</v>
      </c>
    </row>
    <row r="53" spans="1:4" ht="15.75" customHeight="1" x14ac:dyDescent="0.25">
      <c r="B53" s="11" t="s">
        <v>76</v>
      </c>
      <c r="C53" s="98">
        <v>2.2000000000000002</v>
      </c>
    </row>
    <row r="54" spans="1:4" ht="15.75" customHeight="1" x14ac:dyDescent="0.25">
      <c r="B54" s="11" t="s">
        <v>77</v>
      </c>
      <c r="C54" s="98">
        <v>2.2000000000000002</v>
      </c>
    </row>
    <row r="55" spans="1:4" ht="15.75" customHeight="1" x14ac:dyDescent="0.25">
      <c r="B55" s="11" t="s">
        <v>78</v>
      </c>
      <c r="C55" s="98">
        <v>2.2000000000000002</v>
      </c>
    </row>
    <row r="57" spans="1:4" ht="15.75" customHeight="1" x14ac:dyDescent="0.25">
      <c r="A57" s="8" t="s">
        <v>79</v>
      </c>
    </row>
    <row r="58" spans="1:4" ht="15.75" customHeight="1" x14ac:dyDescent="0.25">
      <c r="B58" s="5" t="s">
        <v>80</v>
      </c>
      <c r="C58" s="45">
        <v>2.1363636363636359E-2</v>
      </c>
    </row>
    <row r="59" spans="1:4" ht="15.75" customHeight="1" x14ac:dyDescent="0.25">
      <c r="B59" s="11" t="s">
        <v>81</v>
      </c>
      <c r="C59" s="45">
        <v>0.57259000000000004</v>
      </c>
    </row>
    <row r="60" spans="1:4" ht="15.75" customHeight="1" x14ac:dyDescent="0.25">
      <c r="B60" s="11" t="s">
        <v>82</v>
      </c>
      <c r="C60" s="45">
        <v>4.5999999999999999E-2</v>
      </c>
    </row>
    <row r="61" spans="1:4" ht="15.75" customHeight="1" x14ac:dyDescent="0.25">
      <c r="B61" s="11" t="s">
        <v>83</v>
      </c>
      <c r="C61" s="45">
        <v>1.4E-2</v>
      </c>
    </row>
    <row r="62" spans="1:4" ht="15.75" customHeight="1" x14ac:dyDescent="0.25">
      <c r="B62" s="11" t="s">
        <v>85</v>
      </c>
      <c r="C62" s="44">
        <v>0.14599999999999999</v>
      </c>
    </row>
    <row r="63" spans="1:4" ht="15.75" customHeight="1" x14ac:dyDescent="0.3">
      <c r="A63" s="4"/>
    </row>
  </sheetData>
  <sheetProtection algorithmName="SHA-512" hashValue="sCGZoJ+LhjhJxOSX2VJYWLMNoAAHyfJrEv2VZx5Pd7gwCQTbH7Xk2iY2LagaNohPzoOfWVI6CFDRezq9TZaaQQ==" saltValue="0NPH62AL1rRFJiIYTLzgpw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Sheet2">
    <tabColor rgb="FF007600"/>
  </sheetPr>
  <dimension ref="A1:I40"/>
  <sheetViews>
    <sheetView zoomScale="85" zoomScaleNormal="85" workbookViewId="0">
      <selection activeCell="E28" sqref="E28"/>
    </sheetView>
  </sheetViews>
  <sheetFormatPr defaultColWidth="14.453125" defaultRowHeight="15.75" customHeight="1" x14ac:dyDescent="0.25"/>
  <cols>
    <col min="1" max="1" width="8.453125" style="8" customWidth="1"/>
    <col min="2" max="9" width="16.90625" style="8" customWidth="1"/>
    <col min="10" max="11" width="14.453125" style="8" customWidth="1"/>
    <col min="12" max="16384" width="14.453125" style="8"/>
  </cols>
  <sheetData>
    <row r="1" spans="1:9" s="16" customFormat="1" ht="30" customHeight="1" x14ac:dyDescent="0.3">
      <c r="A1" s="26" t="s">
        <v>94</v>
      </c>
      <c r="B1" s="20" t="s">
        <v>86</v>
      </c>
      <c r="C1" s="18" t="s">
        <v>87</v>
      </c>
      <c r="D1" s="18" t="s">
        <v>88</v>
      </c>
      <c r="E1" s="18" t="s">
        <v>89</v>
      </c>
      <c r="F1" s="18" t="s">
        <v>90</v>
      </c>
      <c r="G1" s="18" t="s">
        <v>91</v>
      </c>
      <c r="H1" s="18" t="s">
        <v>92</v>
      </c>
      <c r="I1" s="18" t="s">
        <v>93</v>
      </c>
    </row>
    <row r="2" spans="1:9" ht="15.75" customHeight="1" x14ac:dyDescent="0.25">
      <c r="A2" s="5">
        <f>start_year</f>
        <v>2024</v>
      </c>
      <c r="B2" s="49">
        <v>5444</v>
      </c>
      <c r="C2" s="49">
        <v>10751</v>
      </c>
      <c r="D2" s="49">
        <v>15079.5</v>
      </c>
      <c r="E2" s="49">
        <v>12395</v>
      </c>
      <c r="F2" s="49">
        <v>10020</v>
      </c>
      <c r="G2" s="17">
        <f t="shared" ref="G2:G13" si="0">C2+D2+E2+F2</f>
        <v>48245.5</v>
      </c>
      <c r="H2" s="17">
        <f t="shared" ref="H2:H13" si="1">(B2 + stillbirth*B2/(1000-stillbirth))/(1-abortion)</f>
        <v>6233.8462824508997</v>
      </c>
      <c r="I2" s="17">
        <f t="shared" ref="I2:I13" si="2">G2-H2</f>
        <v>42011.653717549103</v>
      </c>
    </row>
    <row r="3" spans="1:9" ht="15.75" customHeight="1" x14ac:dyDescent="0.25">
      <c r="A3" s="5">
        <f t="shared" ref="A3:A40" si="3">IF($A$2+ROW(A3)-2&lt;=end_year,A2+1,"")</f>
        <v>2025</v>
      </c>
      <c r="B3" s="49">
        <v>5400</v>
      </c>
      <c r="C3" s="50">
        <v>11233</v>
      </c>
      <c r="D3" s="50">
        <v>15103</v>
      </c>
      <c r="E3" s="50">
        <v>12378.499999999998</v>
      </c>
      <c r="F3" s="50">
        <v>10097.5</v>
      </c>
      <c r="G3" s="17">
        <f t="shared" si="0"/>
        <v>48812</v>
      </c>
      <c r="H3" s="17">
        <f t="shared" si="1"/>
        <v>6183.4625138197753</v>
      </c>
      <c r="I3" s="17">
        <f t="shared" si="2"/>
        <v>42628.537486180227</v>
      </c>
    </row>
    <row r="4" spans="1:9" ht="15.75" customHeight="1" x14ac:dyDescent="0.25">
      <c r="A4" s="5">
        <f t="shared" si="3"/>
        <v>2026</v>
      </c>
      <c r="B4" s="49">
        <v>5373</v>
      </c>
      <c r="C4" s="50">
        <v>11698.5</v>
      </c>
      <c r="D4" s="50">
        <v>15221</v>
      </c>
      <c r="E4" s="50">
        <v>12376.000000000002</v>
      </c>
      <c r="F4" s="50">
        <v>10179.5</v>
      </c>
      <c r="G4" s="17">
        <f t="shared" si="0"/>
        <v>49475</v>
      </c>
      <c r="H4" s="17">
        <f t="shared" si="1"/>
        <v>6152.5452012506767</v>
      </c>
      <c r="I4" s="17">
        <f t="shared" si="2"/>
        <v>43322.454798749321</v>
      </c>
    </row>
    <row r="5" spans="1:9" ht="15.75" customHeight="1" x14ac:dyDescent="0.25">
      <c r="A5" s="5">
        <f t="shared" si="3"/>
        <v>2027</v>
      </c>
      <c r="B5" s="49">
        <v>5376</v>
      </c>
      <c r="C5" s="50">
        <v>12219</v>
      </c>
      <c r="D5" s="50">
        <v>15468.499999999998</v>
      </c>
      <c r="E5" s="50">
        <v>12314</v>
      </c>
      <c r="F5" s="50">
        <v>10251.999999999998</v>
      </c>
      <c r="G5" s="17">
        <f t="shared" si="0"/>
        <v>50253.5</v>
      </c>
      <c r="H5" s="17">
        <f t="shared" si="1"/>
        <v>6155.9804582027991</v>
      </c>
      <c r="I5" s="17">
        <f t="shared" si="2"/>
        <v>44097.519541797199</v>
      </c>
    </row>
    <row r="6" spans="1:9" ht="15.75" customHeight="1" x14ac:dyDescent="0.25">
      <c r="A6" s="5">
        <f t="shared" si="3"/>
        <v>2028</v>
      </c>
      <c r="B6" s="49">
        <v>5402</v>
      </c>
      <c r="C6" s="50">
        <v>12660.5</v>
      </c>
      <c r="D6" s="50">
        <v>15959</v>
      </c>
      <c r="E6" s="50">
        <v>12163</v>
      </c>
      <c r="F6" s="50">
        <v>10276</v>
      </c>
      <c r="G6" s="17">
        <f t="shared" si="0"/>
        <v>51058.5</v>
      </c>
      <c r="H6" s="17">
        <f t="shared" si="1"/>
        <v>6185.7526851211896</v>
      </c>
      <c r="I6" s="17">
        <f t="shared" si="2"/>
        <v>44872.747314878812</v>
      </c>
    </row>
    <row r="7" spans="1:9" ht="15.75" customHeight="1" x14ac:dyDescent="0.25">
      <c r="A7" s="5">
        <f t="shared" si="3"/>
        <v>2029</v>
      </c>
      <c r="B7" s="49">
        <v>5456</v>
      </c>
      <c r="C7" s="50">
        <v>12937</v>
      </c>
      <c r="D7" s="50">
        <v>16620</v>
      </c>
      <c r="E7" s="50">
        <v>11998.999999999998</v>
      </c>
      <c r="F7" s="50">
        <v>10241.5</v>
      </c>
      <c r="G7" s="17">
        <f t="shared" si="0"/>
        <v>51797.5</v>
      </c>
      <c r="H7" s="17">
        <f t="shared" si="1"/>
        <v>6247.5873102593878</v>
      </c>
      <c r="I7" s="17">
        <f t="shared" si="2"/>
        <v>45549.912689740609</v>
      </c>
    </row>
    <row r="8" spans="1:9" ht="15.75" customHeight="1" x14ac:dyDescent="0.25">
      <c r="A8" s="5">
        <f t="shared" si="3"/>
        <v>2030</v>
      </c>
      <c r="B8" s="49">
        <v>5525</v>
      </c>
      <c r="C8" s="50">
        <v>13141</v>
      </c>
      <c r="D8" s="50">
        <v>17330</v>
      </c>
      <c r="E8" s="50">
        <v>11807.500000000002</v>
      </c>
      <c r="F8" s="50">
        <v>10243.500000000002</v>
      </c>
      <c r="G8" s="17">
        <f t="shared" si="0"/>
        <v>52522</v>
      </c>
      <c r="H8" s="17">
        <f t="shared" si="1"/>
        <v>6326.5982201581965</v>
      </c>
      <c r="I8" s="17">
        <f t="shared" si="2"/>
        <v>46195.401779841806</v>
      </c>
    </row>
    <row r="9" spans="1:9" ht="15.75" customHeight="1" x14ac:dyDescent="0.25">
      <c r="A9" s="5">
        <f t="shared" si="3"/>
        <v>2031</v>
      </c>
      <c r="B9" s="49">
        <v>5604</v>
      </c>
      <c r="C9" s="50">
        <v>13246</v>
      </c>
      <c r="D9" s="50">
        <v>18192</v>
      </c>
      <c r="E9" s="50">
        <v>11591.999999999998</v>
      </c>
      <c r="F9" s="50">
        <v>10294.5</v>
      </c>
      <c r="G9" s="17">
        <f t="shared" si="0"/>
        <v>53324.5</v>
      </c>
      <c r="H9" s="17">
        <f t="shared" si="1"/>
        <v>6417.0599865640779</v>
      </c>
      <c r="I9" s="17">
        <f t="shared" si="2"/>
        <v>46907.440013435924</v>
      </c>
    </row>
    <row r="10" spans="1:9" ht="15.75" customHeight="1" x14ac:dyDescent="0.25">
      <c r="A10" s="5">
        <f t="shared" si="3"/>
        <v>2032</v>
      </c>
      <c r="B10" s="49">
        <v>5703</v>
      </c>
      <c r="C10" s="50">
        <v>13277.5</v>
      </c>
      <c r="D10" s="50">
        <v>19187.5</v>
      </c>
      <c r="E10" s="50">
        <v>11350</v>
      </c>
      <c r="F10" s="50">
        <v>10389.5</v>
      </c>
      <c r="G10" s="17">
        <f t="shared" si="0"/>
        <v>54204.5</v>
      </c>
      <c r="H10" s="17">
        <f t="shared" si="1"/>
        <v>6530.4234659841077</v>
      </c>
      <c r="I10" s="17">
        <f t="shared" si="2"/>
        <v>47674.076534015891</v>
      </c>
    </row>
    <row r="11" spans="1:9" ht="15.75" customHeight="1" x14ac:dyDescent="0.25">
      <c r="A11" s="5">
        <f t="shared" si="3"/>
        <v>2033</v>
      </c>
      <c r="B11" s="49">
        <v>5800</v>
      </c>
      <c r="C11" s="50">
        <v>13310.5</v>
      </c>
      <c r="D11" s="50">
        <v>20123.5</v>
      </c>
      <c r="E11" s="50">
        <v>11223</v>
      </c>
      <c r="F11" s="50">
        <v>10438.5</v>
      </c>
      <c r="G11" s="17">
        <f t="shared" si="0"/>
        <v>55095.5</v>
      </c>
      <c r="H11" s="17">
        <f t="shared" si="1"/>
        <v>6641.4967741027212</v>
      </c>
      <c r="I11" s="17">
        <f t="shared" si="2"/>
        <v>48454.003225897279</v>
      </c>
    </row>
    <row r="12" spans="1:9" ht="15.75" customHeight="1" x14ac:dyDescent="0.25">
      <c r="A12" s="5">
        <f t="shared" si="3"/>
        <v>2034</v>
      </c>
      <c r="B12" s="49">
        <v>5904</v>
      </c>
      <c r="C12" s="50">
        <v>13312</v>
      </c>
      <c r="D12" s="50">
        <v>20931.5</v>
      </c>
      <c r="E12" s="50">
        <v>11259</v>
      </c>
      <c r="F12" s="50">
        <v>10429</v>
      </c>
      <c r="G12" s="17">
        <f t="shared" si="0"/>
        <v>55931.5</v>
      </c>
      <c r="H12" s="17">
        <f t="shared" si="1"/>
        <v>6760.5856817762879</v>
      </c>
      <c r="I12" s="17">
        <f t="shared" si="2"/>
        <v>49170.914318223709</v>
      </c>
    </row>
    <row r="13" spans="1:9" ht="15.75" customHeight="1" x14ac:dyDescent="0.25">
      <c r="A13" s="5">
        <f t="shared" si="3"/>
        <v>2035</v>
      </c>
      <c r="B13" s="49">
        <v>6003</v>
      </c>
      <c r="C13" s="50">
        <v>13227.5</v>
      </c>
      <c r="D13" s="50">
        <v>21662.5</v>
      </c>
      <c r="E13" s="50">
        <v>11349.499999999998</v>
      </c>
      <c r="F13" s="50">
        <v>10446.5</v>
      </c>
      <c r="G13" s="17">
        <f t="shared" si="0"/>
        <v>56686</v>
      </c>
      <c r="H13" s="17">
        <f t="shared" si="1"/>
        <v>6873.9491611963167</v>
      </c>
      <c r="I13" s="17">
        <f t="shared" si="2"/>
        <v>49812.050838803683</v>
      </c>
    </row>
    <row r="14" spans="1:9" ht="15.75" customHeight="1" x14ac:dyDescent="0.25">
      <c r="A14" s="5" t="str">
        <f t="shared" si="3"/>
        <v/>
      </c>
      <c r="B14" s="49"/>
      <c r="C14" s="50"/>
      <c r="D14" s="50"/>
      <c r="E14" s="50"/>
      <c r="F14" s="50"/>
      <c r="G14" s="17"/>
      <c r="H14" s="17"/>
      <c r="I14" s="17"/>
    </row>
    <row r="15" spans="1:9" ht="15.75" customHeight="1" x14ac:dyDescent="0.25">
      <c r="A15" s="5" t="str">
        <f t="shared" si="3"/>
        <v/>
      </c>
      <c r="B15" s="49"/>
      <c r="C15" s="50"/>
      <c r="D15" s="50"/>
      <c r="E15" s="50"/>
      <c r="F15" s="50"/>
      <c r="G15" s="17"/>
      <c r="H15" s="17"/>
      <c r="I15" s="17"/>
    </row>
    <row r="16" spans="1:9" ht="15.75" customHeight="1" x14ac:dyDescent="0.25">
      <c r="A16" s="5" t="str">
        <f t="shared" si="3"/>
        <v/>
      </c>
      <c r="B16" s="49"/>
      <c r="C16" s="50"/>
      <c r="D16" s="50"/>
      <c r="E16" s="50"/>
      <c r="F16" s="50"/>
      <c r="G16" s="17"/>
      <c r="H16" s="17"/>
      <c r="I16" s="17"/>
    </row>
    <row r="17" spans="1:9" ht="15.75" customHeight="1" x14ac:dyDescent="0.25">
      <c r="A17" s="5" t="str">
        <f t="shared" si="3"/>
        <v/>
      </c>
      <c r="B17" s="49"/>
      <c r="C17" s="50"/>
      <c r="E17" s="50"/>
      <c r="F17" s="50"/>
      <c r="G17" s="17"/>
      <c r="H17" s="17"/>
      <c r="I17" s="17"/>
    </row>
    <row r="18" spans="1:9" ht="15.75" customHeight="1" x14ac:dyDescent="0.25">
      <c r="A18" s="5" t="str">
        <f t="shared" si="3"/>
        <v/>
      </c>
      <c r="B18" s="49"/>
      <c r="C18" s="50"/>
      <c r="D18" s="50"/>
      <c r="E18" s="50"/>
      <c r="F18" s="50"/>
      <c r="G18" s="17"/>
      <c r="H18" s="17"/>
      <c r="I18" s="17"/>
    </row>
    <row r="19" spans="1:9" ht="15.75" customHeight="1" x14ac:dyDescent="0.25">
      <c r="A19" s="5" t="str">
        <f t="shared" si="3"/>
        <v/>
      </c>
      <c r="B19" s="49"/>
      <c r="C19" s="50"/>
      <c r="D19" s="50"/>
      <c r="E19" s="50"/>
      <c r="F19" s="50"/>
      <c r="G19" s="17"/>
      <c r="H19" s="17"/>
      <c r="I19" s="17"/>
    </row>
    <row r="20" spans="1:9" ht="15.75" customHeight="1" x14ac:dyDescent="0.25">
      <c r="A20" s="5" t="str">
        <f t="shared" si="3"/>
        <v/>
      </c>
      <c r="B20" s="49"/>
      <c r="C20" s="50"/>
      <c r="D20" s="50"/>
      <c r="E20" s="50"/>
      <c r="F20" s="50"/>
      <c r="G20" s="17"/>
      <c r="H20" s="17"/>
      <c r="I20" s="17"/>
    </row>
    <row r="21" spans="1:9" ht="15.75" customHeight="1" x14ac:dyDescent="0.25">
      <c r="A21" s="5" t="str">
        <f t="shared" si="3"/>
        <v/>
      </c>
      <c r="B21" s="49"/>
      <c r="C21" s="50"/>
      <c r="D21" s="50"/>
      <c r="E21" s="50"/>
      <c r="F21" s="50"/>
      <c r="G21" s="17"/>
      <c r="H21" s="17"/>
      <c r="I21" s="17"/>
    </row>
    <row r="22" spans="1:9" ht="15.75" customHeight="1" x14ac:dyDescent="0.25">
      <c r="A22" s="5" t="str">
        <f t="shared" si="3"/>
        <v/>
      </c>
      <c r="B22" s="49"/>
      <c r="C22" s="50"/>
      <c r="D22" s="50"/>
      <c r="E22" s="50"/>
      <c r="F22" s="50"/>
      <c r="G22" s="17"/>
      <c r="H22" s="17"/>
      <c r="I22" s="17"/>
    </row>
    <row r="23" spans="1:9" ht="15.75" customHeight="1" x14ac:dyDescent="0.25">
      <c r="A23" s="5" t="str">
        <f t="shared" si="3"/>
        <v/>
      </c>
      <c r="B23" s="49"/>
      <c r="C23" s="50"/>
      <c r="D23" s="50"/>
      <c r="E23" s="50"/>
      <c r="F23" s="50"/>
      <c r="G23" s="17"/>
      <c r="H23" s="17"/>
      <c r="I23" s="17"/>
    </row>
    <row r="24" spans="1:9" ht="15.75" customHeight="1" x14ac:dyDescent="0.25">
      <c r="A24" s="5" t="str">
        <f t="shared" si="3"/>
        <v/>
      </c>
      <c r="B24" s="49"/>
      <c r="C24" s="50"/>
      <c r="D24" s="50"/>
      <c r="E24" s="50"/>
      <c r="F24" s="50"/>
      <c r="G24" s="17"/>
      <c r="H24" s="17"/>
      <c r="I24" s="17"/>
    </row>
    <row r="25" spans="1:9" ht="15.75" customHeight="1" x14ac:dyDescent="0.25">
      <c r="A25" s="5" t="str">
        <f t="shared" si="3"/>
        <v/>
      </c>
      <c r="B25" s="49"/>
      <c r="C25" s="50"/>
      <c r="D25" s="50"/>
      <c r="E25" s="50"/>
      <c r="F25" s="50"/>
      <c r="G25" s="17"/>
      <c r="H25" s="17"/>
      <c r="I25" s="17"/>
    </row>
    <row r="26" spans="1:9" ht="15.75" customHeight="1" x14ac:dyDescent="0.25">
      <c r="A26" s="5" t="str">
        <f t="shared" si="3"/>
        <v/>
      </c>
      <c r="B26" s="49"/>
      <c r="C26" s="50"/>
      <c r="D26" s="50"/>
      <c r="E26" s="50"/>
      <c r="F26" s="50"/>
      <c r="G26" s="17"/>
      <c r="H26" s="17"/>
      <c r="I26" s="17"/>
    </row>
    <row r="27" spans="1:9" ht="15.75" customHeight="1" x14ac:dyDescent="0.25">
      <c r="A27" s="5" t="str">
        <f t="shared" si="3"/>
        <v/>
      </c>
      <c r="B27" s="49"/>
      <c r="C27" s="50"/>
      <c r="D27" s="50"/>
      <c r="E27" s="50"/>
      <c r="F27" s="50"/>
      <c r="G27" s="17"/>
      <c r="H27" s="17"/>
      <c r="I27" s="17"/>
    </row>
    <row r="28" spans="1:9" ht="15.75" customHeight="1" x14ac:dyDescent="0.25">
      <c r="A28" s="5" t="str">
        <f t="shared" si="3"/>
        <v/>
      </c>
      <c r="B28" s="49"/>
      <c r="C28" s="50"/>
      <c r="D28" s="50"/>
      <c r="E28" s="50"/>
      <c r="F28" s="50"/>
      <c r="G28" s="17"/>
      <c r="H28" s="17"/>
      <c r="I28" s="17"/>
    </row>
    <row r="29" spans="1:9" ht="15.75" customHeight="1" x14ac:dyDescent="0.25">
      <c r="A29" s="5" t="str">
        <f t="shared" si="3"/>
        <v/>
      </c>
      <c r="B29" s="49"/>
      <c r="C29" s="50"/>
      <c r="D29" s="50"/>
      <c r="E29" s="50"/>
      <c r="F29" s="50"/>
      <c r="G29" s="17"/>
      <c r="H29" s="17"/>
      <c r="I29" s="17"/>
    </row>
    <row r="30" spans="1:9" ht="15.75" customHeight="1" x14ac:dyDescent="0.25">
      <c r="A30" s="5" t="str">
        <f t="shared" si="3"/>
        <v/>
      </c>
      <c r="B30" s="49"/>
      <c r="C30" s="50"/>
      <c r="D30" s="50"/>
      <c r="E30" s="50"/>
      <c r="F30" s="50"/>
      <c r="G30" s="17"/>
      <c r="H30" s="17"/>
      <c r="I30" s="17"/>
    </row>
    <row r="31" spans="1:9" ht="15.75" customHeight="1" x14ac:dyDescent="0.25">
      <c r="A31" s="5" t="str">
        <f t="shared" si="3"/>
        <v/>
      </c>
      <c r="B31" s="49"/>
      <c r="C31" s="50"/>
      <c r="D31" s="50"/>
      <c r="E31" s="50"/>
      <c r="F31" s="50"/>
      <c r="G31" s="17"/>
      <c r="H31" s="17"/>
      <c r="I31" s="17"/>
    </row>
    <row r="32" spans="1:9" ht="15.75" customHeight="1" x14ac:dyDescent="0.25">
      <c r="A32" s="5" t="str">
        <f t="shared" si="3"/>
        <v/>
      </c>
      <c r="B32" s="49"/>
      <c r="C32" s="50"/>
      <c r="D32" s="50"/>
      <c r="E32" s="50"/>
      <c r="F32" s="50"/>
      <c r="G32" s="17"/>
      <c r="H32" s="17"/>
      <c r="I32" s="17"/>
    </row>
    <row r="33" spans="1:9" ht="15.75" customHeight="1" x14ac:dyDescent="0.25">
      <c r="A33" s="5" t="str">
        <f t="shared" si="3"/>
        <v/>
      </c>
      <c r="B33" s="49"/>
      <c r="C33" s="50"/>
      <c r="D33" s="50"/>
      <c r="E33" s="50"/>
      <c r="F33" s="50"/>
      <c r="G33" s="17"/>
      <c r="H33" s="17"/>
      <c r="I33" s="17"/>
    </row>
    <row r="34" spans="1:9" ht="15.75" customHeight="1" x14ac:dyDescent="0.25">
      <c r="A34" s="5" t="str">
        <f t="shared" si="3"/>
        <v/>
      </c>
      <c r="B34" s="49"/>
      <c r="C34" s="50"/>
      <c r="D34" s="50"/>
      <c r="E34" s="50"/>
      <c r="F34" s="50"/>
      <c r="G34" s="17"/>
      <c r="H34" s="17"/>
      <c r="I34" s="17"/>
    </row>
    <row r="35" spans="1:9" ht="15.75" customHeight="1" x14ac:dyDescent="0.25">
      <c r="A35" s="5" t="str">
        <f t="shared" si="3"/>
        <v/>
      </c>
      <c r="B35" s="49"/>
      <c r="C35" s="50"/>
      <c r="D35" s="50"/>
      <c r="E35" s="50"/>
      <c r="F35" s="50"/>
      <c r="G35" s="17"/>
      <c r="H35" s="17"/>
      <c r="I35" s="17"/>
    </row>
    <row r="36" spans="1:9" ht="15.75" customHeight="1" x14ac:dyDescent="0.25">
      <c r="A36" s="5" t="str">
        <f t="shared" si="3"/>
        <v/>
      </c>
      <c r="B36" s="49"/>
      <c r="C36" s="50"/>
      <c r="D36" s="50"/>
      <c r="E36" s="50"/>
      <c r="F36" s="50"/>
      <c r="G36" s="17"/>
      <c r="H36" s="17"/>
      <c r="I36" s="17"/>
    </row>
    <row r="37" spans="1:9" ht="15.75" customHeight="1" x14ac:dyDescent="0.25">
      <c r="A37" s="5" t="str">
        <f t="shared" si="3"/>
        <v/>
      </c>
      <c r="B37" s="49"/>
      <c r="C37" s="50"/>
      <c r="D37" s="50"/>
      <c r="E37" s="50"/>
      <c r="F37" s="50"/>
      <c r="G37" s="17"/>
      <c r="H37" s="17"/>
      <c r="I37" s="17"/>
    </row>
    <row r="38" spans="1:9" ht="15.75" customHeight="1" x14ac:dyDescent="0.25">
      <c r="A38" s="5" t="str">
        <f t="shared" si="3"/>
        <v/>
      </c>
      <c r="B38" s="49"/>
      <c r="C38" s="50"/>
      <c r="D38" s="50"/>
      <c r="E38" s="50"/>
      <c r="F38" s="50"/>
      <c r="G38" s="17">
        <f>C38+D38+E38+F38</f>
        <v>0</v>
      </c>
      <c r="H38" s="17">
        <f>(B38 + stillbirth*B38/(1000-stillbirth))/(1-abortion)</f>
        <v>0</v>
      </c>
      <c r="I38" s="17">
        <f>G38-H38</f>
        <v>0</v>
      </c>
    </row>
    <row r="39" spans="1:9" ht="15.75" customHeight="1" x14ac:dyDescent="0.25">
      <c r="A39" s="5" t="str">
        <f t="shared" si="3"/>
        <v/>
      </c>
      <c r="B39" s="49"/>
      <c r="C39" s="50"/>
      <c r="D39" s="50"/>
      <c r="E39" s="50"/>
      <c r="F39" s="50"/>
      <c r="G39" s="17">
        <f>C39+D39+E39+F39</f>
        <v>0</v>
      </c>
      <c r="H39" s="17">
        <f>(B39 + stillbirth*B39/(1000-stillbirth))/(1-abortion)</f>
        <v>0</v>
      </c>
      <c r="I39" s="17">
        <f>G39-H39</f>
        <v>0</v>
      </c>
    </row>
    <row r="40" spans="1:9" ht="15.75" customHeight="1" x14ac:dyDescent="0.25">
      <c r="A40" s="5" t="str">
        <f t="shared" si="3"/>
        <v/>
      </c>
      <c r="B40" s="49"/>
      <c r="C40" s="50"/>
      <c r="D40" s="50"/>
      <c r="E40" s="50"/>
      <c r="F40" s="50"/>
      <c r="G40" s="17">
        <f>C40+D40+E40+F40</f>
        <v>0</v>
      </c>
      <c r="H40" s="17">
        <f>(B40 + stillbirth*B40/(1000-stillbirth))/(1-abortion)</f>
        <v>0</v>
      </c>
      <c r="I40" s="17">
        <f>G40-H40</f>
        <v>0</v>
      </c>
    </row>
  </sheetData>
  <sheetProtection algorithmName="SHA-512" hashValue="raHaxEVc9pOAK7F0RUOh72kZZAwKa/Gwd5OAzZPM1xWcY7JMDvMx38HcQ0pKtYyk1aUMMpi7dlr4pZiDL1fL1A==" saltValue="KbEsXXmqUjLdCd/jH+foMQ==" spinCount="100000" sheet="1" objects="1" scenarios="1" selectLockedCells="1"/>
  <conditionalFormatting sqref="B2:I16 B17:C17 E17:I17 B18:I40">
    <cfRule type="expression" dxfId="0" priority="9">
      <formula>$A2=""</formula>
    </cfRule>
  </conditionalFormatting>
  <pageMargins left="0.75" right="0.75" top="1" bottom="1" header="0.5" footer="0.5"/>
  <pageSetup paperSize="9" orientation="portrait" horizontalDpi="4294967292" verticalDpi="4294967292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Sheet3">
    <tabColor rgb="FF007600"/>
  </sheetPr>
  <dimension ref="A1:H35"/>
  <sheetViews>
    <sheetView topLeftCell="A16" zoomScale="115" zoomScaleNormal="115" workbookViewId="0">
      <selection activeCell="C29" sqref="C29"/>
    </sheetView>
  </sheetViews>
  <sheetFormatPr defaultColWidth="14.453125" defaultRowHeight="15.75" customHeight="1" x14ac:dyDescent="0.25"/>
  <cols>
    <col min="1" max="1" width="16.08984375" customWidth="1"/>
    <col min="2" max="2" width="31.36328125" customWidth="1"/>
    <col min="3" max="8" width="13" customWidth="1"/>
  </cols>
  <sheetData>
    <row r="1" spans="1:8" ht="27.75" customHeight="1" x14ac:dyDescent="0.3">
      <c r="A1" s="4" t="str">
        <f>"Pourcentage des morts de l'année de référence ("&amp;start_year&amp;") imputable à chaque cause"</f>
        <v>Pourcentage des morts de l'année de référence (2024) imputable à chaque cause</v>
      </c>
      <c r="B1" s="29"/>
      <c r="C1" s="29"/>
      <c r="D1" s="29"/>
      <c r="E1" s="29"/>
      <c r="F1" s="29"/>
    </row>
    <row r="2" spans="1:8" ht="27.75" customHeight="1" x14ac:dyDescent="0.3">
      <c r="A2" t="s">
        <v>95</v>
      </c>
      <c r="B2" s="29" t="s">
        <v>1</v>
      </c>
      <c r="C2" s="29" t="s">
        <v>127</v>
      </c>
      <c r="D2" s="29"/>
      <c r="E2" s="29"/>
      <c r="F2" s="29"/>
      <c r="G2" s="29"/>
    </row>
    <row r="3" spans="1:8" ht="15.75" customHeight="1" x14ac:dyDescent="0.25">
      <c r="B3" s="19" t="s">
        <v>96</v>
      </c>
      <c r="C3" s="55">
        <v>0</v>
      </c>
    </row>
    <row r="4" spans="1:8" ht="15.75" customHeight="1" x14ac:dyDescent="0.25">
      <c r="B4" s="19" t="s">
        <v>97</v>
      </c>
      <c r="C4" s="99">
        <v>7.2663600000000161E-2</v>
      </c>
    </row>
    <row r="5" spans="1:8" ht="15.75" customHeight="1" x14ac:dyDescent="0.25">
      <c r="B5" s="19" t="s">
        <v>98</v>
      </c>
      <c r="C5" s="99">
        <v>3.2022400000000013E-2</v>
      </c>
    </row>
    <row r="6" spans="1:8" ht="15.75" customHeight="1" x14ac:dyDescent="0.25">
      <c r="B6" s="19" t="s">
        <v>99</v>
      </c>
      <c r="C6" s="99">
        <v>0.18112940000000011</v>
      </c>
    </row>
    <row r="7" spans="1:8" ht="15.75" customHeight="1" x14ac:dyDescent="0.25">
      <c r="B7" s="19" t="s">
        <v>100</v>
      </c>
      <c r="C7" s="99">
        <v>0.43143469999999928</v>
      </c>
    </row>
    <row r="8" spans="1:8" ht="15.75" customHeight="1" x14ac:dyDescent="0.25">
      <c r="B8" s="19" t="s">
        <v>101</v>
      </c>
      <c r="C8" s="99">
        <v>0</v>
      </c>
    </row>
    <row r="9" spans="1:8" ht="15.75" customHeight="1" x14ac:dyDescent="0.25">
      <c r="B9" s="19" t="s">
        <v>102</v>
      </c>
      <c r="C9" s="99">
        <v>0.18141010000000021</v>
      </c>
    </row>
    <row r="10" spans="1:8" ht="15.75" customHeight="1" x14ac:dyDescent="0.25">
      <c r="B10" s="19" t="s">
        <v>103</v>
      </c>
      <c r="C10" s="99">
        <v>0.1013398000000002</v>
      </c>
    </row>
    <row r="11" spans="1:8" ht="15.75" customHeight="1" x14ac:dyDescent="0.25">
      <c r="B11" s="27" t="s">
        <v>59</v>
      </c>
      <c r="C11" s="48">
        <f>SUM(C3:C10)</f>
        <v>1</v>
      </c>
      <c r="G11" s="19"/>
      <c r="H11" s="19"/>
    </row>
    <row r="12" spans="1:8" ht="15.75" customHeight="1" x14ac:dyDescent="0.25">
      <c r="B12" s="27"/>
      <c r="C12" s="19"/>
      <c r="D12" s="19"/>
      <c r="E12" s="19"/>
      <c r="F12" s="19"/>
      <c r="G12" s="19"/>
      <c r="H12" s="19"/>
    </row>
    <row r="13" spans="1:8" ht="15.75" customHeight="1" x14ac:dyDescent="0.3">
      <c r="A13" s="8" t="s">
        <v>104</v>
      </c>
      <c r="B13" s="29" t="s">
        <v>1</v>
      </c>
      <c r="C13" s="100" t="s">
        <v>114</v>
      </c>
      <c r="D13" s="100" t="s">
        <v>115</v>
      </c>
      <c r="E13" s="100" t="s">
        <v>116</v>
      </c>
      <c r="F13" s="100" t="s">
        <v>117</v>
      </c>
      <c r="G13" s="19"/>
    </row>
    <row r="14" spans="1:8" ht="15.75" customHeight="1" x14ac:dyDescent="0.25">
      <c r="B14" s="19" t="s">
        <v>105</v>
      </c>
      <c r="C14" s="55">
        <v>5.9773070306148287E-3</v>
      </c>
      <c r="D14" s="55">
        <v>5.9773070306148287E-3</v>
      </c>
      <c r="E14" s="55">
        <v>5.9773070306148287E-3</v>
      </c>
      <c r="F14" s="55">
        <v>5.9773070306148287E-3</v>
      </c>
    </row>
    <row r="15" spans="1:8" ht="15.75" customHeight="1" x14ac:dyDescent="0.25">
      <c r="B15" s="19" t="s">
        <v>106</v>
      </c>
      <c r="C15" s="99">
        <v>0.14201342044077259</v>
      </c>
      <c r="D15" s="99">
        <v>0.14201342044077259</v>
      </c>
      <c r="E15" s="99">
        <v>0.14201342044077259</v>
      </c>
      <c r="F15" s="99">
        <v>0.14201342044077259</v>
      </c>
    </row>
    <row r="16" spans="1:8" ht="15.75" customHeight="1" x14ac:dyDescent="0.25">
      <c r="B16" s="19" t="s">
        <v>107</v>
      </c>
      <c r="C16" s="99">
        <v>1.5148673316420749E-3</v>
      </c>
      <c r="D16" s="99">
        <v>1.5148673316420749E-3</v>
      </c>
      <c r="E16" s="99">
        <v>1.5148673316420749E-3</v>
      </c>
      <c r="F16" s="99">
        <v>1.5148673316420749E-3</v>
      </c>
    </row>
    <row r="17" spans="1:8" ht="15.75" customHeight="1" x14ac:dyDescent="0.25">
      <c r="B17" s="19" t="s">
        <v>108</v>
      </c>
      <c r="C17" s="99">
        <v>0.79207380330936872</v>
      </c>
      <c r="D17" s="99">
        <v>0.79207380330936872</v>
      </c>
      <c r="E17" s="99">
        <v>0.79207380330936872</v>
      </c>
      <c r="F17" s="99">
        <v>0.79207380330936872</v>
      </c>
    </row>
    <row r="18" spans="1:8" ht="15.75" customHeight="1" x14ac:dyDescent="0.25">
      <c r="B18" s="19" t="s">
        <v>109</v>
      </c>
      <c r="C18" s="99">
        <v>0</v>
      </c>
      <c r="D18" s="99">
        <v>0</v>
      </c>
      <c r="E18" s="99">
        <v>0</v>
      </c>
      <c r="F18" s="99">
        <v>0</v>
      </c>
    </row>
    <row r="19" spans="1:8" ht="15.75" customHeight="1" x14ac:dyDescent="0.25">
      <c r="B19" s="19" t="s">
        <v>110</v>
      </c>
      <c r="C19" s="99">
        <v>7.4143769382759572E-3</v>
      </c>
      <c r="D19" s="99">
        <v>7.4143769382759572E-3</v>
      </c>
      <c r="E19" s="99">
        <v>7.4143769382759572E-3</v>
      </c>
      <c r="F19" s="99">
        <v>7.4143769382759572E-3</v>
      </c>
    </row>
    <row r="20" spans="1:8" ht="15.75" customHeight="1" x14ac:dyDescent="0.25">
      <c r="B20" s="19" t="s">
        <v>111</v>
      </c>
      <c r="C20" s="99">
        <v>0</v>
      </c>
      <c r="D20" s="99">
        <v>0</v>
      </c>
      <c r="E20" s="99">
        <v>0</v>
      </c>
      <c r="F20" s="99">
        <v>0</v>
      </c>
    </row>
    <row r="21" spans="1:8" ht="15.75" customHeight="1" x14ac:dyDescent="0.25">
      <c r="B21" s="19" t="s">
        <v>112</v>
      </c>
      <c r="C21" s="99">
        <v>2.638911729579237E-2</v>
      </c>
      <c r="D21" s="99">
        <v>2.638911729579237E-2</v>
      </c>
      <c r="E21" s="99">
        <v>2.638911729579237E-2</v>
      </c>
      <c r="F21" s="99">
        <v>2.638911729579237E-2</v>
      </c>
    </row>
    <row r="22" spans="1:8" ht="15.75" customHeight="1" x14ac:dyDescent="0.25">
      <c r="B22" s="19" t="s">
        <v>113</v>
      </c>
      <c r="C22" s="99">
        <v>2.4617107653533501E-2</v>
      </c>
      <c r="D22" s="99">
        <v>2.4617107653533501E-2</v>
      </c>
      <c r="E22" s="99">
        <v>2.4617107653533501E-2</v>
      </c>
      <c r="F22" s="99">
        <v>2.4617107653533501E-2</v>
      </c>
    </row>
    <row r="23" spans="1:8" ht="15.75" customHeight="1" x14ac:dyDescent="0.25">
      <c r="B23" s="27" t="s">
        <v>59</v>
      </c>
      <c r="C23" s="48">
        <f>SUM(C14:C22)</f>
        <v>1</v>
      </c>
      <c r="D23" s="48">
        <f>SUM(D14:D22)</f>
        <v>1</v>
      </c>
      <c r="E23" s="48">
        <f>SUM(E14:E22)</f>
        <v>1</v>
      </c>
      <c r="F23" s="48">
        <f>SUM(F14:F22)</f>
        <v>1</v>
      </c>
      <c r="G23" s="19"/>
      <c r="H23" s="19"/>
    </row>
    <row r="24" spans="1:8" ht="15.75" customHeight="1" x14ac:dyDescent="0.25">
      <c r="B24" s="27"/>
      <c r="C24" s="19"/>
      <c r="D24" s="19"/>
      <c r="E24" s="19"/>
      <c r="F24" s="19"/>
      <c r="G24" s="19"/>
      <c r="H24" s="19"/>
    </row>
    <row r="25" spans="1:8" ht="15.75" customHeight="1" x14ac:dyDescent="0.3">
      <c r="A25" t="s">
        <v>118</v>
      </c>
      <c r="B25" s="29" t="s">
        <v>1</v>
      </c>
      <c r="C25" s="29" t="s">
        <v>118</v>
      </c>
      <c r="D25" s="19"/>
      <c r="E25" s="19"/>
      <c r="F25" s="19"/>
      <c r="G25" s="19"/>
      <c r="H25" s="19"/>
    </row>
    <row r="26" spans="1:8" ht="15.75" customHeight="1" x14ac:dyDescent="0.25">
      <c r="B26" s="19" t="s">
        <v>119</v>
      </c>
      <c r="C26" s="55">
        <v>4.7837044999999988E-2</v>
      </c>
    </row>
    <row r="27" spans="1:8" ht="15.75" customHeight="1" x14ac:dyDescent="0.25">
      <c r="B27" s="19" t="s">
        <v>120</v>
      </c>
      <c r="C27" s="99">
        <v>1.836863E-2</v>
      </c>
    </row>
    <row r="28" spans="1:8" ht="15.75" customHeight="1" x14ac:dyDescent="0.25">
      <c r="B28" s="19" t="s">
        <v>121</v>
      </c>
      <c r="C28" s="99">
        <v>0.231175139</v>
      </c>
    </row>
    <row r="29" spans="1:8" ht="15.75" customHeight="1" x14ac:dyDescent="0.25">
      <c r="B29" s="19" t="s">
        <v>122</v>
      </c>
      <c r="C29" s="99">
        <v>0.138527135</v>
      </c>
    </row>
    <row r="30" spans="1:8" ht="15.75" customHeight="1" x14ac:dyDescent="0.25">
      <c r="B30" s="19" t="s">
        <v>2</v>
      </c>
      <c r="C30" s="99">
        <v>4.9111505E-2</v>
      </c>
    </row>
    <row r="31" spans="1:8" ht="15.75" customHeight="1" x14ac:dyDescent="0.25">
      <c r="B31" s="19" t="s">
        <v>123</v>
      </c>
      <c r="C31" s="99">
        <v>6.9658183999999998E-2</v>
      </c>
    </row>
    <row r="32" spans="1:8" ht="15.75" customHeight="1" x14ac:dyDescent="0.25">
      <c r="B32" s="19" t="s">
        <v>124</v>
      </c>
      <c r="C32" s="99">
        <v>0.14941447299999999</v>
      </c>
    </row>
    <row r="33" spans="2:3" ht="15.75" customHeight="1" x14ac:dyDescent="0.25">
      <c r="B33" s="19" t="s">
        <v>125</v>
      </c>
      <c r="C33" s="99">
        <v>0.122223571</v>
      </c>
    </row>
    <row r="34" spans="2:3" ht="15.75" customHeight="1" x14ac:dyDescent="0.25">
      <c r="B34" s="19" t="s">
        <v>126</v>
      </c>
      <c r="C34" s="99">
        <v>0.173684317</v>
      </c>
    </row>
    <row r="35" spans="2:3" ht="15.75" customHeight="1" x14ac:dyDescent="0.25">
      <c r="B35" s="27" t="s">
        <v>59</v>
      </c>
      <c r="C35" s="48">
        <f>SUM(C26:C34)</f>
        <v>0.99999999899999992</v>
      </c>
    </row>
  </sheetData>
  <sheetProtection algorithmName="SHA-512" hashValue="7EG4wgJ8s/th3UPIrwHovUbdN0kPCJ5dUBOB6/xGQ6DSI50rH6z5K7SKjlfKA4iFDfU4TcNqHzQdjFXjzky05Q==" saltValue="H5uDBbG/2ZAthG4utG0sXQ==" spinCount="100000" sheet="1" objects="1" scenarios="1" selectLockedCells="1"/>
  <pageMargins left="0.75" right="0.75" top="1" bottom="1" header="0.5" footer="0.5"/>
  <pageSetup paperSize="9" scale="69" orientation="portrait" horizontalDpi="4294967292" verticalDpi="4294967292"/>
  <legacy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 codeName="Sheet4">
    <tabColor rgb="FF007600"/>
  </sheetPr>
  <dimension ref="A1:O17"/>
  <sheetViews>
    <sheetView zoomScaleNormal="100" workbookViewId="0">
      <selection activeCell="C2" sqref="C2"/>
    </sheetView>
  </sheetViews>
  <sheetFormatPr defaultColWidth="14.453125" defaultRowHeight="15.75" customHeight="1" x14ac:dyDescent="0.25"/>
  <cols>
    <col min="1" max="1" width="31.453125" customWidth="1"/>
    <col min="2" max="2" width="24" customWidth="1"/>
  </cols>
  <sheetData>
    <row r="1" spans="1:15" ht="36" customHeight="1" x14ac:dyDescent="0.3">
      <c r="A1" s="22" t="str">
        <f>"Pourcentage de la population dans chaque catégorie pendant l'année de référence ("&amp;start_year&amp;")"</f>
        <v>Pourcentage de la population dans chaque catégorie pendant l'année de référence (2024)</v>
      </c>
      <c r="B1" s="1" t="s">
        <v>128</v>
      </c>
      <c r="C1" s="11" t="s">
        <v>127</v>
      </c>
      <c r="D1" s="11" t="s">
        <v>114</v>
      </c>
      <c r="E1" s="11" t="s">
        <v>115</v>
      </c>
      <c r="F1" s="11" t="s">
        <v>116</v>
      </c>
      <c r="G1" s="11" t="s">
        <v>117</v>
      </c>
    </row>
    <row r="2" spans="1:15" ht="15.75" customHeight="1" x14ac:dyDescent="0.25">
      <c r="A2" s="3" t="s">
        <v>129</v>
      </c>
      <c r="B2" s="5" t="s">
        <v>130</v>
      </c>
      <c r="C2" s="52">
        <f>IFERROR(1-_xlfn.NORM.DIST(_xlfn.NORM.INV(SUM(C4:C5), 0, 1) + 1, 0, 1, TRUE), "")</f>
        <v>0.82676394554305221</v>
      </c>
      <c r="D2" s="52">
        <f>IFERROR(1-_xlfn.NORM.DIST(_xlfn.NORM.INV(SUM(D4:D5), 0, 1) + 1, 0, 1, TRUE), "")</f>
        <v>0.82676394554305221</v>
      </c>
      <c r="E2" s="52">
        <f>IFERROR(1-_xlfn.NORM.DIST(_xlfn.NORM.INV(SUM(E4:E5), 0, 1) + 1, 0, 1, TRUE), "")</f>
        <v>0.65915750323456745</v>
      </c>
      <c r="F2" s="52">
        <f>IFERROR(1-_xlfn.NORM.DIST(_xlfn.NORM.INV(SUM(F4:F5), 0, 1) + 1, 0, 1, TRUE), "")</f>
        <v>0.62498946478788864</v>
      </c>
      <c r="G2" s="52">
        <f>IFERROR(1-_xlfn.NORM.DIST(_xlfn.NORM.INV(SUM(G4:G5), 0, 1) + 1, 0, 1, TRUE), "")</f>
        <v>0.67909768924145342</v>
      </c>
    </row>
    <row r="3" spans="1:15" ht="15.75" customHeight="1" x14ac:dyDescent="0.25">
      <c r="B3" s="5" t="s">
        <v>131</v>
      </c>
      <c r="C3" s="52">
        <f>IFERROR(_xlfn.NORM.DIST(_xlfn.NORM.INV(SUM(C4:C5), 0, 1) + 1, 0, 1, TRUE) - SUM(C4:C5), "")</f>
        <v>0.14713445445694781</v>
      </c>
      <c r="D3" s="52">
        <f>IFERROR(_xlfn.NORM.DIST(_xlfn.NORM.INV(SUM(D4:D5), 0, 1) + 1, 0, 1, TRUE) - SUM(D4:D5), "")</f>
        <v>0.14713445445694781</v>
      </c>
      <c r="E3" s="52">
        <f>IFERROR(_xlfn.NORM.DIST(_xlfn.NORM.INV(SUM(E4:E5), 0, 1) + 1, 0, 1, TRUE) - SUM(E4:E5), "")</f>
        <v>0.26159699676543252</v>
      </c>
      <c r="F3" s="52">
        <f>IFERROR(_xlfn.NORM.DIST(_xlfn.NORM.INV(SUM(F4:F5), 0, 1) + 1, 0, 1, TRUE) - SUM(F4:F5), "")</f>
        <v>0.28136103521211137</v>
      </c>
      <c r="G3" s="52">
        <f>IFERROR(_xlfn.NORM.DIST(_xlfn.NORM.INV(SUM(G4:G5), 0, 1) + 1, 0, 1, TRUE) - SUM(G4:G5), "")</f>
        <v>0.24946601075854657</v>
      </c>
    </row>
    <row r="4" spans="1:15" ht="15.75" customHeight="1" x14ac:dyDescent="0.25">
      <c r="B4" s="5" t="s">
        <v>132</v>
      </c>
      <c r="C4" s="45">
        <v>1.8525300000000001E-2</v>
      </c>
      <c r="D4" s="53">
        <v>1.8525300000000001E-2</v>
      </c>
      <c r="E4" s="53">
        <v>1.41817E-2</v>
      </c>
      <c r="F4" s="53">
        <v>5.7010900000000003E-2</v>
      </c>
      <c r="G4" s="53">
        <v>3.7941599999999999E-2</v>
      </c>
    </row>
    <row r="5" spans="1:15" ht="15.75" customHeight="1" x14ac:dyDescent="0.25">
      <c r="B5" s="5" t="s">
        <v>133</v>
      </c>
      <c r="C5" s="45">
        <v>7.5763000000000002E-3</v>
      </c>
      <c r="D5" s="53">
        <v>7.5763000000000002E-3</v>
      </c>
      <c r="E5" s="53">
        <v>6.5063800000000005E-2</v>
      </c>
      <c r="F5" s="53">
        <v>3.66386E-2</v>
      </c>
      <c r="G5" s="53">
        <v>3.3494700000000002E-2</v>
      </c>
    </row>
    <row r="6" spans="1:15" ht="15.75" customHeight="1" x14ac:dyDescent="0.25">
      <c r="B6" s="9"/>
      <c r="C6" s="24"/>
      <c r="D6" s="24"/>
      <c r="E6" s="24"/>
      <c r="F6" s="24"/>
      <c r="G6" s="24"/>
    </row>
    <row r="7" spans="1:15" ht="15.75" customHeight="1" x14ac:dyDescent="0.25">
      <c r="B7" s="9"/>
      <c r="C7" s="24"/>
      <c r="D7" s="24"/>
      <c r="E7" s="24"/>
      <c r="F7" s="24"/>
      <c r="G7" s="24"/>
    </row>
    <row r="8" spans="1:15" ht="15.75" customHeight="1" x14ac:dyDescent="0.25">
      <c r="A8" s="3" t="s">
        <v>134</v>
      </c>
      <c r="B8" s="5" t="s">
        <v>135</v>
      </c>
      <c r="C8" s="52">
        <f>IFERROR(1-_xlfn.NORM.DIST(_xlfn.NORM.INV(SUM(C10:C11), 0, 1) + 1, 0, 1, TRUE), "")</f>
        <v>0.62961648186943653</v>
      </c>
      <c r="D8" s="52">
        <f>IFERROR(1-_xlfn.NORM.DIST(_xlfn.NORM.INV(SUM(D10:D11), 0, 1) + 1, 0, 1, TRUE), "")</f>
        <v>0.62961648186943653</v>
      </c>
      <c r="E8" s="52">
        <f>IFERROR(1-_xlfn.NORM.DIST(_xlfn.NORM.INV(SUM(E10:E11), 0, 1) + 1, 0, 1, TRUE), "")</f>
        <v>0.78987108124984162</v>
      </c>
      <c r="F8" s="52">
        <f>IFERROR(1-_xlfn.NORM.DIST(_xlfn.NORM.INV(SUM(F10:F11), 0, 1) + 1, 0, 1, TRUE), "")</f>
        <v>0.79331829205928583</v>
      </c>
      <c r="G8" s="52">
        <f>IFERROR(1-_xlfn.NORM.DIST(_xlfn.NORM.INV(SUM(G10:G11), 0, 1) + 1, 0, 1, TRUE), "")</f>
        <v>0.86184988827977049</v>
      </c>
    </row>
    <row r="9" spans="1:15" ht="15.75" customHeight="1" x14ac:dyDescent="0.25">
      <c r="B9" s="5" t="s">
        <v>136</v>
      </c>
      <c r="C9" s="52">
        <f>IFERROR(_xlfn.NORM.DIST(_xlfn.NORM.INV(SUM(C10:C11), 0, 1) + 1, 0, 1, TRUE) - SUM(C10:C11), "")</f>
        <v>0.27876231813056351</v>
      </c>
      <c r="D9" s="52">
        <f>IFERROR(_xlfn.NORM.DIST(_xlfn.NORM.INV(SUM(D10:D11), 0, 1) + 1, 0, 1, TRUE) - SUM(D10:D11), "")</f>
        <v>0.27876231813056351</v>
      </c>
      <c r="E9" s="52">
        <f>IFERROR(_xlfn.NORM.DIST(_xlfn.NORM.INV(SUM(E10:E11), 0, 1) + 1, 0, 1, TRUE) - SUM(E10:E11), "")</f>
        <v>0.17466771875015838</v>
      </c>
      <c r="F9" s="52">
        <f>IFERROR(_xlfn.NORM.DIST(_xlfn.NORM.INV(SUM(F10:F11), 0, 1) + 1, 0, 1, TRUE) - SUM(F10:F11), "")</f>
        <v>0.17214880794071416</v>
      </c>
      <c r="G9" s="52">
        <f>IFERROR(_xlfn.NORM.DIST(_xlfn.NORM.INV(SUM(G10:G11), 0, 1) + 1, 0, 1, TRUE) - SUM(G10:G11), "")</f>
        <v>0.11978131172022953</v>
      </c>
    </row>
    <row r="10" spans="1:15" ht="15.75" customHeight="1" x14ac:dyDescent="0.25">
      <c r="B10" s="5" t="s">
        <v>137</v>
      </c>
      <c r="C10" s="45">
        <v>4.0578700000000002E-2</v>
      </c>
      <c r="D10" s="53">
        <v>4.0578700000000002E-2</v>
      </c>
      <c r="E10" s="53">
        <v>3.1065300000000001E-2</v>
      </c>
      <c r="F10" s="53">
        <v>2.3253699999999999E-2</v>
      </c>
      <c r="G10" s="53">
        <v>1.16712E-2</v>
      </c>
    </row>
    <row r="11" spans="1:15" ht="15.75" customHeight="1" x14ac:dyDescent="0.25">
      <c r="B11" s="5" t="s">
        <v>138</v>
      </c>
      <c r="C11" s="45">
        <v>5.1042499999999998E-2</v>
      </c>
      <c r="D11" s="53">
        <v>5.1042499999999998E-2</v>
      </c>
      <c r="E11" s="53">
        <v>4.3958999999999986E-3</v>
      </c>
      <c r="F11" s="53">
        <v>1.12792E-2</v>
      </c>
      <c r="G11" s="53">
        <v>6.6976000000000006E-3</v>
      </c>
    </row>
    <row r="12" spans="1:15" ht="15.75" customHeight="1" x14ac:dyDescent="0.25">
      <c r="C12" s="6"/>
      <c r="D12" s="6"/>
      <c r="E12" s="6"/>
      <c r="F12" s="6"/>
      <c r="G12" s="6"/>
      <c r="I12" s="10"/>
      <c r="J12" s="10"/>
      <c r="K12" s="10"/>
      <c r="L12" s="10"/>
      <c r="M12" s="10"/>
      <c r="N12" s="10"/>
      <c r="O12" s="10"/>
    </row>
    <row r="13" spans="1:15" ht="27" customHeight="1" x14ac:dyDescent="0.25">
      <c r="A13" s="8" t="s">
        <v>139</v>
      </c>
      <c r="C13" s="11" t="s">
        <v>127</v>
      </c>
      <c r="D13" s="11" t="s">
        <v>114</v>
      </c>
      <c r="E13" s="11" t="s">
        <v>115</v>
      </c>
      <c r="F13" s="11" t="s">
        <v>116</v>
      </c>
      <c r="G13" s="11" t="s">
        <v>117</v>
      </c>
      <c r="H13" s="18" t="s">
        <v>140</v>
      </c>
      <c r="I13" s="18" t="s">
        <v>141</v>
      </c>
      <c r="J13" s="18" t="s">
        <v>142</v>
      </c>
      <c r="K13" s="18" t="s">
        <v>143</v>
      </c>
      <c r="L13" s="18" t="s">
        <v>87</v>
      </c>
      <c r="M13" s="18" t="s">
        <v>88</v>
      </c>
      <c r="N13" s="18" t="s">
        <v>89</v>
      </c>
      <c r="O13" s="18" t="s">
        <v>90</v>
      </c>
    </row>
    <row r="14" spans="1:15" ht="15.75" customHeight="1" x14ac:dyDescent="0.25">
      <c r="B14" s="11" t="s">
        <v>144</v>
      </c>
      <c r="C14" s="51">
        <v>0.55150138500000001</v>
      </c>
      <c r="D14" s="54">
        <v>0.53403163124999997</v>
      </c>
      <c r="E14" s="54">
        <v>0.53403163124999997</v>
      </c>
      <c r="F14" s="54">
        <v>0.32995192879599999</v>
      </c>
      <c r="G14" s="54">
        <v>0.32995192879599999</v>
      </c>
      <c r="H14" s="45">
        <v>0.42499999999999999</v>
      </c>
      <c r="I14" s="55">
        <v>0.42499999999999999</v>
      </c>
      <c r="J14" s="55">
        <v>0.42499999999999999</v>
      </c>
      <c r="K14" s="55">
        <v>0.42499999999999999</v>
      </c>
      <c r="L14" s="45">
        <v>0.30499999999999999</v>
      </c>
      <c r="M14" s="55">
        <v>0.30499999999999999</v>
      </c>
      <c r="N14" s="55">
        <v>0.30499999999999999</v>
      </c>
      <c r="O14" s="55">
        <v>0.30499999999999999</v>
      </c>
    </row>
    <row r="15" spans="1:15" ht="15.75" customHeight="1" x14ac:dyDescent="0.25">
      <c r="B15" s="11" t="s">
        <v>145</v>
      </c>
      <c r="C15" s="52">
        <f t="shared" ref="C15:O15" si="0">iron_deficiency_anaemia*C14</f>
        <v>0.31578417803715003</v>
      </c>
      <c r="D15" s="52">
        <f t="shared" si="0"/>
        <v>0.30578117173743752</v>
      </c>
      <c r="E15" s="52">
        <f t="shared" si="0"/>
        <v>0.30578117173743752</v>
      </c>
      <c r="F15" s="52">
        <f t="shared" si="0"/>
        <v>0.18892717490930164</v>
      </c>
      <c r="G15" s="52">
        <f t="shared" si="0"/>
        <v>0.18892717490930164</v>
      </c>
      <c r="H15" s="52">
        <f t="shared" si="0"/>
        <v>0.24335075</v>
      </c>
      <c r="I15" s="52">
        <f t="shared" si="0"/>
        <v>0.24335075</v>
      </c>
      <c r="J15" s="52">
        <f t="shared" si="0"/>
        <v>0.24335075</v>
      </c>
      <c r="K15" s="52">
        <f t="shared" si="0"/>
        <v>0.24335075</v>
      </c>
      <c r="L15" s="52">
        <f t="shared" si="0"/>
        <v>0.17463995000000002</v>
      </c>
      <c r="M15" s="52">
        <f t="shared" si="0"/>
        <v>0.17463995000000002</v>
      </c>
      <c r="N15" s="52">
        <f t="shared" si="0"/>
        <v>0.17463995000000002</v>
      </c>
      <c r="O15" s="52">
        <f t="shared" si="0"/>
        <v>0.17463995000000002</v>
      </c>
    </row>
    <row r="16" spans="1:15" ht="15.75" customHeight="1" x14ac:dyDescent="0.25">
      <c r="C16" s="6"/>
      <c r="D16" s="6"/>
      <c r="E16" s="6"/>
      <c r="F16" s="6"/>
      <c r="G16" s="6"/>
    </row>
    <row r="17" spans="3:7" ht="15.75" customHeight="1" x14ac:dyDescent="0.25">
      <c r="C17" s="6"/>
      <c r="D17" s="6"/>
      <c r="E17" s="6"/>
      <c r="F17" s="6"/>
      <c r="G17" s="6"/>
    </row>
  </sheetData>
  <sheetProtection algorithmName="SHA-512" hashValue="HqVyyTbDNRWQnvFSKIpNK7oxwgd/5y7bGrEc56bQG6utfRcwwJXOpgTmaHSI6rmQeBKYYMn9tUBXM3yWn1cO6g==" saltValue="0qgXbZzpBHujMB5auNhtLA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 codeName="Sheet5">
    <tabColor rgb="FF007600"/>
  </sheetPr>
  <dimension ref="A1:G5"/>
  <sheetViews>
    <sheetView zoomScaleNormal="100" workbookViewId="0">
      <selection activeCell="C2" sqref="C2"/>
    </sheetView>
  </sheetViews>
  <sheetFormatPr defaultColWidth="8.90625" defaultRowHeight="12.5" x14ac:dyDescent="0.25"/>
  <cols>
    <col min="1" max="1" width="28.90625" customWidth="1"/>
    <col min="2" max="7" width="13.453125" customWidth="1"/>
  </cols>
  <sheetData>
    <row r="1" spans="1:7" ht="40.5" customHeight="1" x14ac:dyDescent="0.3">
      <c r="A1" s="22" t="str">
        <f>"Pourcentage des enfants dans chaque catégorie pendant l'année de référence ("&amp;start_year&amp;")"</f>
        <v>Pourcentage des enfants dans chaque catégorie pendant l'année de référence (2024)</v>
      </c>
      <c r="B1" s="1" t="s">
        <v>128</v>
      </c>
      <c r="C1" s="8" t="s">
        <v>127</v>
      </c>
      <c r="D1" s="8" t="s">
        <v>114</v>
      </c>
      <c r="E1" s="8" t="s">
        <v>115</v>
      </c>
      <c r="F1" s="8" t="s">
        <v>116</v>
      </c>
      <c r="G1" s="8" t="s">
        <v>117</v>
      </c>
    </row>
    <row r="2" spans="1:7" x14ac:dyDescent="0.25">
      <c r="A2" s="3" t="s">
        <v>146</v>
      </c>
      <c r="B2" s="3" t="s">
        <v>147</v>
      </c>
      <c r="C2" s="45">
        <v>0.71186269999999996</v>
      </c>
      <c r="D2" s="53">
        <v>0.50451279999999998</v>
      </c>
      <c r="E2" s="53">
        <v>0</v>
      </c>
      <c r="F2" s="53">
        <v>0</v>
      </c>
      <c r="G2" s="53">
        <v>0</v>
      </c>
    </row>
    <row r="3" spans="1:7" x14ac:dyDescent="0.25">
      <c r="B3" s="3" t="s">
        <v>148</v>
      </c>
      <c r="C3" s="53">
        <v>0</v>
      </c>
      <c r="D3" s="53">
        <v>8.512829999999999E-2</v>
      </c>
      <c r="E3" s="53">
        <v>0</v>
      </c>
      <c r="F3" s="53">
        <v>0</v>
      </c>
      <c r="G3" s="53">
        <v>0</v>
      </c>
    </row>
    <row r="4" spans="1:7" x14ac:dyDescent="0.25">
      <c r="B4" s="3" t="s">
        <v>149</v>
      </c>
      <c r="C4" s="53">
        <v>0.13968539999999999</v>
      </c>
      <c r="D4" s="53">
        <v>0.21177399999999999</v>
      </c>
      <c r="E4" s="53">
        <v>0.6588117</v>
      </c>
      <c r="F4" s="53">
        <v>0.4976312</v>
      </c>
      <c r="G4" s="53">
        <v>0</v>
      </c>
    </row>
    <row r="5" spans="1:7" x14ac:dyDescent="0.25">
      <c r="B5" s="3" t="s">
        <v>150</v>
      </c>
      <c r="C5" s="52">
        <f t="shared" ref="C5:D5" si="0">1-SUM(C2:C4)</f>
        <v>0.14845190000000008</v>
      </c>
      <c r="D5" s="52">
        <f t="shared" si="0"/>
        <v>0.19858490000000006</v>
      </c>
      <c r="E5" s="52">
        <f>1-SUM(E2:E4)</f>
        <v>0.3411883</v>
      </c>
      <c r="F5" s="52">
        <f>1-SUM(F2:F4)</f>
        <v>0.50236879999999995</v>
      </c>
      <c r="G5" s="52">
        <f>1-SUM(G2:G4)</f>
        <v>1</v>
      </c>
    </row>
  </sheetData>
  <sheetProtection algorithmName="SHA-512" hashValue="Sc40Gmq1zc2fOaOwXulXoi+F7+UNxodfV/Y7fYmVmnPFTQZVpDQ01ujY2RhaTe4tNPdtARqqAaf+0A2t/UbHUg==" saltValue="BtSwwnt3qKlJJ2AJ09v70w==" spinCount="100000" sheet="1" objects="1" scenarios="1" selectLockedCells="1"/>
  <pageMargins left="0.7" right="0.7" top="0.75" bottom="0.75" header="0.3" footer="0.3"/>
  <pageSetup paperSize="9" orientation="portrait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 codeName="Sheet6">
    <tabColor rgb="FF007600"/>
  </sheetPr>
  <dimension ref="A1:K14"/>
  <sheetViews>
    <sheetView zoomScale="115" zoomScaleNormal="115" workbookViewId="0">
      <selection activeCell="C14" sqref="C14"/>
    </sheetView>
  </sheetViews>
  <sheetFormatPr defaultColWidth="8.90625" defaultRowHeight="12.5" x14ac:dyDescent="0.25"/>
  <cols>
    <col min="1" max="1" width="37" customWidth="1"/>
    <col min="2" max="2" width="29.453125" customWidth="1"/>
  </cols>
  <sheetData>
    <row r="1" spans="1:11" ht="13" x14ac:dyDescent="0.3">
      <c r="A1" s="4" t="s">
        <v>151</v>
      </c>
      <c r="B1" s="4" t="s">
        <v>3</v>
      </c>
      <c r="C1">
        <v>2010</v>
      </c>
      <c r="D1">
        <v>2011</v>
      </c>
      <c r="E1">
        <v>2012</v>
      </c>
      <c r="F1">
        <v>2013</v>
      </c>
      <c r="G1">
        <v>2014</v>
      </c>
      <c r="H1">
        <v>2015</v>
      </c>
      <c r="I1">
        <v>2016</v>
      </c>
      <c r="J1">
        <v>2017</v>
      </c>
      <c r="K1">
        <v>2018</v>
      </c>
    </row>
    <row r="2" spans="1:11" x14ac:dyDescent="0.25">
      <c r="A2" t="s">
        <v>152</v>
      </c>
      <c r="B2" s="9" t="s">
        <v>161</v>
      </c>
      <c r="C2" s="23"/>
      <c r="D2" s="23"/>
      <c r="E2" s="23"/>
      <c r="F2" s="23"/>
      <c r="G2" s="23"/>
      <c r="H2" s="23"/>
      <c r="I2" s="23"/>
      <c r="J2" s="23"/>
      <c r="K2" s="23"/>
    </row>
    <row r="3" spans="1:11" x14ac:dyDescent="0.25">
      <c r="B3" s="9"/>
    </row>
    <row r="4" spans="1:11" x14ac:dyDescent="0.25">
      <c r="A4" t="s">
        <v>153</v>
      </c>
      <c r="B4" s="9" t="s">
        <v>161</v>
      </c>
      <c r="C4" s="23"/>
      <c r="D4" s="23"/>
      <c r="E4" s="23"/>
      <c r="F4" s="23"/>
      <c r="G4" s="23"/>
      <c r="H4" s="23"/>
      <c r="I4" s="23"/>
      <c r="J4" s="23"/>
      <c r="K4" s="23"/>
    </row>
    <row r="5" spans="1:11" x14ac:dyDescent="0.25">
      <c r="B5" s="9"/>
    </row>
    <row r="6" spans="1:11" x14ac:dyDescent="0.25">
      <c r="A6" t="s">
        <v>154</v>
      </c>
      <c r="B6" s="9" t="s">
        <v>161</v>
      </c>
      <c r="C6" s="23"/>
      <c r="D6" s="23"/>
      <c r="E6" s="23"/>
      <c r="F6" s="23"/>
      <c r="G6" s="23"/>
      <c r="H6" s="23"/>
      <c r="I6" s="23"/>
      <c r="J6" s="23"/>
      <c r="K6" s="23"/>
    </row>
    <row r="7" spans="1:11" x14ac:dyDescent="0.25">
      <c r="B7" s="9" t="s">
        <v>118</v>
      </c>
      <c r="C7" s="23"/>
      <c r="D7" s="23"/>
      <c r="E7" s="23"/>
      <c r="F7" s="23"/>
      <c r="G7" s="23"/>
      <c r="H7" s="23"/>
      <c r="I7" s="23"/>
      <c r="J7" s="23"/>
      <c r="K7" s="23"/>
    </row>
    <row r="8" spans="1:11" x14ac:dyDescent="0.25">
      <c r="B8" s="9" t="s">
        <v>155</v>
      </c>
      <c r="C8" s="23"/>
      <c r="D8" s="23"/>
      <c r="E8" s="23"/>
      <c r="F8" s="23"/>
      <c r="G8" s="23"/>
      <c r="H8" s="23"/>
      <c r="I8" s="23"/>
      <c r="J8" s="23"/>
      <c r="K8" s="23"/>
    </row>
    <row r="10" spans="1:11" x14ac:dyDescent="0.25">
      <c r="A10" t="s">
        <v>156</v>
      </c>
      <c r="B10" s="11" t="s">
        <v>157</v>
      </c>
      <c r="C10" s="23"/>
      <c r="D10" s="23"/>
      <c r="E10" s="23"/>
      <c r="F10" s="23"/>
      <c r="G10" s="23"/>
      <c r="H10" s="23"/>
      <c r="I10" s="23"/>
      <c r="J10" s="23"/>
      <c r="K10" s="23"/>
    </row>
    <row r="11" spans="1:11" x14ac:dyDescent="0.25">
      <c r="B11" s="11" t="s">
        <v>158</v>
      </c>
      <c r="C11" s="23"/>
      <c r="D11" s="23"/>
      <c r="E11" s="23"/>
      <c r="F11" s="23"/>
      <c r="G11" s="23"/>
      <c r="H11" s="23"/>
      <c r="I11" s="23"/>
      <c r="J11" s="23"/>
      <c r="K11" s="23"/>
    </row>
    <row r="13" spans="1:11" x14ac:dyDescent="0.25">
      <c r="A13" s="8" t="s">
        <v>61</v>
      </c>
      <c r="B13" s="11" t="s">
        <v>159</v>
      </c>
      <c r="C13" s="23"/>
      <c r="D13" s="23"/>
      <c r="E13" s="23"/>
      <c r="F13" s="23"/>
      <c r="G13" s="23"/>
      <c r="H13" s="23"/>
      <c r="I13" s="23"/>
      <c r="J13" s="23"/>
      <c r="K13" s="23"/>
    </row>
    <row r="14" spans="1:11" x14ac:dyDescent="0.25">
      <c r="B14" s="11" t="s">
        <v>160</v>
      </c>
      <c r="C14" s="23"/>
      <c r="D14" s="23"/>
      <c r="E14" s="23"/>
      <c r="F14" s="23"/>
      <c r="G14" s="23"/>
      <c r="H14" s="23"/>
      <c r="I14" s="23"/>
      <c r="J14" s="23"/>
      <c r="K14" s="23"/>
    </row>
  </sheetData>
  <sheetProtection algorithmName="SHA-512" hashValue="eKYmPASdSx7OTXDpl9HG1De8DRX9XkdYRV0+4Xu5xEfE0RVFv2Z0suo1TKkajcJfVxpN1ixUlXkJTfx4nVL1sA==" saltValue="v1cadtRog11J7qvYcCQ9Ww==" spinCount="100000" sheet="1" objects="1" scenarios="1"/>
  <pageMargins left="0.7" right="0.7" top="0.75" bottom="0.75" header="0.3" footer="0.3"/>
  <pageSetup paperSize="193" orientation="portrait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 codeName="Sheet7">
    <tabColor rgb="FF007600"/>
  </sheetPr>
  <dimension ref="A1:O22"/>
  <sheetViews>
    <sheetView topLeftCell="B9" workbookViewId="0">
      <selection activeCell="B22" sqref="B22"/>
    </sheetView>
  </sheetViews>
  <sheetFormatPr defaultRowHeight="12.5" x14ac:dyDescent="0.25"/>
  <cols>
    <col min="1" max="1" width="57.1796875" customWidth="1"/>
    <col min="2" max="2" width="15.36328125" customWidth="1"/>
  </cols>
  <sheetData>
    <row r="1" spans="1:15" ht="13" x14ac:dyDescent="0.3">
      <c r="A1" s="103" t="s">
        <v>12</v>
      </c>
      <c r="B1" s="103" t="s">
        <v>13</v>
      </c>
      <c r="C1" s="104"/>
      <c r="D1" s="104"/>
      <c r="E1" s="104"/>
      <c r="F1" s="104"/>
      <c r="G1" s="104"/>
      <c r="H1" s="104"/>
      <c r="I1" s="104"/>
      <c r="J1" s="104"/>
      <c r="K1" s="104"/>
      <c r="L1" s="104"/>
      <c r="M1" s="104"/>
      <c r="N1" s="104"/>
      <c r="O1" s="104"/>
    </row>
    <row r="2" spans="1:15" x14ac:dyDescent="0.25">
      <c r="A2" t="s">
        <v>163</v>
      </c>
      <c r="B2" s="107">
        <v>3745.5603674631302</v>
      </c>
      <c r="C2" s="104"/>
      <c r="D2" s="104"/>
      <c r="E2" s="104"/>
      <c r="F2" s="104"/>
      <c r="G2" s="104"/>
      <c r="H2" s="104"/>
      <c r="I2" s="104"/>
      <c r="J2" s="104"/>
      <c r="K2" s="104"/>
      <c r="L2" s="104"/>
      <c r="M2" s="104"/>
      <c r="N2" s="104"/>
      <c r="O2" s="104"/>
    </row>
    <row r="3" spans="1:15" x14ac:dyDescent="0.25">
      <c r="A3" t="s">
        <v>162</v>
      </c>
      <c r="B3" s="108">
        <v>0.03</v>
      </c>
      <c r="C3" s="104"/>
      <c r="D3" s="104"/>
      <c r="E3" s="104"/>
      <c r="F3" s="104"/>
      <c r="G3" s="104"/>
      <c r="H3" s="104"/>
      <c r="I3" s="104"/>
      <c r="J3" s="104"/>
      <c r="K3" s="104"/>
      <c r="L3" s="104"/>
      <c r="M3" s="104"/>
      <c r="N3" s="104"/>
      <c r="O3" s="104"/>
    </row>
    <row r="4" spans="1:15" x14ac:dyDescent="0.25">
      <c r="A4" t="s">
        <v>173</v>
      </c>
      <c r="B4" s="108">
        <v>0.41102</v>
      </c>
      <c r="C4" s="104"/>
      <c r="D4" s="104"/>
      <c r="E4" s="104"/>
      <c r="F4" s="104"/>
      <c r="G4" s="104"/>
      <c r="H4" s="104"/>
      <c r="I4" s="104"/>
      <c r="J4" s="104"/>
      <c r="K4" s="104"/>
      <c r="L4" s="104"/>
      <c r="M4" s="104"/>
      <c r="N4" s="104"/>
      <c r="O4" s="104"/>
    </row>
    <row r="5" spans="1:15" x14ac:dyDescent="0.25">
      <c r="A5" t="s">
        <v>164</v>
      </c>
      <c r="B5" s="108">
        <v>0.03</v>
      </c>
      <c r="C5" s="104"/>
      <c r="D5" s="104"/>
      <c r="E5" s="104"/>
      <c r="F5" s="104"/>
      <c r="G5" s="104"/>
      <c r="H5" s="104"/>
      <c r="I5" s="104"/>
      <c r="J5" s="104"/>
      <c r="K5" s="104"/>
      <c r="L5" s="104"/>
      <c r="M5" s="104"/>
      <c r="N5" s="104"/>
      <c r="O5" s="104"/>
    </row>
    <row r="6" spans="1:15" x14ac:dyDescent="0.25">
      <c r="A6" t="s">
        <v>165</v>
      </c>
      <c r="B6" s="108">
        <v>0.03</v>
      </c>
      <c r="C6" s="104"/>
      <c r="D6" s="104"/>
      <c r="E6" s="104"/>
      <c r="F6" s="104"/>
      <c r="G6" s="104"/>
      <c r="H6" s="104"/>
      <c r="I6" s="104"/>
      <c r="J6" s="104"/>
      <c r="K6" s="104"/>
      <c r="L6" s="104"/>
      <c r="M6" s="104"/>
      <c r="N6" s="104"/>
      <c r="O6" s="104"/>
    </row>
    <row r="7" spans="1:15" x14ac:dyDescent="0.25">
      <c r="A7" t="s">
        <v>168</v>
      </c>
      <c r="B7" s="109">
        <v>18</v>
      </c>
      <c r="C7" s="104"/>
      <c r="D7" s="104"/>
      <c r="E7" s="104"/>
      <c r="F7" s="104"/>
      <c r="G7" s="104"/>
      <c r="H7" s="104"/>
      <c r="I7" s="104"/>
      <c r="J7" s="104"/>
      <c r="K7" s="104"/>
      <c r="L7" s="104"/>
      <c r="M7" s="104"/>
      <c r="N7" s="104"/>
      <c r="O7" s="104"/>
    </row>
    <row r="8" spans="1:15" x14ac:dyDescent="0.25">
      <c r="A8" t="s">
        <v>167</v>
      </c>
      <c r="B8" s="109">
        <v>65</v>
      </c>
      <c r="C8" s="104"/>
      <c r="D8" s="104"/>
      <c r="E8" s="104"/>
      <c r="F8" s="104"/>
      <c r="G8" s="104"/>
      <c r="H8" s="104"/>
      <c r="I8" s="104"/>
      <c r="J8" s="104"/>
      <c r="K8" s="104"/>
      <c r="L8" s="104"/>
      <c r="M8" s="104"/>
      <c r="N8" s="104"/>
      <c r="O8" s="104"/>
    </row>
    <row r="9" spans="1:15" x14ac:dyDescent="0.25">
      <c r="A9" t="s">
        <v>169</v>
      </c>
      <c r="B9" s="108">
        <v>0.44403999999999999</v>
      </c>
      <c r="C9" s="104"/>
      <c r="D9" s="104"/>
      <c r="E9" s="104"/>
      <c r="F9" s="104"/>
      <c r="G9" s="104"/>
      <c r="H9" s="104"/>
      <c r="I9" s="104"/>
      <c r="J9" s="104"/>
      <c r="K9" s="104"/>
      <c r="L9" s="104"/>
      <c r="M9" s="104"/>
      <c r="N9" s="104"/>
      <c r="O9" s="104"/>
    </row>
    <row r="10" spans="1:15" x14ac:dyDescent="0.25">
      <c r="A10" t="s">
        <v>166</v>
      </c>
      <c r="B10" s="108">
        <v>0.9</v>
      </c>
      <c r="C10" s="104"/>
      <c r="D10" s="104"/>
      <c r="E10" s="104"/>
      <c r="F10" s="104"/>
      <c r="G10" s="104"/>
      <c r="H10" s="104"/>
      <c r="I10" s="104"/>
      <c r="J10" s="104"/>
      <c r="K10" s="104"/>
      <c r="L10" s="104"/>
      <c r="M10" s="104"/>
      <c r="N10" s="104"/>
      <c r="O10" s="104"/>
    </row>
    <row r="11" spans="1:15" x14ac:dyDescent="0.25">
      <c r="A11" t="s">
        <v>174</v>
      </c>
      <c r="B11" s="108">
        <v>0.66</v>
      </c>
      <c r="C11" s="104"/>
      <c r="D11" s="104"/>
      <c r="E11" s="104"/>
      <c r="F11" s="104"/>
      <c r="G11" s="104"/>
      <c r="H11" s="104"/>
      <c r="I11" s="104"/>
      <c r="J11" s="104"/>
      <c r="K11" s="104"/>
      <c r="L11" s="104"/>
      <c r="M11" s="104"/>
      <c r="N11" s="104"/>
      <c r="O11" s="104"/>
    </row>
    <row r="12" spans="1:15" x14ac:dyDescent="0.25">
      <c r="A12" t="s">
        <v>175</v>
      </c>
      <c r="B12" s="108">
        <v>2.5000000000000001E-2</v>
      </c>
      <c r="C12" s="104"/>
      <c r="D12" s="104"/>
      <c r="E12" s="104"/>
      <c r="F12" s="104"/>
      <c r="G12" s="104"/>
      <c r="H12" s="104"/>
      <c r="I12" s="104"/>
      <c r="J12" s="104"/>
      <c r="K12" s="104"/>
      <c r="L12" s="104"/>
      <c r="M12" s="104"/>
      <c r="N12" s="104"/>
      <c r="O12" s="104"/>
    </row>
    <row r="13" spans="1:15" x14ac:dyDescent="0.25">
      <c r="A13" t="s">
        <v>176</v>
      </c>
      <c r="B13" s="108">
        <v>7.4999999999999997E-2</v>
      </c>
      <c r="C13" s="104"/>
      <c r="D13" s="104"/>
      <c r="E13" s="104"/>
      <c r="F13" s="104"/>
      <c r="G13" s="104"/>
      <c r="H13" s="104"/>
      <c r="I13" s="104"/>
      <c r="J13" s="104"/>
      <c r="K13" s="104"/>
      <c r="L13" s="104"/>
      <c r="M13" s="104"/>
      <c r="N13" s="104"/>
      <c r="O13" s="104"/>
    </row>
    <row r="14" spans="1:15" x14ac:dyDescent="0.25">
      <c r="A14" t="s">
        <v>177</v>
      </c>
      <c r="B14" s="110">
        <v>1.5164553535832142E-2</v>
      </c>
      <c r="C14" s="104"/>
      <c r="D14" s="104"/>
      <c r="E14" s="104"/>
      <c r="F14" s="104"/>
      <c r="G14" s="104"/>
      <c r="H14" s="104"/>
      <c r="I14" s="104"/>
      <c r="J14" s="104"/>
      <c r="K14" s="104"/>
      <c r="L14" s="104"/>
      <c r="M14" s="104"/>
      <c r="N14" s="104"/>
      <c r="O14" s="104"/>
    </row>
    <row r="15" spans="1:15" x14ac:dyDescent="0.25">
      <c r="A15" t="s">
        <v>170</v>
      </c>
      <c r="B15" s="109">
        <v>0.5</v>
      </c>
      <c r="C15" s="104"/>
      <c r="D15" s="104"/>
      <c r="E15" s="104"/>
      <c r="F15" s="104"/>
      <c r="G15" s="104"/>
      <c r="H15" s="104"/>
      <c r="I15" s="104"/>
      <c r="J15" s="104"/>
      <c r="K15" s="104"/>
      <c r="L15" s="104"/>
      <c r="M15" s="104"/>
      <c r="N15" s="104"/>
      <c r="O15" s="104"/>
    </row>
    <row r="16" spans="1:15" x14ac:dyDescent="0.25">
      <c r="A16" t="s">
        <v>171</v>
      </c>
      <c r="B16" s="109">
        <v>0.8</v>
      </c>
      <c r="C16" s="104"/>
      <c r="D16" s="104"/>
      <c r="E16" s="104"/>
      <c r="F16" s="104"/>
      <c r="G16" s="104"/>
      <c r="H16" s="104"/>
      <c r="I16" s="104"/>
      <c r="J16" s="104"/>
      <c r="K16" s="104"/>
      <c r="L16" s="104"/>
      <c r="M16" s="104"/>
      <c r="N16" s="104"/>
      <c r="O16" s="104"/>
    </row>
    <row r="17" spans="1:15" x14ac:dyDescent="0.25">
      <c r="A17" t="s">
        <v>172</v>
      </c>
      <c r="B17" s="111">
        <v>1.0666666666666666E-2</v>
      </c>
      <c r="C17" s="104"/>
      <c r="D17" s="104"/>
      <c r="E17" s="104"/>
      <c r="F17" s="104"/>
      <c r="G17" s="104"/>
      <c r="H17" s="104"/>
      <c r="I17" s="104"/>
      <c r="J17" s="104"/>
      <c r="K17" s="104"/>
      <c r="L17" s="104"/>
      <c r="M17" s="104"/>
      <c r="N17" s="104"/>
      <c r="O17" s="104"/>
    </row>
    <row r="18" spans="1:15" x14ac:dyDescent="0.25">
      <c r="A18" t="s">
        <v>178</v>
      </c>
      <c r="B18" s="108">
        <v>0</v>
      </c>
      <c r="C18" s="104"/>
      <c r="D18" s="104"/>
      <c r="E18" s="104"/>
      <c r="F18" s="104"/>
      <c r="G18" s="104"/>
      <c r="H18" s="104"/>
      <c r="I18" s="104"/>
      <c r="J18" s="104"/>
      <c r="K18" s="104"/>
      <c r="L18" s="104"/>
      <c r="M18" s="104"/>
      <c r="N18" s="104"/>
      <c r="O18" s="104"/>
    </row>
    <row r="19" spans="1:15" x14ac:dyDescent="0.25">
      <c r="A19" s="104"/>
      <c r="B19" s="104"/>
      <c r="C19" s="104"/>
      <c r="D19" s="104"/>
      <c r="E19" s="104"/>
      <c r="F19" s="104"/>
      <c r="G19" s="104"/>
      <c r="H19" s="104"/>
      <c r="I19" s="104"/>
      <c r="J19" s="104"/>
      <c r="K19" s="104"/>
      <c r="L19" s="104"/>
      <c r="M19" s="104"/>
      <c r="N19" s="104"/>
      <c r="O19" s="104"/>
    </row>
    <row r="20" spans="1:15" x14ac:dyDescent="0.25">
      <c r="A20" s="104"/>
      <c r="B20" s="104"/>
      <c r="C20" s="104"/>
      <c r="D20" s="104"/>
      <c r="E20" s="104"/>
      <c r="F20" s="104"/>
      <c r="G20" s="104"/>
      <c r="H20" s="104"/>
      <c r="I20" s="104"/>
      <c r="J20" s="104"/>
      <c r="K20" s="104"/>
      <c r="L20" s="104"/>
      <c r="M20" s="104"/>
      <c r="N20" s="104"/>
      <c r="O20" s="104"/>
    </row>
    <row r="21" spans="1:15" ht="13" x14ac:dyDescent="0.3">
      <c r="A21" s="105" t="s">
        <v>14</v>
      </c>
      <c r="B21" s="106" t="s">
        <v>15</v>
      </c>
      <c r="C21" s="106" t="s">
        <v>16</v>
      </c>
      <c r="D21" s="106" t="s">
        <v>17</v>
      </c>
      <c r="E21" s="106" t="s">
        <v>18</v>
      </c>
      <c r="F21" s="106" t="s">
        <v>19</v>
      </c>
      <c r="G21" s="106" t="s">
        <v>20</v>
      </c>
      <c r="H21" s="106" t="s">
        <v>21</v>
      </c>
      <c r="I21" s="106" t="s">
        <v>22</v>
      </c>
      <c r="J21" s="106" t="s">
        <v>23</v>
      </c>
      <c r="K21" s="106" t="s">
        <v>24</v>
      </c>
      <c r="L21" s="106" t="s">
        <v>25</v>
      </c>
      <c r="M21" s="106" t="s">
        <v>26</v>
      </c>
      <c r="N21" s="106" t="s">
        <v>27</v>
      </c>
      <c r="O21" s="106" t="s">
        <v>28</v>
      </c>
    </row>
    <row r="22" spans="1:15" x14ac:dyDescent="0.25">
      <c r="A22" s="106" t="s">
        <v>179</v>
      </c>
      <c r="B22" s="107">
        <v>98795.523879999993</v>
      </c>
      <c r="C22" s="107">
        <v>98616.626480000006</v>
      </c>
      <c r="D22" s="107">
        <v>98448.280549999996</v>
      </c>
      <c r="E22" s="107">
        <v>98027.963820000004</v>
      </c>
      <c r="F22" s="107">
        <v>97282.981140000004</v>
      </c>
      <c r="G22" s="107">
        <v>96369.177590000007</v>
      </c>
      <c r="H22" s="107">
        <v>95232.656879999995</v>
      </c>
      <c r="I22" s="107">
        <v>93732.445389999993</v>
      </c>
      <c r="J22" s="107">
        <v>91606.786500000002</v>
      </c>
      <c r="K22" s="107">
        <v>88546.744749999998</v>
      </c>
      <c r="L22" s="107">
        <v>84224.197490000006</v>
      </c>
      <c r="M22" s="107">
        <v>78261.861390000005</v>
      </c>
      <c r="N22" s="107">
        <v>70276.234450000004</v>
      </c>
      <c r="O22" s="107">
        <v>60248.059719999997</v>
      </c>
    </row>
  </sheetData>
  <sheetProtection algorithmName="SHA-512" hashValue="kZ7otxYs8M1bdSPnN0EQSnTDgiyeG4hYwDVwvXZgaT9ZsQ0w9im1e71s6Dpl2a6h/phdugcd38rsK9hBvTQ8Gg==" saltValue="C6WQe5GLSnhb2cjKkHolrQ==" spinCount="100000" sheet="1" objects="1" scenarios="1" selectLockedCells="1"/>
  <pageMargins left="0.7" right="0.7" top="0.75" bottom="0.75" header="0.3" footer="0.3"/>
  <legacy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 codeName="Sheet8">
    <tabColor theme="7" tint="-0.249977111117893"/>
  </sheetPr>
  <dimension ref="A1:E21"/>
  <sheetViews>
    <sheetView zoomScale="115" zoomScaleNormal="115" workbookViewId="0">
      <selection activeCell="C2" sqref="C2"/>
    </sheetView>
  </sheetViews>
  <sheetFormatPr defaultColWidth="11.453125" defaultRowHeight="12.5" x14ac:dyDescent="0.25"/>
  <cols>
    <col min="1" max="1" width="17" style="8" customWidth="1"/>
    <col min="2" max="2" width="19.08984375" style="8" customWidth="1"/>
    <col min="3" max="3" width="13.453125" style="8" customWidth="1"/>
    <col min="4" max="5" width="11.453125" style="8" customWidth="1"/>
    <col min="6" max="16384" width="11.453125" style="8"/>
  </cols>
  <sheetData>
    <row r="1" spans="1:5" ht="13" x14ac:dyDescent="0.3">
      <c r="A1" s="35" t="s">
        <v>180</v>
      </c>
      <c r="B1" s="36" t="s">
        <v>181</v>
      </c>
      <c r="C1" s="36" t="s">
        <v>182</v>
      </c>
      <c r="D1" s="36" t="s">
        <v>183</v>
      </c>
      <c r="E1" s="36" t="s">
        <v>184</v>
      </c>
    </row>
    <row r="2" spans="1:5" ht="13" x14ac:dyDescent="0.3">
      <c r="A2" s="34" t="s">
        <v>186</v>
      </c>
      <c r="B2" s="32" t="s">
        <v>118</v>
      </c>
      <c r="C2" s="47"/>
      <c r="D2" s="47"/>
      <c r="E2" s="38" t="str">
        <f>IF(E$7="","",E$7)</f>
        <v/>
      </c>
    </row>
    <row r="3" spans="1:5" x14ac:dyDescent="0.25">
      <c r="B3" s="32" t="s">
        <v>127</v>
      </c>
      <c r="C3" s="47"/>
      <c r="D3" s="47" t="s">
        <v>4</v>
      </c>
      <c r="E3" s="38" t="str">
        <f>IF(E$7="","",E$7)</f>
        <v/>
      </c>
    </row>
    <row r="4" spans="1:5" x14ac:dyDescent="0.25">
      <c r="B4" s="32" t="s">
        <v>114</v>
      </c>
      <c r="C4" s="47"/>
      <c r="D4" s="47" t="s">
        <v>4</v>
      </c>
      <c r="E4" s="38" t="str">
        <f>IF(E$7="","",E$7)</f>
        <v/>
      </c>
    </row>
    <row r="5" spans="1:5" x14ac:dyDescent="0.25">
      <c r="B5" s="32" t="s">
        <v>115</v>
      </c>
      <c r="C5" s="47"/>
      <c r="D5" s="47" t="s">
        <v>4</v>
      </c>
      <c r="E5" s="38" t="str">
        <f>IF(E$7="","",E$7)</f>
        <v/>
      </c>
    </row>
    <row r="6" spans="1:5" x14ac:dyDescent="0.25">
      <c r="B6" s="32" t="s">
        <v>116</v>
      </c>
      <c r="C6" s="47"/>
      <c r="D6" s="47" t="s">
        <v>4</v>
      </c>
      <c r="E6" s="38" t="str">
        <f>IF(E$7="","",E$7)</f>
        <v/>
      </c>
    </row>
    <row r="7" spans="1:5" x14ac:dyDescent="0.25">
      <c r="B7" s="32" t="s">
        <v>185</v>
      </c>
      <c r="C7" s="31"/>
      <c r="D7" s="30"/>
      <c r="E7" s="47"/>
    </row>
    <row r="9" spans="1:5" ht="13" x14ac:dyDescent="0.3">
      <c r="A9" s="34" t="s">
        <v>187</v>
      </c>
      <c r="B9" s="32" t="s">
        <v>118</v>
      </c>
      <c r="C9" s="47"/>
      <c r="D9" s="47"/>
      <c r="E9" s="38" t="str">
        <f>IF(E$7="","",E$7)</f>
        <v/>
      </c>
    </row>
    <row r="10" spans="1:5" x14ac:dyDescent="0.25">
      <c r="B10" s="32" t="s">
        <v>127</v>
      </c>
      <c r="C10" s="47"/>
      <c r="D10" s="47"/>
      <c r="E10" s="38" t="str">
        <f>IF(E$7="","",E$7)</f>
        <v/>
      </c>
    </row>
    <row r="11" spans="1:5" x14ac:dyDescent="0.25">
      <c r="B11" s="32" t="s">
        <v>114</v>
      </c>
      <c r="C11" s="47"/>
      <c r="D11" s="47"/>
      <c r="E11" s="38" t="str">
        <f>IF(E$7="","",E$7)</f>
        <v/>
      </c>
    </row>
    <row r="12" spans="1:5" x14ac:dyDescent="0.25">
      <c r="B12" s="32" t="s">
        <v>115</v>
      </c>
      <c r="C12" s="47"/>
      <c r="D12" s="47" t="s">
        <v>4</v>
      </c>
      <c r="E12" s="38" t="str">
        <f>IF(E$7="","",E$7)</f>
        <v/>
      </c>
    </row>
    <row r="13" spans="1:5" x14ac:dyDescent="0.25">
      <c r="B13" s="32" t="s">
        <v>116</v>
      </c>
      <c r="C13" s="47"/>
      <c r="D13" s="47" t="s">
        <v>4</v>
      </c>
      <c r="E13" s="38" t="str">
        <f>IF(E$7="","",E$7)</f>
        <v/>
      </c>
    </row>
    <row r="14" spans="1:5" x14ac:dyDescent="0.25">
      <c r="B14" s="32" t="s">
        <v>185</v>
      </c>
      <c r="C14" s="31"/>
      <c r="D14" s="30"/>
      <c r="E14" s="47"/>
    </row>
    <row r="16" spans="1:5" ht="13" x14ac:dyDescent="0.3">
      <c r="A16" s="34" t="s">
        <v>188</v>
      </c>
      <c r="B16" s="32" t="s">
        <v>118</v>
      </c>
      <c r="C16" s="47"/>
      <c r="D16" s="47" t="s">
        <v>4</v>
      </c>
      <c r="E16" s="38" t="str">
        <f>IF(E$7="","",E$7)</f>
        <v/>
      </c>
    </row>
    <row r="17" spans="2:5" x14ac:dyDescent="0.25">
      <c r="B17" s="32" t="s">
        <v>127</v>
      </c>
      <c r="C17" s="47"/>
      <c r="D17" s="47" t="s">
        <v>4</v>
      </c>
      <c r="E17" s="38" t="str">
        <f>IF(E$7="","",E$7)</f>
        <v/>
      </c>
    </row>
    <row r="18" spans="2:5" x14ac:dyDescent="0.25">
      <c r="B18" s="32" t="s">
        <v>114</v>
      </c>
      <c r="C18" s="47"/>
      <c r="D18" s="47" t="s">
        <v>4</v>
      </c>
      <c r="E18" s="38" t="str">
        <f>IF(E$7="","",E$7)</f>
        <v/>
      </c>
    </row>
    <row r="19" spans="2:5" x14ac:dyDescent="0.25">
      <c r="B19" s="32" t="s">
        <v>115</v>
      </c>
      <c r="C19" s="47"/>
      <c r="D19" s="47" t="s">
        <v>4</v>
      </c>
      <c r="E19" s="38" t="str">
        <f>IF(E$7="","",E$7)</f>
        <v/>
      </c>
    </row>
    <row r="20" spans="2:5" x14ac:dyDescent="0.25">
      <c r="B20" s="32" t="s">
        <v>116</v>
      </c>
      <c r="C20" s="47"/>
      <c r="D20" s="47" t="s">
        <v>4</v>
      </c>
      <c r="E20" s="38" t="str">
        <f>IF(E$7="","",E$7)</f>
        <v/>
      </c>
    </row>
    <row r="21" spans="2:5" x14ac:dyDescent="0.25">
      <c r="B21" s="32" t="s">
        <v>185</v>
      </c>
      <c r="C21" s="31"/>
      <c r="D21" s="30"/>
      <c r="E21" s="47"/>
    </row>
  </sheetData>
  <sheetProtection algorithmName="SHA-512" hashValue="4tbIyR6jQ4h6710NmsBtFSBXmPYKQGsPyVcVPOVrYHc0Xg3ojbCAMQky0wdg9ioFDEhDMtWZob39JjqSMdfNxA==" saltValue="z+Uo8vKA3+RmnSQKALwvxQ==" spinCount="100000" sheet="1" objects="1" scenarios="1" selectLockedCells="1"/>
  <pageMargins left="0.7" right="0.7" top="0.75" bottom="0.75" header="0.3" footer="0.3"/>
  <pageSetup paperSize="9" orientation="portrait" horizontalDpi="0" verticalDpi="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 codeName="Sheet9">
    <tabColor theme="7" tint="-0.249977111117893"/>
  </sheetPr>
  <dimension ref="A1:D3"/>
  <sheetViews>
    <sheetView zoomScale="145" zoomScaleNormal="145" workbookViewId="0">
      <selection activeCell="D2" sqref="D2"/>
    </sheetView>
  </sheetViews>
  <sheetFormatPr defaultColWidth="10.90625" defaultRowHeight="12.5" x14ac:dyDescent="0.25"/>
  <cols>
    <col min="1" max="1" width="15.6328125" customWidth="1"/>
    <col min="2" max="2" width="15.453125" customWidth="1"/>
    <col min="3" max="3" width="17.453125" customWidth="1"/>
    <col min="4" max="4" width="12.90625" customWidth="1"/>
  </cols>
  <sheetData>
    <row r="1" spans="1:4" ht="13" x14ac:dyDescent="0.3">
      <c r="A1" s="39" t="s">
        <v>0</v>
      </c>
      <c r="B1" s="36" t="s">
        <v>191</v>
      </c>
      <c r="C1" s="40" t="s">
        <v>5</v>
      </c>
      <c r="D1" s="40" t="s">
        <v>192</v>
      </c>
    </row>
    <row r="2" spans="1:4" ht="13" x14ac:dyDescent="0.3">
      <c r="A2" s="40" t="s">
        <v>189</v>
      </c>
      <c r="B2" s="32" t="s">
        <v>190</v>
      </c>
      <c r="C2" s="32" t="s">
        <v>194</v>
      </c>
      <c r="D2" s="47"/>
    </row>
    <row r="3" spans="1:4" ht="13" x14ac:dyDescent="0.3">
      <c r="A3" s="40" t="s">
        <v>193</v>
      </c>
      <c r="B3" s="32" t="s">
        <v>182</v>
      </c>
      <c r="C3" s="32" t="s">
        <v>183</v>
      </c>
      <c r="D3" s="47"/>
    </row>
  </sheetData>
  <sheetProtection algorithmName="SHA-512" hashValue="FHRl056s/tGAXafImDLcVw+fUNNjJVS1u1VPXfRedZSn80CDTyD7dJrnnEmHfKUAh9MTx+LKj2DJefhptah2iA==" saltValue="5tcqxCPTNrGyRGUX03bmvA==" spinCount="100000" sheet="1" objects="1" scenarios="1" selectLockedCells="1"/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 codeName="Sheet10">
    <tabColor theme="7" tint="-0.249977111117893"/>
  </sheetPr>
  <dimension ref="A1:G39"/>
  <sheetViews>
    <sheetView zoomScale="70" zoomScaleNormal="70" workbookViewId="0">
      <selection activeCell="B28" sqref="B28"/>
    </sheetView>
  </sheetViews>
  <sheetFormatPr defaultColWidth="14.453125" defaultRowHeight="15.75" customHeight="1" x14ac:dyDescent="0.25"/>
  <cols>
    <col min="1" max="1" width="56" style="5" customWidth="1"/>
    <col min="2" max="2" width="20" style="8" customWidth="1"/>
    <col min="3" max="3" width="20.453125" style="8" customWidth="1"/>
    <col min="4" max="4" width="20.08984375" style="8" customWidth="1"/>
    <col min="5" max="5" width="36.36328125" style="8" bestFit="1" customWidth="1"/>
    <col min="6" max="6" width="23" style="8" bestFit="1" customWidth="1"/>
    <col min="7" max="7" width="22.6328125" style="8" bestFit="1" customWidth="1"/>
    <col min="8" max="9" width="14.453125" style="8" customWidth="1"/>
    <col min="10" max="16384" width="14.453125" style="8"/>
  </cols>
  <sheetData>
    <row r="1" spans="1:7" ht="26.4" customHeight="1" x14ac:dyDescent="0.3">
      <c r="A1" s="1" t="s">
        <v>189</v>
      </c>
      <c r="B1" s="22" t="str">
        <f>"Couverture de l'année de référence ("&amp;start_year&amp;")"</f>
        <v>Couverture de l'année de référence (2024)</v>
      </c>
      <c r="C1" s="22" t="s">
        <v>195</v>
      </c>
      <c r="D1" s="22" t="s">
        <v>231</v>
      </c>
      <c r="E1" s="22" t="s">
        <v>196</v>
      </c>
      <c r="F1" s="22" t="s">
        <v>232</v>
      </c>
      <c r="G1" s="22" t="s">
        <v>233</v>
      </c>
    </row>
    <row r="2" spans="1:7" ht="15.75" customHeight="1" x14ac:dyDescent="0.25">
      <c r="A2" s="5" t="s">
        <v>197</v>
      </c>
      <c r="B2" s="45">
        <v>0</v>
      </c>
      <c r="C2" s="96">
        <v>0.95</v>
      </c>
      <c r="D2" s="56">
        <v>23.266651740020471</v>
      </c>
      <c r="E2" s="56" t="s">
        <v>230</v>
      </c>
      <c r="F2" s="96">
        <v>1</v>
      </c>
      <c r="G2" s="96">
        <v>1</v>
      </c>
    </row>
    <row r="3" spans="1:7" ht="15.75" customHeight="1" x14ac:dyDescent="0.25">
      <c r="A3" s="5" t="s">
        <v>198</v>
      </c>
      <c r="B3" s="45">
        <v>0</v>
      </c>
      <c r="C3" s="96">
        <v>0.95</v>
      </c>
      <c r="D3" s="56">
        <v>23.266651740020471</v>
      </c>
      <c r="E3" s="56" t="s">
        <v>230</v>
      </c>
      <c r="F3" s="96">
        <v>1</v>
      </c>
      <c r="G3" s="96">
        <v>1</v>
      </c>
    </row>
    <row r="4" spans="1:7" ht="15.75" customHeight="1" x14ac:dyDescent="0.25">
      <c r="A4" s="5" t="s">
        <v>199</v>
      </c>
      <c r="B4" s="96">
        <v>0</v>
      </c>
      <c r="C4" s="96">
        <v>0.95</v>
      </c>
      <c r="D4" s="56">
        <v>0.80999999999999994</v>
      </c>
      <c r="E4" s="56" t="s">
        <v>230</v>
      </c>
      <c r="F4" s="96">
        <v>1</v>
      </c>
      <c r="G4" s="96">
        <v>1</v>
      </c>
    </row>
    <row r="5" spans="1:7" ht="15.75" customHeight="1" x14ac:dyDescent="0.25">
      <c r="A5" s="5" t="s">
        <v>200</v>
      </c>
      <c r="B5" s="96">
        <v>0</v>
      </c>
      <c r="C5" s="96">
        <v>0.95</v>
      </c>
      <c r="D5" s="56">
        <v>1.1645825935762411</v>
      </c>
      <c r="E5" s="56" t="s">
        <v>230</v>
      </c>
      <c r="F5" s="96">
        <v>1</v>
      </c>
      <c r="G5" s="96">
        <v>1</v>
      </c>
    </row>
    <row r="6" spans="1:7" ht="15.75" customHeight="1" x14ac:dyDescent="0.25">
      <c r="A6" s="5" t="s">
        <v>201</v>
      </c>
      <c r="B6" s="96">
        <v>0</v>
      </c>
      <c r="C6" s="96">
        <v>0.95</v>
      </c>
      <c r="D6" s="56">
        <v>99.99</v>
      </c>
      <c r="E6" s="56" t="s">
        <v>230</v>
      </c>
      <c r="F6" s="96">
        <v>1</v>
      </c>
      <c r="G6" s="96">
        <v>1</v>
      </c>
    </row>
    <row r="7" spans="1:7" ht="15.75" customHeight="1" x14ac:dyDescent="0.25">
      <c r="A7" s="5" t="s">
        <v>202</v>
      </c>
      <c r="B7" s="96">
        <v>0</v>
      </c>
      <c r="C7" s="96">
        <v>0.95</v>
      </c>
      <c r="D7" s="56">
        <v>0.19</v>
      </c>
      <c r="E7" s="56" t="s">
        <v>230</v>
      </c>
      <c r="F7" s="96">
        <v>1</v>
      </c>
      <c r="G7" s="96">
        <v>1</v>
      </c>
    </row>
    <row r="8" spans="1:7" ht="15.75" customHeight="1" x14ac:dyDescent="0.25">
      <c r="A8" s="5" t="s">
        <v>203</v>
      </c>
      <c r="B8" s="96">
        <v>0</v>
      </c>
      <c r="C8" s="96">
        <v>0.95</v>
      </c>
      <c r="D8" s="56">
        <v>0.79</v>
      </c>
      <c r="E8" s="56" t="s">
        <v>230</v>
      </c>
      <c r="F8" s="96">
        <v>1</v>
      </c>
      <c r="G8" s="96">
        <v>1</v>
      </c>
    </row>
    <row r="9" spans="1:7" ht="15.75" customHeight="1" x14ac:dyDescent="0.25">
      <c r="A9" s="5" t="s">
        <v>204</v>
      </c>
      <c r="B9" s="96">
        <v>0.5</v>
      </c>
      <c r="C9" s="96">
        <v>0.95</v>
      </c>
      <c r="D9" s="56">
        <v>0.33</v>
      </c>
      <c r="E9" s="56" t="s">
        <v>230</v>
      </c>
      <c r="F9" s="96">
        <v>1</v>
      </c>
      <c r="G9" s="96">
        <v>1</v>
      </c>
    </row>
    <row r="10" spans="1:7" ht="15.75" customHeight="1" x14ac:dyDescent="0.25">
      <c r="A10" s="11" t="s">
        <v>205</v>
      </c>
      <c r="B10" s="45">
        <v>1.1113E-2</v>
      </c>
      <c r="C10" s="96">
        <v>0.95</v>
      </c>
      <c r="D10" s="56">
        <v>12.99613066460511</v>
      </c>
      <c r="E10" s="56" t="s">
        <v>230</v>
      </c>
      <c r="F10" s="96">
        <v>1</v>
      </c>
      <c r="G10" s="96">
        <v>1</v>
      </c>
    </row>
    <row r="11" spans="1:7" ht="15.75" customHeight="1" x14ac:dyDescent="0.25">
      <c r="A11" s="11" t="s">
        <v>206</v>
      </c>
      <c r="B11" s="96">
        <v>0</v>
      </c>
      <c r="C11" s="96">
        <v>0.95</v>
      </c>
      <c r="D11" s="56">
        <v>12.99613066460511</v>
      </c>
      <c r="E11" s="56" t="s">
        <v>230</v>
      </c>
      <c r="F11" s="96">
        <v>1</v>
      </c>
      <c r="G11" s="96">
        <v>1</v>
      </c>
    </row>
    <row r="12" spans="1:7" ht="15.75" customHeight="1" x14ac:dyDescent="0.25">
      <c r="A12" s="11" t="s">
        <v>207</v>
      </c>
      <c r="B12" s="96">
        <v>0</v>
      </c>
      <c r="C12" s="96">
        <v>0.95</v>
      </c>
      <c r="D12" s="56">
        <v>12.99613066460511</v>
      </c>
      <c r="E12" s="56" t="s">
        <v>230</v>
      </c>
      <c r="F12" s="96">
        <v>1</v>
      </c>
      <c r="G12" s="96">
        <v>1</v>
      </c>
    </row>
    <row r="13" spans="1:7" ht="15.75" customHeight="1" x14ac:dyDescent="0.25">
      <c r="A13" s="11" t="s">
        <v>208</v>
      </c>
      <c r="B13" s="96">
        <v>0</v>
      </c>
      <c r="C13" s="96">
        <v>0.95</v>
      </c>
      <c r="D13" s="56">
        <v>12.99613066460511</v>
      </c>
      <c r="E13" s="56" t="s">
        <v>230</v>
      </c>
      <c r="F13" s="96">
        <v>1</v>
      </c>
      <c r="G13" s="96">
        <v>1</v>
      </c>
    </row>
    <row r="14" spans="1:7" ht="15.75" customHeight="1" x14ac:dyDescent="0.25">
      <c r="A14" s="5" t="s">
        <v>209</v>
      </c>
      <c r="B14" s="45">
        <v>1.1113E-2</v>
      </c>
      <c r="C14" s="96">
        <v>0.95</v>
      </c>
      <c r="D14" s="56">
        <v>12.99613066460511</v>
      </c>
      <c r="E14" s="56" t="s">
        <v>230</v>
      </c>
      <c r="F14" s="96">
        <v>1</v>
      </c>
      <c r="G14" s="96">
        <v>1</v>
      </c>
    </row>
    <row r="15" spans="1:7" ht="15.75" customHeight="1" x14ac:dyDescent="0.25">
      <c r="A15" s="5" t="s">
        <v>210</v>
      </c>
      <c r="B15" s="96">
        <v>0</v>
      </c>
      <c r="C15" s="96">
        <v>0.95</v>
      </c>
      <c r="D15" s="56">
        <v>12.99613066460511</v>
      </c>
      <c r="E15" s="56" t="s">
        <v>230</v>
      </c>
      <c r="F15" s="96">
        <v>1</v>
      </c>
      <c r="G15" s="96">
        <v>1</v>
      </c>
    </row>
    <row r="16" spans="1:7" ht="15.75" customHeight="1" x14ac:dyDescent="0.25">
      <c r="A16" s="5" t="s">
        <v>211</v>
      </c>
      <c r="B16" s="45">
        <v>0</v>
      </c>
      <c r="C16" s="96">
        <v>0.95</v>
      </c>
      <c r="D16" s="56">
        <v>1.57</v>
      </c>
      <c r="E16" s="56" t="s">
        <v>230</v>
      </c>
      <c r="F16" s="96">
        <v>1</v>
      </c>
      <c r="G16" s="96">
        <v>1</v>
      </c>
    </row>
    <row r="17" spans="1:7" ht="15.75" customHeight="1" x14ac:dyDescent="0.25">
      <c r="A17" s="5" t="s">
        <v>212</v>
      </c>
      <c r="B17" s="96">
        <v>0</v>
      </c>
      <c r="C17" s="96">
        <v>0.95</v>
      </c>
      <c r="D17" s="56">
        <v>0.1369044839662158</v>
      </c>
      <c r="E17" s="56" t="s">
        <v>230</v>
      </c>
      <c r="F17" s="96">
        <v>1</v>
      </c>
      <c r="G17" s="96">
        <v>1</v>
      </c>
    </row>
    <row r="18" spans="1:7" ht="15.9" customHeight="1" x14ac:dyDescent="0.25">
      <c r="A18" s="5" t="s">
        <v>186</v>
      </c>
      <c r="B18" s="96">
        <v>0.50451279999999998</v>
      </c>
      <c r="C18" s="96">
        <v>0.95</v>
      </c>
      <c r="D18" s="56">
        <v>8.0823886898669404</v>
      </c>
      <c r="E18" s="56" t="s">
        <v>230</v>
      </c>
      <c r="F18" s="96">
        <v>1</v>
      </c>
      <c r="G18" s="96">
        <v>1</v>
      </c>
    </row>
    <row r="19" spans="1:7" ht="15.75" customHeight="1" x14ac:dyDescent="0.25">
      <c r="A19" s="5" t="s">
        <v>187</v>
      </c>
      <c r="B19" s="96">
        <v>0.50451279999999998</v>
      </c>
      <c r="C19" s="96">
        <v>0.95</v>
      </c>
      <c r="D19" s="56">
        <v>9.2940558205318631</v>
      </c>
      <c r="E19" s="56" t="s">
        <v>230</v>
      </c>
      <c r="F19" s="96">
        <v>1</v>
      </c>
      <c r="G19" s="96">
        <v>1</v>
      </c>
    </row>
    <row r="20" spans="1:7" ht="15.75" customHeight="1" x14ac:dyDescent="0.25">
      <c r="A20" s="5" t="s">
        <v>188</v>
      </c>
      <c r="B20" s="96">
        <v>0</v>
      </c>
      <c r="C20" s="96">
        <v>0.95</v>
      </c>
      <c r="D20" s="56">
        <v>99.99</v>
      </c>
      <c r="E20" s="56" t="s">
        <v>230</v>
      </c>
      <c r="F20" s="96">
        <v>1</v>
      </c>
      <c r="G20" s="96">
        <v>1</v>
      </c>
    </row>
    <row r="21" spans="1:7" ht="15.75" customHeight="1" x14ac:dyDescent="0.25">
      <c r="A21" s="5" t="s">
        <v>213</v>
      </c>
      <c r="B21" s="45">
        <v>0</v>
      </c>
      <c r="C21" s="96">
        <v>0.95</v>
      </c>
      <c r="D21" s="56">
        <v>8.32</v>
      </c>
      <c r="E21" s="56" t="s">
        <v>230</v>
      </c>
      <c r="F21" s="96">
        <v>1</v>
      </c>
      <c r="G21" s="96">
        <v>1</v>
      </c>
    </row>
    <row r="22" spans="1:7" ht="15.75" customHeight="1" x14ac:dyDescent="0.25">
      <c r="A22" s="5" t="s">
        <v>214</v>
      </c>
      <c r="B22" s="96">
        <v>0</v>
      </c>
      <c r="C22" s="96">
        <v>0.95</v>
      </c>
      <c r="D22" s="56">
        <v>0.80999999999999994</v>
      </c>
      <c r="E22" s="56" t="s">
        <v>230</v>
      </c>
      <c r="F22" s="96">
        <v>1</v>
      </c>
      <c r="G22" s="96">
        <v>1</v>
      </c>
    </row>
    <row r="23" spans="1:7" ht="15.75" customHeight="1" x14ac:dyDescent="0.25">
      <c r="A23" s="5" t="s">
        <v>215</v>
      </c>
      <c r="B23" s="96">
        <v>0</v>
      </c>
      <c r="C23" s="96">
        <v>0.95</v>
      </c>
      <c r="D23" s="56">
        <v>4.2693071752319298</v>
      </c>
      <c r="E23" s="56" t="s">
        <v>230</v>
      </c>
      <c r="F23" s="96">
        <v>1</v>
      </c>
      <c r="G23" s="96">
        <v>1</v>
      </c>
    </row>
    <row r="24" spans="1:7" ht="15.75" customHeight="1" x14ac:dyDescent="0.25">
      <c r="A24" s="5" t="s">
        <v>216</v>
      </c>
      <c r="B24" s="45">
        <v>0.62744799530607998</v>
      </c>
      <c r="C24" s="96">
        <v>0.95</v>
      </c>
      <c r="D24" s="56">
        <v>99.99</v>
      </c>
      <c r="E24" s="56" t="s">
        <v>230</v>
      </c>
      <c r="F24" s="96">
        <v>1</v>
      </c>
      <c r="G24" s="96">
        <v>1</v>
      </c>
    </row>
    <row r="25" spans="1:7" ht="15.75" customHeight="1" x14ac:dyDescent="0.25">
      <c r="A25" s="5" t="s">
        <v>217</v>
      </c>
      <c r="B25" s="96">
        <v>0</v>
      </c>
      <c r="C25" s="96">
        <v>0.95</v>
      </c>
      <c r="D25" s="56">
        <v>99.99</v>
      </c>
      <c r="E25" s="56" t="s">
        <v>230</v>
      </c>
      <c r="F25" s="96">
        <v>1</v>
      </c>
      <c r="G25" s="96">
        <v>1</v>
      </c>
    </row>
    <row r="26" spans="1:7" ht="15.75" customHeight="1" x14ac:dyDescent="0.25">
      <c r="A26" s="5" t="s">
        <v>218</v>
      </c>
      <c r="B26" s="45">
        <v>1.1113E-2</v>
      </c>
      <c r="C26" s="96">
        <v>0.95</v>
      </c>
      <c r="D26" s="56">
        <v>8.469314227226203</v>
      </c>
      <c r="E26" s="56" t="s">
        <v>230</v>
      </c>
      <c r="F26" s="96">
        <v>1</v>
      </c>
      <c r="G26" s="96">
        <v>1</v>
      </c>
    </row>
    <row r="27" spans="1:7" ht="15.75" customHeight="1" x14ac:dyDescent="0.25">
      <c r="A27" s="5" t="s">
        <v>219</v>
      </c>
      <c r="B27" s="45">
        <v>0</v>
      </c>
      <c r="C27" s="96">
        <v>0.95</v>
      </c>
      <c r="D27" s="56">
        <v>14.964151740020471</v>
      </c>
      <c r="E27" s="56" t="s">
        <v>230</v>
      </c>
      <c r="F27" s="96">
        <v>1</v>
      </c>
      <c r="G27" s="96">
        <v>1</v>
      </c>
    </row>
    <row r="28" spans="1:7" ht="15.75" customHeight="1" x14ac:dyDescent="0.25">
      <c r="A28" s="5" t="s">
        <v>220</v>
      </c>
      <c r="B28" s="45">
        <v>0.58558969999999999</v>
      </c>
      <c r="C28" s="96">
        <v>0.95</v>
      </c>
      <c r="D28" s="56">
        <v>99.99</v>
      </c>
      <c r="E28" s="56" t="s">
        <v>230</v>
      </c>
      <c r="F28" s="96">
        <v>1</v>
      </c>
      <c r="G28" s="96">
        <v>1</v>
      </c>
    </row>
    <row r="29" spans="1:7" ht="15.75" customHeight="1" x14ac:dyDescent="0.25">
      <c r="A29" s="5" t="s">
        <v>221</v>
      </c>
      <c r="B29" s="45">
        <v>0.2004783</v>
      </c>
      <c r="C29" s="96">
        <v>0.95</v>
      </c>
      <c r="D29" s="56">
        <v>111.9883457710268</v>
      </c>
      <c r="E29" s="56" t="s">
        <v>230</v>
      </c>
      <c r="F29" s="96">
        <v>1</v>
      </c>
      <c r="G29" s="96">
        <v>1</v>
      </c>
    </row>
    <row r="30" spans="1:7" ht="15.75" customHeight="1" x14ac:dyDescent="0.25">
      <c r="A30" s="5" t="s">
        <v>234</v>
      </c>
      <c r="B30" s="96">
        <v>0</v>
      </c>
      <c r="C30" s="96">
        <v>0.95</v>
      </c>
      <c r="D30" s="56">
        <v>53.05</v>
      </c>
      <c r="E30" s="56" t="s">
        <v>230</v>
      </c>
      <c r="F30" s="96">
        <v>1</v>
      </c>
      <c r="G30" s="96">
        <v>1</v>
      </c>
    </row>
    <row r="31" spans="1:7" ht="15.75" customHeight="1" x14ac:dyDescent="0.25">
      <c r="A31" s="5" t="s">
        <v>190</v>
      </c>
      <c r="B31" s="45">
        <v>0</v>
      </c>
      <c r="C31" s="96">
        <v>0.95</v>
      </c>
      <c r="D31" s="56">
        <v>118.83755373592631</v>
      </c>
      <c r="E31" s="56" t="s">
        <v>230</v>
      </c>
      <c r="F31" s="96">
        <v>1</v>
      </c>
      <c r="G31" s="96">
        <v>1</v>
      </c>
    </row>
    <row r="32" spans="1:7" ht="15.75" customHeight="1" x14ac:dyDescent="0.25">
      <c r="A32" s="5" t="s">
        <v>222</v>
      </c>
      <c r="B32" s="45">
        <v>0</v>
      </c>
      <c r="C32" s="96">
        <v>0.95</v>
      </c>
      <c r="D32" s="56">
        <v>0.69</v>
      </c>
      <c r="E32" s="56" t="s">
        <v>230</v>
      </c>
      <c r="F32" s="96">
        <v>1</v>
      </c>
      <c r="G32" s="96">
        <v>1</v>
      </c>
    </row>
    <row r="33" spans="1:7" ht="15.75" customHeight="1" x14ac:dyDescent="0.25">
      <c r="A33" s="5" t="s">
        <v>223</v>
      </c>
      <c r="B33" s="45">
        <v>0.7196437</v>
      </c>
      <c r="C33" s="96">
        <v>0.95</v>
      </c>
      <c r="D33" s="56">
        <v>99.99</v>
      </c>
      <c r="E33" s="56" t="s">
        <v>230</v>
      </c>
      <c r="F33" s="96">
        <v>1</v>
      </c>
      <c r="G33" s="96">
        <v>1</v>
      </c>
    </row>
    <row r="34" spans="1:7" ht="15.75" customHeight="1" x14ac:dyDescent="0.25">
      <c r="A34" s="5" t="s">
        <v>224</v>
      </c>
      <c r="B34" s="45">
        <v>0.1203943</v>
      </c>
      <c r="C34" s="96">
        <v>0.95</v>
      </c>
      <c r="D34" s="56">
        <v>99.99</v>
      </c>
      <c r="E34" s="56" t="s">
        <v>230</v>
      </c>
      <c r="F34" s="96">
        <v>1</v>
      </c>
      <c r="G34" s="96">
        <v>1</v>
      </c>
    </row>
    <row r="35" spans="1:7" ht="15.75" customHeight="1" x14ac:dyDescent="0.25">
      <c r="A35" s="5" t="s">
        <v>225</v>
      </c>
      <c r="B35" s="96">
        <v>0</v>
      </c>
      <c r="C35" s="96">
        <v>0.95</v>
      </c>
      <c r="D35" s="56">
        <v>99.99</v>
      </c>
      <c r="E35" s="56" t="s">
        <v>230</v>
      </c>
      <c r="F35" s="96">
        <v>1</v>
      </c>
      <c r="G35" s="96">
        <v>1</v>
      </c>
    </row>
    <row r="36" spans="1:7" ht="15.75" customHeight="1" x14ac:dyDescent="0.25">
      <c r="A36" s="5" t="s">
        <v>226</v>
      </c>
      <c r="B36" s="45">
        <v>1.57512E-2</v>
      </c>
      <c r="C36" s="96">
        <v>0.95</v>
      </c>
      <c r="D36" s="56">
        <v>99.99</v>
      </c>
      <c r="E36" s="56" t="s">
        <v>230</v>
      </c>
      <c r="F36" s="96">
        <v>1</v>
      </c>
      <c r="G36" s="96">
        <v>1</v>
      </c>
    </row>
    <row r="37" spans="1:7" ht="15.75" customHeight="1" x14ac:dyDescent="0.25">
      <c r="A37" s="5" t="s">
        <v>227</v>
      </c>
      <c r="B37" s="45">
        <v>0.88436999999999999</v>
      </c>
      <c r="C37" s="96">
        <v>0.95</v>
      </c>
      <c r="D37" s="56">
        <v>99.99</v>
      </c>
      <c r="E37" s="56" t="s">
        <v>230</v>
      </c>
      <c r="F37" s="96">
        <v>1</v>
      </c>
      <c r="G37" s="96">
        <v>1</v>
      </c>
    </row>
    <row r="38" spans="1:7" ht="15.75" customHeight="1" x14ac:dyDescent="0.25">
      <c r="A38" s="5" t="s">
        <v>228</v>
      </c>
      <c r="B38" s="45">
        <v>0.33004980000000012</v>
      </c>
      <c r="C38" s="96">
        <v>0.95</v>
      </c>
      <c r="D38" s="56">
        <v>3.45</v>
      </c>
      <c r="E38" s="56" t="s">
        <v>230</v>
      </c>
      <c r="F38" s="96">
        <v>1</v>
      </c>
      <c r="G38" s="96">
        <v>1</v>
      </c>
    </row>
    <row r="39" spans="1:7" ht="15.75" customHeight="1" x14ac:dyDescent="0.25">
      <c r="A39" s="5" t="s">
        <v>229</v>
      </c>
      <c r="B39" s="45">
        <v>0</v>
      </c>
      <c r="C39" s="96">
        <v>0.95</v>
      </c>
      <c r="D39" s="56">
        <v>3.07</v>
      </c>
      <c r="E39" s="56" t="s">
        <v>230</v>
      </c>
      <c r="F39" s="96">
        <v>1</v>
      </c>
      <c r="G39" s="96">
        <v>1</v>
      </c>
    </row>
  </sheetData>
  <sheetProtection algorithmName="SHA-512" hashValue="Cw1CacnIHbGMCgbbarl6c7TTftDCSZfpf8NoElvXtcMLkJqS7npUwJ3jhP2BeoI1lAZ2MRs/q/S191prOO6B4A==" saltValue="aUB9HikCcl5em857ZJIo4Q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 codeName="Sheet11">
    <tabColor theme="7" tint="-0.249977111117893"/>
  </sheetPr>
  <dimension ref="A1:C20"/>
  <sheetViews>
    <sheetView workbookViewId="0">
      <selection activeCell="B9" sqref="B9"/>
    </sheetView>
  </sheetViews>
  <sheetFormatPr defaultColWidth="11.453125" defaultRowHeight="12.5" x14ac:dyDescent="0.25"/>
  <cols>
    <col min="1" max="1" width="53" style="5" bestFit="1" customWidth="1"/>
    <col min="2" max="2" width="47.90625" style="8" customWidth="1"/>
    <col min="3" max="3" width="42.453125" style="8" customWidth="1"/>
    <col min="4" max="5" width="11.453125" style="8" customWidth="1"/>
    <col min="6" max="16384" width="11.453125" style="8"/>
  </cols>
  <sheetData>
    <row r="1" spans="1:3" ht="13" x14ac:dyDescent="0.3">
      <c r="A1" s="4" t="s">
        <v>189</v>
      </c>
      <c r="B1" s="4" t="s">
        <v>235</v>
      </c>
      <c r="C1" s="4" t="s">
        <v>236</v>
      </c>
    </row>
    <row r="2" spans="1:3" x14ac:dyDescent="0.25">
      <c r="A2" s="57" t="s">
        <v>209</v>
      </c>
      <c r="B2" s="47" t="s">
        <v>219</v>
      </c>
      <c r="C2" s="47"/>
    </row>
    <row r="3" spans="1:3" x14ac:dyDescent="0.25">
      <c r="A3" s="57" t="s">
        <v>210</v>
      </c>
      <c r="B3" s="47" t="s">
        <v>219</v>
      </c>
      <c r="C3" s="47"/>
    </row>
    <row r="4" spans="1:3" x14ac:dyDescent="0.25">
      <c r="A4" s="57" t="s">
        <v>221</v>
      </c>
      <c r="B4" s="47" t="s">
        <v>214</v>
      </c>
      <c r="C4" s="47"/>
    </row>
    <row r="5" spans="1:3" x14ac:dyDescent="0.25">
      <c r="A5" s="57" t="s">
        <v>221</v>
      </c>
      <c r="B5" s="47" t="s">
        <v>234</v>
      </c>
      <c r="C5" s="47"/>
    </row>
    <row r="6" spans="1:3" x14ac:dyDescent="0.25">
      <c r="A6" s="57" t="s">
        <v>218</v>
      </c>
      <c r="B6" s="58" t="s">
        <v>234</v>
      </c>
      <c r="C6" s="58"/>
    </row>
    <row r="7" spans="1:3" x14ac:dyDescent="0.25">
      <c r="A7" s="57" t="s">
        <v>229</v>
      </c>
      <c r="B7" s="58" t="s">
        <v>234</v>
      </c>
      <c r="C7" s="58"/>
    </row>
    <row r="8" spans="1:3" x14ac:dyDescent="0.25">
      <c r="A8" s="57"/>
      <c r="B8" s="58"/>
      <c r="C8" s="58"/>
    </row>
    <row r="9" spans="1:3" x14ac:dyDescent="0.25">
      <c r="A9" s="57"/>
      <c r="B9" s="58"/>
      <c r="C9" s="58"/>
    </row>
    <row r="10" spans="1:3" x14ac:dyDescent="0.25">
      <c r="A10" s="57"/>
      <c r="B10" s="58"/>
      <c r="C10" s="58"/>
    </row>
    <row r="11" spans="1:3" x14ac:dyDescent="0.25">
      <c r="A11" s="59"/>
      <c r="B11" s="58"/>
      <c r="C11" s="58"/>
    </row>
    <row r="12" spans="1:3" x14ac:dyDescent="0.25">
      <c r="A12" s="59"/>
      <c r="B12" s="58"/>
      <c r="C12" s="58"/>
    </row>
    <row r="13" spans="1:3" x14ac:dyDescent="0.25">
      <c r="A13" s="59"/>
      <c r="B13" s="58"/>
      <c r="C13" s="58"/>
    </row>
    <row r="14" spans="1:3" x14ac:dyDescent="0.25">
      <c r="A14" s="59"/>
      <c r="B14" s="58"/>
      <c r="C14" s="58"/>
    </row>
    <row r="15" spans="1:3" x14ac:dyDescent="0.25">
      <c r="A15" s="59"/>
      <c r="B15" s="58"/>
      <c r="C15" s="58"/>
    </row>
    <row r="16" spans="1:3" x14ac:dyDescent="0.25">
      <c r="A16" s="59"/>
      <c r="B16" s="58"/>
      <c r="C16" s="58"/>
    </row>
    <row r="17" spans="1:3" x14ac:dyDescent="0.25">
      <c r="A17" s="59"/>
      <c r="B17" s="58"/>
      <c r="C17" s="58"/>
    </row>
    <row r="18" spans="1:3" x14ac:dyDescent="0.25">
      <c r="A18" s="59"/>
      <c r="B18" s="58"/>
      <c r="C18" s="58"/>
    </row>
    <row r="19" spans="1:3" x14ac:dyDescent="0.25">
      <c r="A19" s="57"/>
      <c r="B19" s="58"/>
      <c r="C19" s="58"/>
    </row>
    <row r="20" spans="1:3" x14ac:dyDescent="0.25">
      <c r="A20" s="57"/>
      <c r="B20" s="58"/>
      <c r="C20" s="58"/>
    </row>
  </sheetData>
  <sheetProtection algorithmName="SHA-512" hashValue="92Nstye95B9AOTnw4GnJWHnLdT9YFPG8mGYRukCLYk2VrJBDY+rJB0ysY3BEA4vHgd8J1hoyKFhza1mptmh80w==" saltValue="iCZRmqJibmp/iPXFmHRWTA==" spinCount="100000" sheet="1" objects="1" scenarios="1" selectLockedCells="1"/>
  <pageMargins left="0.7" right="0.7" top="0.75" bottom="0.75" header="0.3" footer="0.3"/>
  <pageSetup paperSize="9" orientation="portrait" horizontalDpi="0" verticalDpi="0"/>
  <legacy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sheetPr codeName="Sheet12">
    <tabColor theme="0" tint="-0.249977111117893"/>
  </sheetPr>
  <dimension ref="A1:A19"/>
  <sheetViews>
    <sheetView topLeftCell="B1" workbookViewId="0">
      <selection activeCell="B1" sqref="B1"/>
    </sheetView>
  </sheetViews>
  <sheetFormatPr defaultColWidth="11.453125" defaultRowHeight="12.5" x14ac:dyDescent="0.25"/>
  <cols>
    <col min="1" max="1" width="30.08984375" style="8" customWidth="1"/>
    <col min="2" max="3" width="11.453125" style="8" customWidth="1"/>
    <col min="4" max="16384" width="11.453125" style="8"/>
  </cols>
  <sheetData>
    <row r="1" spans="1:1" ht="13" x14ac:dyDescent="0.3">
      <c r="A1" s="4" t="s">
        <v>189</v>
      </c>
    </row>
    <row r="2" spans="1:1" x14ac:dyDescent="0.25">
      <c r="A2" s="33" t="s">
        <v>201</v>
      </c>
    </row>
    <row r="3" spans="1:1" x14ac:dyDescent="0.25">
      <c r="A3" s="33" t="s">
        <v>211</v>
      </c>
    </row>
    <row r="4" spans="1:1" x14ac:dyDescent="0.25">
      <c r="A4" s="33" t="s">
        <v>215</v>
      </c>
    </row>
    <row r="5" spans="1:1" x14ac:dyDescent="0.25">
      <c r="A5" s="33" t="s">
        <v>223</v>
      </c>
    </row>
    <row r="6" spans="1:1" x14ac:dyDescent="0.25">
      <c r="A6" s="33" t="s">
        <v>224</v>
      </c>
    </row>
    <row r="7" spans="1:1" x14ac:dyDescent="0.25">
      <c r="A7" s="33" t="s">
        <v>225</v>
      </c>
    </row>
    <row r="8" spans="1:1" x14ac:dyDescent="0.25">
      <c r="A8" s="33" t="s">
        <v>226</v>
      </c>
    </row>
    <row r="9" spans="1:1" x14ac:dyDescent="0.25">
      <c r="A9" s="33" t="s">
        <v>227</v>
      </c>
    </row>
    <row r="10" spans="1:1" x14ac:dyDescent="0.25">
      <c r="A10" s="33" t="s">
        <v>190</v>
      </c>
    </row>
    <row r="11" spans="1:1" x14ac:dyDescent="0.25">
      <c r="A11" s="33"/>
    </row>
    <row r="12" spans="1:1" x14ac:dyDescent="0.25">
      <c r="A12" s="33"/>
    </row>
    <row r="13" spans="1:1" x14ac:dyDescent="0.25">
      <c r="A13" s="33"/>
    </row>
    <row r="14" spans="1:1" x14ac:dyDescent="0.25">
      <c r="A14" s="33"/>
    </row>
    <row r="15" spans="1:1" x14ac:dyDescent="0.25">
      <c r="A15" s="33"/>
    </row>
    <row r="16" spans="1:1" x14ac:dyDescent="0.25">
      <c r="A16" s="33"/>
    </row>
    <row r="17" spans="1:1" x14ac:dyDescent="0.25">
      <c r="A17" s="33"/>
    </row>
    <row r="18" spans="1:1" x14ac:dyDescent="0.25">
      <c r="A18" s="33"/>
    </row>
    <row r="19" spans="1:1" x14ac:dyDescent="0.25">
      <c r="A19" s="33"/>
    </row>
  </sheetData>
  <sheetProtection algorithmName="SHA-512" hashValue="PR7uCI+vANQXHow3zvMbFtVoV/kzjjsSA+p+UyUH3Sg3SkxB8qCfX/IT3fY/Qz4hqrZ2ajQXLOLFe+iko7qIlg==" saltValue="gbxuJWM4uCD5NqOtcJ3Qww==" spinCount="100000" sheet="1" objects="1" scenarios="1"/>
  <pageMargins left="0.7" right="0.7" top="0.75" bottom="0.75" header="0.3" footer="0.3"/>
  <pageSetup paperSize="9" orientation="portrait" horizontalDpi="0" verticalDpi="0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sheetPr codeName="Sheet13">
    <tabColor theme="0" tint="-0.34998626667073579"/>
  </sheetPr>
  <dimension ref="A1:F4"/>
  <sheetViews>
    <sheetView zoomScale="70" zoomScaleNormal="70" workbookViewId="0">
      <selection activeCell="B3" sqref="B3"/>
    </sheetView>
  </sheetViews>
  <sheetFormatPr defaultColWidth="14.453125" defaultRowHeight="15.75" customHeight="1" x14ac:dyDescent="0.25"/>
  <sheetData>
    <row r="1" spans="1:6" ht="15.75" customHeight="1" x14ac:dyDescent="0.25">
      <c r="A1" s="3" t="s">
        <v>6</v>
      </c>
      <c r="B1" t="s">
        <v>127</v>
      </c>
      <c r="C1" t="s">
        <v>114</v>
      </c>
      <c r="D1" t="s">
        <v>115</v>
      </c>
      <c r="E1" t="s">
        <v>116</v>
      </c>
      <c r="F1" t="s">
        <v>117</v>
      </c>
    </row>
    <row r="2" spans="1:6" ht="15.75" customHeight="1" x14ac:dyDescent="0.25">
      <c r="A2" s="3" t="s">
        <v>105</v>
      </c>
      <c r="B2" s="21">
        <f>'Données pop de l''année de ref'!C51</f>
        <v>2.2000000000000002</v>
      </c>
      <c r="C2" s="21">
        <f>'Données pop de l''année de ref'!C52</f>
        <v>2.2000000000000002</v>
      </c>
      <c r="D2" s="21">
        <f>'Données pop de l''année de ref'!C53</f>
        <v>2.2000000000000002</v>
      </c>
      <c r="E2" s="21">
        <f>'Données pop de l''année de ref'!C54</f>
        <v>2.2000000000000002</v>
      </c>
      <c r="F2" s="21">
        <f>'Données pop de l''année de ref'!C55</f>
        <v>2.2000000000000002</v>
      </c>
    </row>
    <row r="3" spans="1:6" ht="15.75" customHeight="1" x14ac:dyDescent="0.25">
      <c r="A3" s="3" t="s">
        <v>238</v>
      </c>
      <c r="B3" s="21">
        <f>frac_mam_1month * 2.6</f>
        <v>0.10550462000000001</v>
      </c>
      <c r="C3" s="21">
        <f>frac_mam_1_5months * 2.6</f>
        <v>0.10550462000000001</v>
      </c>
      <c r="D3" s="21">
        <f>frac_mam_6_11months * 2.6</f>
        <v>8.0769779999999999E-2</v>
      </c>
      <c r="E3" s="21">
        <f>frac_mam_12_23months * 2.6</f>
        <v>6.0459619999999999E-2</v>
      </c>
      <c r="F3" s="21">
        <f>frac_mam_24_59months * 2.6</f>
        <v>3.034512E-2</v>
      </c>
    </row>
    <row r="4" spans="1:6" ht="15.75" customHeight="1" x14ac:dyDescent="0.25">
      <c r="A4" s="3" t="s">
        <v>237</v>
      </c>
      <c r="B4" s="21">
        <f>frac_sam_1month * 2.6</f>
        <v>0.13271050000000001</v>
      </c>
      <c r="C4" s="21">
        <f>frac_sam_1_5months * 2.6</f>
        <v>0.13271050000000001</v>
      </c>
      <c r="D4" s="21">
        <f>frac_sam_6_11months * 2.6</f>
        <v>1.1429339999999996E-2</v>
      </c>
      <c r="E4" s="21">
        <f>frac_sam_12_23months * 2.6</f>
        <v>2.9325919999999998E-2</v>
      </c>
      <c r="F4" s="21">
        <f>frac_sam_24_59months * 2.6</f>
        <v>1.7413760000000004E-2</v>
      </c>
    </row>
  </sheetData>
  <sheetProtection algorithmName="SHA-512" hashValue="HvImXXbKWM2NAKE2G7GMtMGs6VhzPwnq4CGjRALp7QiVZ8HhCWfu4lIwxCT8Mgdbbkb0g5A4Cr2wO5Byw11a5Q==" saltValue="zCYnu5K1xVxrKCnNqAJOQg==" spinCount="100000" sheet="1" objects="1" scenarios="1"/>
  <pageMargins left="0.75" right="0.75" top="1" bottom="1" header="0.5" footer="0.5"/>
  <pageSetup paperSize="9" orientation="portrait" horizontalDpi="4294967292" verticalDpi="4294967292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sheetPr codeName="Sheet14">
    <tabColor theme="0" tint="-0.249977111117893"/>
  </sheetPr>
  <dimension ref="A1:O40"/>
  <sheetViews>
    <sheetView zoomScale="85" zoomScaleNormal="118" workbookViewId="0">
      <selection activeCell="H15" sqref="H15"/>
    </sheetView>
  </sheetViews>
  <sheetFormatPr defaultColWidth="14.453125" defaultRowHeight="15.75" customHeight="1" x14ac:dyDescent="0.25"/>
  <cols>
    <col min="1" max="1" width="20" bestFit="1" customWidth="1"/>
    <col min="2" max="2" width="45.90625" customWidth="1"/>
    <col min="3" max="3" width="8.453125" bestFit="1" customWidth="1"/>
    <col min="4" max="4" width="10" bestFit="1" customWidth="1"/>
    <col min="5" max="5" width="10.90625" bestFit="1" customWidth="1"/>
    <col min="6" max="7" width="11.90625" bestFit="1" customWidth="1"/>
    <col min="8" max="11" width="13.90625" bestFit="1" customWidth="1"/>
    <col min="12" max="15" width="15.08984375" bestFit="1" customWidth="1"/>
  </cols>
  <sheetData>
    <row r="1" spans="1:15" ht="15.75" customHeight="1" x14ac:dyDescent="0.3">
      <c r="A1" s="4" t="s">
        <v>240</v>
      </c>
      <c r="B1" s="1" t="s">
        <v>189</v>
      </c>
      <c r="C1" s="4" t="s">
        <v>127</v>
      </c>
      <c r="D1" s="4" t="s">
        <v>114</v>
      </c>
      <c r="E1" s="4" t="s">
        <v>115</v>
      </c>
      <c r="F1" s="4" t="s">
        <v>116</v>
      </c>
      <c r="G1" s="4" t="s">
        <v>117</v>
      </c>
      <c r="H1" s="4" t="s">
        <v>140</v>
      </c>
      <c r="I1" s="4" t="s">
        <v>141</v>
      </c>
      <c r="J1" s="4" t="s">
        <v>142</v>
      </c>
      <c r="K1" s="4" t="s">
        <v>143</v>
      </c>
      <c r="L1" s="4" t="s">
        <v>87</v>
      </c>
      <c r="M1" s="4" t="s">
        <v>88</v>
      </c>
      <c r="N1" s="4" t="s">
        <v>89</v>
      </c>
      <c r="O1" s="4" t="s">
        <v>90</v>
      </c>
    </row>
    <row r="2" spans="1:15" ht="15.75" customHeight="1" x14ac:dyDescent="0.3">
      <c r="A2" s="4" t="s">
        <v>104</v>
      </c>
      <c r="B2" s="5" t="s">
        <v>199</v>
      </c>
      <c r="C2" s="60">
        <v>0</v>
      </c>
      <c r="D2" s="60">
        <v>0</v>
      </c>
      <c r="E2" s="60">
        <f>food_insecure</f>
        <v>1.0999999999999999E-2</v>
      </c>
      <c r="F2" s="60">
        <f>food_insecure</f>
        <v>1.0999999999999999E-2</v>
      </c>
      <c r="G2" s="60">
        <v>0</v>
      </c>
      <c r="H2" s="61">
        <v>0</v>
      </c>
      <c r="I2" s="61">
        <v>0</v>
      </c>
      <c r="J2" s="61">
        <v>0</v>
      </c>
      <c r="K2" s="61">
        <v>0</v>
      </c>
      <c r="L2" s="61">
        <v>0</v>
      </c>
      <c r="M2" s="61">
        <v>0</v>
      </c>
      <c r="N2" s="61">
        <v>0</v>
      </c>
      <c r="O2" s="61">
        <v>0</v>
      </c>
    </row>
    <row r="3" spans="1:15" ht="15.75" customHeight="1" x14ac:dyDescent="0.25">
      <c r="B3" s="5" t="s">
        <v>200</v>
      </c>
      <c r="C3" s="60">
        <v>1</v>
      </c>
      <c r="D3" s="60">
        <v>0</v>
      </c>
      <c r="E3" s="60">
        <v>0</v>
      </c>
      <c r="F3" s="60">
        <v>0</v>
      </c>
      <c r="G3" s="60">
        <v>0</v>
      </c>
      <c r="H3" s="61">
        <v>0</v>
      </c>
      <c r="I3" s="61">
        <v>0</v>
      </c>
      <c r="J3" s="61">
        <v>0</v>
      </c>
      <c r="K3" s="61">
        <v>0</v>
      </c>
      <c r="L3" s="61">
        <v>0</v>
      </c>
      <c r="M3" s="61">
        <v>0</v>
      </c>
      <c r="N3" s="61">
        <v>0</v>
      </c>
      <c r="O3" s="61">
        <v>0</v>
      </c>
    </row>
    <row r="4" spans="1:15" ht="15.75" customHeight="1" x14ac:dyDescent="0.25">
      <c r="B4" s="5" t="s">
        <v>213</v>
      </c>
      <c r="C4" s="60">
        <v>1</v>
      </c>
      <c r="D4" s="60">
        <v>0</v>
      </c>
      <c r="E4" s="60">
        <v>0</v>
      </c>
      <c r="F4" s="60">
        <v>0</v>
      </c>
      <c r="G4" s="60">
        <v>0</v>
      </c>
      <c r="H4" s="61">
        <v>0</v>
      </c>
      <c r="I4" s="61">
        <v>0</v>
      </c>
      <c r="J4" s="61">
        <v>0</v>
      </c>
      <c r="K4" s="61">
        <v>0</v>
      </c>
      <c r="L4" s="61">
        <v>0</v>
      </c>
      <c r="M4" s="61">
        <v>0</v>
      </c>
      <c r="N4" s="61">
        <v>0</v>
      </c>
      <c r="O4" s="61">
        <v>0</v>
      </c>
    </row>
    <row r="5" spans="1:15" ht="15.75" customHeight="1" x14ac:dyDescent="0.25">
      <c r="B5" s="5" t="s">
        <v>214</v>
      </c>
      <c r="C5" s="60">
        <v>0</v>
      </c>
      <c r="D5" s="60">
        <v>0</v>
      </c>
      <c r="E5" s="60">
        <f>food_insecure</f>
        <v>1.0999999999999999E-2</v>
      </c>
      <c r="F5" s="60">
        <f>food_insecure</f>
        <v>1.0999999999999999E-2</v>
      </c>
      <c r="G5" s="60">
        <v>0</v>
      </c>
      <c r="H5" s="61">
        <v>0</v>
      </c>
      <c r="I5" s="61">
        <v>0</v>
      </c>
      <c r="J5" s="61">
        <v>0</v>
      </c>
      <c r="K5" s="61">
        <v>0</v>
      </c>
      <c r="L5" s="61">
        <v>0</v>
      </c>
      <c r="M5" s="61">
        <v>0</v>
      </c>
      <c r="N5" s="61">
        <v>0</v>
      </c>
      <c r="O5" s="61">
        <v>0</v>
      </c>
    </row>
    <row r="6" spans="1:15" ht="15.75" customHeight="1" x14ac:dyDescent="0.25">
      <c r="B6" s="5" t="s">
        <v>218</v>
      </c>
      <c r="C6" s="60">
        <v>0</v>
      </c>
      <c r="D6" s="60">
        <v>0</v>
      </c>
      <c r="E6" s="60">
        <f>1</f>
        <v>1</v>
      </c>
      <c r="F6" s="60">
        <f>1</f>
        <v>1</v>
      </c>
      <c r="G6" s="60">
        <f>1</f>
        <v>1</v>
      </c>
      <c r="H6" s="61">
        <v>0</v>
      </c>
      <c r="I6" s="61">
        <v>0</v>
      </c>
      <c r="J6" s="61">
        <v>0</v>
      </c>
      <c r="K6" s="61">
        <v>0</v>
      </c>
      <c r="L6" s="61">
        <v>0</v>
      </c>
      <c r="M6" s="61">
        <v>0</v>
      </c>
      <c r="N6" s="61">
        <v>0</v>
      </c>
      <c r="O6" s="61">
        <v>0</v>
      </c>
    </row>
    <row r="7" spans="1:15" ht="15.75" customHeight="1" x14ac:dyDescent="0.25">
      <c r="B7" s="9" t="s">
        <v>220</v>
      </c>
      <c r="C7" s="60">
        <f>diarrhoea_1mo*frac_diarrhea_severe</f>
        <v>4.6999999999999993E-2</v>
      </c>
      <c r="D7" s="60">
        <f>diarrhoea_1_5mo*frac_diarrhea_severe</f>
        <v>4.6999999999999993E-2</v>
      </c>
      <c r="E7" s="60">
        <f>diarrhoea_6_11mo*frac_diarrhea_severe</f>
        <v>4.6999999999999993E-2</v>
      </c>
      <c r="F7" s="60">
        <f>diarrhoea_12_23mo*frac_diarrhea_severe</f>
        <v>4.6999999999999993E-2</v>
      </c>
      <c r="G7" s="60">
        <f>diarrhoea_24_59mo*frac_diarrhea_severe</f>
        <v>4.6999999999999993E-2</v>
      </c>
      <c r="H7" s="61">
        <v>0</v>
      </c>
      <c r="I7" s="61">
        <v>0</v>
      </c>
      <c r="J7" s="61">
        <v>0</v>
      </c>
      <c r="K7" s="61">
        <v>0</v>
      </c>
      <c r="L7" s="61">
        <v>0</v>
      </c>
      <c r="M7" s="61">
        <v>0</v>
      </c>
      <c r="N7" s="61">
        <v>0</v>
      </c>
      <c r="O7" s="61">
        <v>0</v>
      </c>
    </row>
    <row r="8" spans="1:15" ht="15.75" customHeight="1" x14ac:dyDescent="0.25">
      <c r="B8" s="5" t="s">
        <v>221</v>
      </c>
      <c r="C8" s="60">
        <v>0</v>
      </c>
      <c r="D8" s="60">
        <v>0</v>
      </c>
      <c r="E8" s="60">
        <f>food_insecure</f>
        <v>1.0999999999999999E-2</v>
      </c>
      <c r="F8" s="60">
        <f>food_insecure</f>
        <v>1.0999999999999999E-2</v>
      </c>
      <c r="G8" s="60">
        <v>0</v>
      </c>
      <c r="H8" s="61">
        <v>0</v>
      </c>
      <c r="I8" s="61">
        <v>0</v>
      </c>
      <c r="J8" s="61">
        <v>0</v>
      </c>
      <c r="K8" s="61">
        <v>0</v>
      </c>
      <c r="L8" s="61">
        <v>0</v>
      </c>
      <c r="M8" s="61">
        <v>0</v>
      </c>
      <c r="N8" s="61">
        <v>0</v>
      </c>
      <c r="O8" s="61">
        <v>0</v>
      </c>
    </row>
    <row r="9" spans="1:15" ht="15.75" customHeight="1" x14ac:dyDescent="0.25">
      <c r="B9" s="5" t="s">
        <v>234</v>
      </c>
      <c r="C9" s="60">
        <v>0</v>
      </c>
      <c r="D9" s="60">
        <v>0</v>
      </c>
      <c r="E9" s="60">
        <f>food_insecure</f>
        <v>1.0999999999999999E-2</v>
      </c>
      <c r="F9" s="60">
        <f>food_insecure</f>
        <v>1.0999999999999999E-2</v>
      </c>
      <c r="G9" s="60">
        <v>0</v>
      </c>
      <c r="H9" s="61">
        <v>0</v>
      </c>
      <c r="I9" s="61">
        <v>0</v>
      </c>
      <c r="J9" s="61">
        <v>0</v>
      </c>
      <c r="K9" s="61">
        <v>0</v>
      </c>
      <c r="L9" s="61">
        <v>0</v>
      </c>
      <c r="M9" s="61">
        <v>0</v>
      </c>
      <c r="N9" s="61">
        <v>0</v>
      </c>
      <c r="O9" s="61">
        <v>0</v>
      </c>
    </row>
    <row r="10" spans="1:15" ht="15.75" customHeight="1" x14ac:dyDescent="0.25">
      <c r="B10" s="5" t="s">
        <v>190</v>
      </c>
      <c r="C10" s="60">
        <v>0</v>
      </c>
      <c r="D10" s="60">
        <f>IF(ISBLANK(comm_deliv), frac_children_health_facility,1)</f>
        <v>1</v>
      </c>
      <c r="E10" s="60">
        <f>IF(ISBLANK(comm_deliv), frac_children_health_facility,1)</f>
        <v>1</v>
      </c>
      <c r="F10" s="60">
        <f>IF(ISBLANK(comm_deliv), frac_children_health_facility,1)</f>
        <v>1</v>
      </c>
      <c r="G10" s="60">
        <f>IF(ISBLANK(comm_deliv), frac_children_health_facility,1)</f>
        <v>1</v>
      </c>
      <c r="H10" s="61">
        <v>0</v>
      </c>
      <c r="I10" s="61">
        <v>0</v>
      </c>
      <c r="J10" s="61">
        <v>0</v>
      </c>
      <c r="K10" s="61">
        <v>0</v>
      </c>
      <c r="L10" s="61">
        <v>0</v>
      </c>
      <c r="M10" s="61">
        <v>0</v>
      </c>
      <c r="N10" s="61">
        <v>0</v>
      </c>
      <c r="O10" s="61">
        <v>0</v>
      </c>
    </row>
    <row r="11" spans="1:15" ht="15" customHeight="1" x14ac:dyDescent="0.25">
      <c r="B11" s="5" t="s">
        <v>222</v>
      </c>
      <c r="C11" s="60">
        <v>0</v>
      </c>
      <c r="D11" s="60">
        <v>0</v>
      </c>
      <c r="E11" s="60">
        <v>1</v>
      </c>
      <c r="F11" s="60">
        <v>1</v>
      </c>
      <c r="G11" s="60">
        <v>1</v>
      </c>
      <c r="H11" s="61">
        <v>0</v>
      </c>
      <c r="I11" s="61">
        <v>0</v>
      </c>
      <c r="J11" s="61">
        <v>0</v>
      </c>
      <c r="K11" s="61">
        <v>0</v>
      </c>
      <c r="L11" s="61">
        <v>0</v>
      </c>
      <c r="M11" s="61">
        <v>0</v>
      </c>
      <c r="N11" s="61">
        <v>0</v>
      </c>
      <c r="O11" s="61">
        <v>0</v>
      </c>
    </row>
    <row r="12" spans="1:15" ht="15.75" customHeight="1" x14ac:dyDescent="0.25">
      <c r="B12" s="9" t="s">
        <v>228</v>
      </c>
      <c r="C12" s="60">
        <f>diarrhoea_1mo*frac_diarrhea_severe</f>
        <v>4.6999999999999993E-2</v>
      </c>
      <c r="D12" s="60">
        <f>diarrhoea_1_5mo*frac_diarrhea_severe</f>
        <v>4.6999999999999993E-2</v>
      </c>
      <c r="E12" s="60">
        <f>diarrhoea_6_11mo*frac_diarrhea_severe</f>
        <v>4.6999999999999993E-2</v>
      </c>
      <c r="F12" s="60">
        <f>diarrhoea_12_23mo*frac_diarrhea_severe</f>
        <v>4.6999999999999993E-2</v>
      </c>
      <c r="G12" s="60">
        <f>diarrhoea_24_59mo*frac_diarrhea_severe</f>
        <v>4.6999999999999993E-2</v>
      </c>
      <c r="H12" s="61">
        <v>0</v>
      </c>
      <c r="I12" s="61">
        <v>0</v>
      </c>
      <c r="J12" s="61">
        <v>0</v>
      </c>
      <c r="K12" s="61">
        <v>0</v>
      </c>
      <c r="L12" s="61">
        <v>0</v>
      </c>
      <c r="M12" s="61">
        <v>0</v>
      </c>
      <c r="N12" s="61">
        <v>0</v>
      </c>
      <c r="O12" s="61">
        <v>0</v>
      </c>
    </row>
    <row r="13" spans="1:15" ht="15.75" customHeight="1" x14ac:dyDescent="0.25">
      <c r="B13" s="5" t="s">
        <v>229</v>
      </c>
      <c r="C13" s="60">
        <v>0</v>
      </c>
      <c r="D13" s="60">
        <v>0</v>
      </c>
      <c r="E13" s="60">
        <v>1</v>
      </c>
      <c r="F13" s="60">
        <v>1</v>
      </c>
      <c r="G13" s="60">
        <v>1</v>
      </c>
      <c r="H13" s="61">
        <v>0</v>
      </c>
      <c r="I13" s="61">
        <v>0</v>
      </c>
      <c r="J13" s="61">
        <v>0</v>
      </c>
      <c r="K13" s="61">
        <v>0</v>
      </c>
      <c r="L13" s="61">
        <v>0</v>
      </c>
      <c r="M13" s="61">
        <v>0</v>
      </c>
      <c r="N13" s="61">
        <v>0</v>
      </c>
      <c r="O13" s="61">
        <v>0</v>
      </c>
    </row>
    <row r="14" spans="1:15" ht="15.75" customHeight="1" x14ac:dyDescent="0.25">
      <c r="B14" s="9"/>
    </row>
    <row r="15" spans="1:15" ht="15.75" customHeight="1" x14ac:dyDescent="0.3">
      <c r="A15" s="4" t="s">
        <v>118</v>
      </c>
      <c r="B15" s="9" t="s">
        <v>197</v>
      </c>
      <c r="C15" s="61">
        <v>0</v>
      </c>
      <c r="D15" s="61">
        <v>0</v>
      </c>
      <c r="E15" s="61">
        <v>0</v>
      </c>
      <c r="F15" s="61">
        <v>0</v>
      </c>
      <c r="G15" s="61">
        <v>0</v>
      </c>
      <c r="H15" s="60">
        <f t="shared" ref="H15:K16" si="0">food_insecure</f>
        <v>1.0999999999999999E-2</v>
      </c>
      <c r="I15" s="60">
        <f t="shared" si="0"/>
        <v>1.0999999999999999E-2</v>
      </c>
      <c r="J15" s="60">
        <f t="shared" si="0"/>
        <v>1.0999999999999999E-2</v>
      </c>
      <c r="K15" s="60">
        <f t="shared" si="0"/>
        <v>1.0999999999999999E-2</v>
      </c>
      <c r="L15" s="61">
        <v>0</v>
      </c>
      <c r="M15" s="61">
        <v>0</v>
      </c>
      <c r="N15" s="61">
        <v>0</v>
      </c>
      <c r="O15" s="61">
        <v>0</v>
      </c>
    </row>
    <row r="16" spans="1:15" ht="15.75" customHeight="1" x14ac:dyDescent="0.3">
      <c r="A16" s="4"/>
      <c r="B16" s="5" t="s">
        <v>198</v>
      </c>
      <c r="C16" s="61">
        <v>0</v>
      </c>
      <c r="D16" s="61">
        <v>0</v>
      </c>
      <c r="E16" s="61">
        <v>0</v>
      </c>
      <c r="F16" s="61">
        <v>0</v>
      </c>
      <c r="G16" s="61">
        <v>0</v>
      </c>
      <c r="H16" s="60">
        <f t="shared" si="0"/>
        <v>1.0999999999999999E-2</v>
      </c>
      <c r="I16" s="60">
        <f t="shared" si="0"/>
        <v>1.0999999999999999E-2</v>
      </c>
      <c r="J16" s="60">
        <f t="shared" si="0"/>
        <v>1.0999999999999999E-2</v>
      </c>
      <c r="K16" s="60">
        <f t="shared" si="0"/>
        <v>1.0999999999999999E-2</v>
      </c>
      <c r="L16" s="61">
        <v>0</v>
      </c>
      <c r="M16" s="61">
        <v>0</v>
      </c>
      <c r="N16" s="61">
        <v>0</v>
      </c>
      <c r="O16" s="61">
        <v>0</v>
      </c>
    </row>
    <row r="17" spans="1:15" ht="15.75" customHeight="1" x14ac:dyDescent="0.3">
      <c r="A17" s="4"/>
      <c r="B17" s="5" t="s">
        <v>209</v>
      </c>
      <c r="C17" s="61">
        <v>0</v>
      </c>
      <c r="D17" s="61">
        <v>0</v>
      </c>
      <c r="E17" s="61">
        <v>0</v>
      </c>
      <c r="F17" s="61">
        <v>0</v>
      </c>
      <c r="G17" s="61">
        <v>0</v>
      </c>
      <c r="H17" s="60">
        <f>1</f>
        <v>1</v>
      </c>
      <c r="I17" s="60">
        <f>1</f>
        <v>1</v>
      </c>
      <c r="J17" s="60">
        <f>1</f>
        <v>1</v>
      </c>
      <c r="K17" s="60">
        <f>1</f>
        <v>1</v>
      </c>
      <c r="L17" s="61">
        <v>0</v>
      </c>
      <c r="M17" s="61">
        <v>0</v>
      </c>
      <c r="N17" s="61">
        <v>0</v>
      </c>
      <c r="O17" s="61">
        <v>0</v>
      </c>
    </row>
    <row r="18" spans="1:15" ht="15.75" customHeight="1" x14ac:dyDescent="0.3">
      <c r="A18" s="4"/>
      <c r="B18" s="5" t="s">
        <v>210</v>
      </c>
      <c r="C18" s="61">
        <v>0</v>
      </c>
      <c r="D18" s="61">
        <v>0</v>
      </c>
      <c r="E18" s="61">
        <v>0</v>
      </c>
      <c r="F18" s="61">
        <v>0</v>
      </c>
      <c r="G18" s="61">
        <v>0</v>
      </c>
      <c r="H18" s="60">
        <f>frac_PW_health_facility</f>
        <v>1</v>
      </c>
      <c r="I18" s="60">
        <f>frac_PW_health_facility</f>
        <v>1</v>
      </c>
      <c r="J18" s="60">
        <f>frac_PW_health_facility</f>
        <v>1</v>
      </c>
      <c r="K18" s="60">
        <f>frac_PW_health_facility</f>
        <v>1</v>
      </c>
      <c r="L18" s="61">
        <v>0</v>
      </c>
      <c r="M18" s="61">
        <v>0</v>
      </c>
      <c r="N18" s="61">
        <v>0</v>
      </c>
      <c r="O18" s="61">
        <v>0</v>
      </c>
    </row>
    <row r="19" spans="1:15" ht="15" customHeight="1" x14ac:dyDescent="0.25">
      <c r="B19" s="9" t="s">
        <v>211</v>
      </c>
      <c r="C19" s="61">
        <v>0</v>
      </c>
      <c r="D19" s="61">
        <v>0</v>
      </c>
      <c r="E19" s="61">
        <v>0</v>
      </c>
      <c r="F19" s="61">
        <v>0</v>
      </c>
      <c r="G19" s="61">
        <v>0</v>
      </c>
      <c r="H19" s="60">
        <f>frac_malaria_risk</f>
        <v>0.01</v>
      </c>
      <c r="I19" s="60">
        <f>frac_malaria_risk</f>
        <v>0.01</v>
      </c>
      <c r="J19" s="60">
        <f>frac_malaria_risk</f>
        <v>0.01</v>
      </c>
      <c r="K19" s="60">
        <f>frac_malaria_risk</f>
        <v>0.01</v>
      </c>
      <c r="L19" s="61">
        <v>0</v>
      </c>
      <c r="M19" s="61">
        <v>0</v>
      </c>
      <c r="N19" s="61">
        <v>0</v>
      </c>
      <c r="O19" s="61">
        <v>0</v>
      </c>
    </row>
    <row r="20" spans="1:15" ht="15.75" customHeight="1" x14ac:dyDescent="0.25">
      <c r="B20" s="5" t="s">
        <v>216</v>
      </c>
      <c r="C20" s="61">
        <v>0</v>
      </c>
      <c r="D20" s="61">
        <v>0</v>
      </c>
      <c r="E20" s="61">
        <v>0</v>
      </c>
      <c r="F20" s="61">
        <v>0</v>
      </c>
      <c r="G20" s="61">
        <v>0</v>
      </c>
      <c r="H20" s="60">
        <v>1</v>
      </c>
      <c r="I20" s="60">
        <v>1</v>
      </c>
      <c r="J20" s="60">
        <v>1</v>
      </c>
      <c r="K20" s="60">
        <v>1</v>
      </c>
      <c r="L20" s="61">
        <v>0</v>
      </c>
      <c r="M20" s="61">
        <v>0</v>
      </c>
      <c r="N20" s="61">
        <v>0</v>
      </c>
      <c r="O20" s="61">
        <v>0</v>
      </c>
    </row>
    <row r="21" spans="1:15" ht="15.75" customHeight="1" x14ac:dyDescent="0.25">
      <c r="B21" s="5" t="s">
        <v>217</v>
      </c>
      <c r="C21" s="61">
        <v>0</v>
      </c>
      <c r="D21" s="61">
        <v>0</v>
      </c>
      <c r="E21" s="61">
        <v>0</v>
      </c>
      <c r="F21" s="61">
        <v>0</v>
      </c>
      <c r="G21" s="61">
        <v>0</v>
      </c>
      <c r="H21" s="60">
        <v>1</v>
      </c>
      <c r="I21" s="60">
        <v>1</v>
      </c>
      <c r="J21" s="60">
        <v>1</v>
      </c>
      <c r="K21" s="60">
        <v>1</v>
      </c>
      <c r="L21" s="61">
        <v>0</v>
      </c>
      <c r="M21" s="61">
        <v>0</v>
      </c>
      <c r="N21" s="61">
        <v>0</v>
      </c>
      <c r="O21" s="61">
        <v>0</v>
      </c>
    </row>
    <row r="22" spans="1:15" ht="15.75" customHeight="1" x14ac:dyDescent="0.25">
      <c r="B22" s="9" t="s">
        <v>219</v>
      </c>
      <c r="C22" s="61">
        <v>0</v>
      </c>
      <c r="D22" s="61">
        <v>0</v>
      </c>
      <c r="E22" s="61">
        <v>0</v>
      </c>
      <c r="F22" s="61">
        <v>0</v>
      </c>
      <c r="G22" s="61">
        <v>0</v>
      </c>
      <c r="H22" s="60">
        <f>1</f>
        <v>1</v>
      </c>
      <c r="I22" s="60">
        <f>1</f>
        <v>1</v>
      </c>
      <c r="J22" s="60">
        <f>1</f>
        <v>1</v>
      </c>
      <c r="K22" s="60">
        <f>1</f>
        <v>1</v>
      </c>
      <c r="L22" s="61">
        <v>0</v>
      </c>
      <c r="M22" s="61">
        <v>0</v>
      </c>
      <c r="N22" s="61">
        <v>0</v>
      </c>
      <c r="O22" s="61">
        <v>0</v>
      </c>
    </row>
    <row r="23" spans="1:15" ht="15.75" customHeight="1" x14ac:dyDescent="0.25">
      <c r="B23" s="9"/>
    </row>
    <row r="24" spans="1:15" ht="15.75" customHeight="1" x14ac:dyDescent="0.3">
      <c r="A24" s="4" t="s">
        <v>93</v>
      </c>
      <c r="B24" s="11" t="s">
        <v>201</v>
      </c>
      <c r="C24" s="61">
        <v>0</v>
      </c>
      <c r="D24" s="61">
        <v>0</v>
      </c>
      <c r="E24" s="61">
        <v>0</v>
      </c>
      <c r="F24" s="61">
        <v>0</v>
      </c>
      <c r="G24" s="61">
        <v>0</v>
      </c>
      <c r="H24" s="61">
        <v>0</v>
      </c>
      <c r="I24" s="61">
        <v>0</v>
      </c>
      <c r="J24" s="61">
        <v>0</v>
      </c>
      <c r="K24" s="61">
        <v>0</v>
      </c>
      <c r="L24" s="60">
        <f>famplan_unmet_need</f>
        <v>0.60599999999999998</v>
      </c>
      <c r="M24" s="60">
        <f>famplan_unmet_need</f>
        <v>0.60599999999999998</v>
      </c>
      <c r="N24" s="60">
        <f>famplan_unmet_need</f>
        <v>0.60599999999999998</v>
      </c>
      <c r="O24" s="60">
        <f>famplan_unmet_need</f>
        <v>0.60599999999999998</v>
      </c>
    </row>
    <row r="25" spans="1:15" ht="15.75" customHeight="1" x14ac:dyDescent="0.25">
      <c r="B25" s="11" t="s">
        <v>205</v>
      </c>
      <c r="C25" s="61">
        <v>0</v>
      </c>
      <c r="D25" s="61">
        <v>0</v>
      </c>
      <c r="E25" s="61">
        <v>0</v>
      </c>
      <c r="F25" s="61">
        <v>0</v>
      </c>
      <c r="G25" s="61">
        <v>0</v>
      </c>
      <c r="H25" s="61">
        <v>0</v>
      </c>
      <c r="I25" s="61">
        <v>0</v>
      </c>
      <c r="J25" s="61">
        <v>0</v>
      </c>
      <c r="K25" s="61">
        <v>0</v>
      </c>
      <c r="L25" s="60">
        <f>(1-food_insecure)*(0.49)*(1-school_attendance) + food_insecure*(0.7)*(1-school_attendance)</f>
        <v>9.3145118106079255E-2</v>
      </c>
      <c r="M25" s="60">
        <f>(1-food_insecure)*(0.49)+food_insecure*(0.7)</f>
        <v>0.49230999999999997</v>
      </c>
      <c r="N25" s="60">
        <f>(1-food_insecure)*(0.49)+food_insecure*(0.7)</f>
        <v>0.49230999999999997</v>
      </c>
      <c r="O25" s="60">
        <f>(1-food_insecure)*(0.49)+food_insecure*(0.7)</f>
        <v>0.49230999999999997</v>
      </c>
    </row>
    <row r="26" spans="1:15" ht="15.75" customHeight="1" x14ac:dyDescent="0.25">
      <c r="B26" s="11" t="s">
        <v>206</v>
      </c>
      <c r="C26" s="61">
        <v>0</v>
      </c>
      <c r="D26" s="61">
        <v>0</v>
      </c>
      <c r="E26" s="61">
        <v>0</v>
      </c>
      <c r="F26" s="61">
        <v>0</v>
      </c>
      <c r="G26" s="61">
        <v>0</v>
      </c>
      <c r="H26" s="61">
        <v>0</v>
      </c>
      <c r="I26" s="61">
        <v>0</v>
      </c>
      <c r="J26" s="61">
        <v>0</v>
      </c>
      <c r="K26" s="61">
        <v>0</v>
      </c>
      <c r="L26" s="60">
        <f>(1-food_insecure)*(0.21)*(1-school_attendance) + food_insecure*(0.3)*(1-school_attendance)</f>
        <v>3.9919336331176822E-2</v>
      </c>
      <c r="M26" s="60">
        <f>(1-food_insecure)*(0.21)+food_insecure*(0.3)</f>
        <v>0.21098999999999998</v>
      </c>
      <c r="N26" s="60">
        <f>(1-food_insecure)*(0.21)+food_insecure*(0.3)</f>
        <v>0.21098999999999998</v>
      </c>
      <c r="O26" s="60">
        <f>(1-food_insecure)*(0.21)+food_insecure*(0.3)</f>
        <v>0.21098999999999998</v>
      </c>
    </row>
    <row r="27" spans="1:15" ht="15.75" customHeight="1" x14ac:dyDescent="0.25">
      <c r="B27" s="11" t="s">
        <v>207</v>
      </c>
      <c r="C27" s="61">
        <v>0</v>
      </c>
      <c r="D27" s="61">
        <v>0</v>
      </c>
      <c r="E27" s="61">
        <v>0</v>
      </c>
      <c r="F27" s="61">
        <v>0</v>
      </c>
      <c r="G27" s="61">
        <v>0</v>
      </c>
      <c r="H27" s="61">
        <v>0</v>
      </c>
      <c r="I27" s="61">
        <v>0</v>
      </c>
      <c r="J27" s="61">
        <v>0</v>
      </c>
      <c r="K27" s="61">
        <v>0</v>
      </c>
      <c r="L27" s="60">
        <f>(1-food_insecure)*(0.3)*(1-school_attendance)</f>
        <v>5.6135679840087972E-2</v>
      </c>
      <c r="M27" s="60">
        <f>(1-food_insecure)*(0.3)</f>
        <v>0.29669999999999996</v>
      </c>
      <c r="N27" s="60">
        <f>(1-food_insecure)*(0.3)</f>
        <v>0.29669999999999996</v>
      </c>
      <c r="O27" s="60">
        <f>(1-food_insecure)*(0.3)</f>
        <v>0.29669999999999996</v>
      </c>
    </row>
    <row r="28" spans="1:15" ht="15.75" customHeight="1" x14ac:dyDescent="0.25">
      <c r="B28" s="11" t="s">
        <v>208</v>
      </c>
      <c r="C28" s="61">
        <v>0</v>
      </c>
      <c r="D28" s="61">
        <v>0</v>
      </c>
      <c r="E28" s="61">
        <v>0</v>
      </c>
      <c r="F28" s="61">
        <v>0</v>
      </c>
      <c r="G28" s="61">
        <v>0</v>
      </c>
      <c r="H28" s="61">
        <v>0</v>
      </c>
      <c r="I28" s="61">
        <v>0</v>
      </c>
      <c r="J28" s="61">
        <v>0</v>
      </c>
      <c r="K28" s="61">
        <v>0</v>
      </c>
      <c r="L28" s="60">
        <f>(1-food_insecure)*1*school_attendance + food_insecure*1*school_attendance</f>
        <v>0.81079986572265594</v>
      </c>
      <c r="M28" s="60">
        <v>0</v>
      </c>
      <c r="N28" s="60">
        <v>0</v>
      </c>
      <c r="O28" s="60">
        <v>0</v>
      </c>
    </row>
    <row r="29" spans="1:15" ht="15.75" customHeight="1" x14ac:dyDescent="0.25">
      <c r="B29" s="5"/>
      <c r="C29" s="2"/>
      <c r="D29" s="2"/>
      <c r="E29" s="7"/>
      <c r="F29" s="7"/>
      <c r="G29" s="7"/>
      <c r="H29" s="7"/>
      <c r="I29" s="7"/>
    </row>
    <row r="30" spans="1:15" ht="15.75" customHeight="1" x14ac:dyDescent="0.3">
      <c r="A30" s="4" t="s">
        <v>239</v>
      </c>
      <c r="B30" s="5" t="s">
        <v>202</v>
      </c>
      <c r="C30" s="60">
        <v>0</v>
      </c>
      <c r="D30" s="60">
        <v>0</v>
      </c>
      <c r="E30" s="60">
        <f t="shared" ref="E30:O30" si="1">frac_maize</f>
        <v>0.01</v>
      </c>
      <c r="F30" s="60">
        <f t="shared" si="1"/>
        <v>0.01</v>
      </c>
      <c r="G30" s="60">
        <f t="shared" si="1"/>
        <v>0.01</v>
      </c>
      <c r="H30" s="60">
        <f t="shared" si="1"/>
        <v>0.01</v>
      </c>
      <c r="I30" s="60">
        <f t="shared" si="1"/>
        <v>0.01</v>
      </c>
      <c r="J30" s="60">
        <f t="shared" si="1"/>
        <v>0.01</v>
      </c>
      <c r="K30" s="60">
        <f t="shared" si="1"/>
        <v>0.01</v>
      </c>
      <c r="L30" s="60">
        <f t="shared" si="1"/>
        <v>0.01</v>
      </c>
      <c r="M30" s="60">
        <f t="shared" si="1"/>
        <v>0.01</v>
      </c>
      <c r="N30" s="60">
        <f t="shared" si="1"/>
        <v>0.01</v>
      </c>
      <c r="O30" s="60">
        <f t="shared" si="1"/>
        <v>0.01</v>
      </c>
    </row>
    <row r="31" spans="1:15" ht="15.75" customHeight="1" x14ac:dyDescent="0.25">
      <c r="B31" s="5" t="s">
        <v>203</v>
      </c>
      <c r="C31" s="60">
        <v>0</v>
      </c>
      <c r="D31" s="60">
        <v>0</v>
      </c>
      <c r="E31" s="60">
        <f t="shared" ref="E31:O31" si="2">frac_rice</f>
        <v>0.01</v>
      </c>
      <c r="F31" s="60">
        <f t="shared" si="2"/>
        <v>0.01</v>
      </c>
      <c r="G31" s="60">
        <f t="shared" si="2"/>
        <v>0.01</v>
      </c>
      <c r="H31" s="60">
        <f t="shared" si="2"/>
        <v>0.01</v>
      </c>
      <c r="I31" s="60">
        <f t="shared" si="2"/>
        <v>0.01</v>
      </c>
      <c r="J31" s="60">
        <f t="shared" si="2"/>
        <v>0.01</v>
      </c>
      <c r="K31" s="60">
        <f t="shared" si="2"/>
        <v>0.01</v>
      </c>
      <c r="L31" s="60">
        <f t="shared" si="2"/>
        <v>0.01</v>
      </c>
      <c r="M31" s="60">
        <f t="shared" si="2"/>
        <v>0.01</v>
      </c>
      <c r="N31" s="60">
        <f t="shared" si="2"/>
        <v>0.01</v>
      </c>
      <c r="O31" s="60">
        <f t="shared" si="2"/>
        <v>0.01</v>
      </c>
    </row>
    <row r="32" spans="1:15" ht="15.75" customHeight="1" x14ac:dyDescent="0.25">
      <c r="B32" s="5" t="s">
        <v>204</v>
      </c>
      <c r="C32" s="60">
        <v>0</v>
      </c>
      <c r="D32" s="60">
        <v>0</v>
      </c>
      <c r="E32" s="60">
        <f t="shared" ref="E32:O32" si="3">frac_wheat</f>
        <v>0.98</v>
      </c>
      <c r="F32" s="60">
        <f t="shared" si="3"/>
        <v>0.98</v>
      </c>
      <c r="G32" s="60">
        <f t="shared" si="3"/>
        <v>0.98</v>
      </c>
      <c r="H32" s="60">
        <f t="shared" si="3"/>
        <v>0.98</v>
      </c>
      <c r="I32" s="60">
        <f t="shared" si="3"/>
        <v>0.98</v>
      </c>
      <c r="J32" s="60">
        <f t="shared" si="3"/>
        <v>0.98</v>
      </c>
      <c r="K32" s="60">
        <f t="shared" si="3"/>
        <v>0.98</v>
      </c>
      <c r="L32" s="60">
        <f t="shared" si="3"/>
        <v>0.98</v>
      </c>
      <c r="M32" s="60">
        <f t="shared" si="3"/>
        <v>0.98</v>
      </c>
      <c r="N32" s="60">
        <f t="shared" si="3"/>
        <v>0.98</v>
      </c>
      <c r="O32" s="60">
        <f t="shared" si="3"/>
        <v>0.98</v>
      </c>
    </row>
    <row r="33" spans="2:15" ht="15.75" customHeight="1" x14ac:dyDescent="0.25">
      <c r="B33" s="5" t="s">
        <v>212</v>
      </c>
      <c r="C33" s="60">
        <v>0</v>
      </c>
      <c r="D33" s="60">
        <v>0</v>
      </c>
      <c r="E33" s="60">
        <v>1</v>
      </c>
      <c r="F33" s="60">
        <v>1</v>
      </c>
      <c r="G33" s="60">
        <v>1</v>
      </c>
      <c r="H33" s="60">
        <v>1</v>
      </c>
      <c r="I33" s="60">
        <v>1</v>
      </c>
      <c r="J33" s="60">
        <v>1</v>
      </c>
      <c r="K33" s="60">
        <v>1</v>
      </c>
      <c r="L33" s="60">
        <v>1</v>
      </c>
      <c r="M33" s="60">
        <v>1</v>
      </c>
      <c r="N33" s="60">
        <v>1</v>
      </c>
      <c r="O33" s="60">
        <v>1</v>
      </c>
    </row>
    <row r="34" spans="2:15" ht="15.75" customHeight="1" x14ac:dyDescent="0.25">
      <c r="B34" s="5" t="s">
        <v>215</v>
      </c>
      <c r="C34" s="60">
        <f t="shared" ref="C34:O34" si="4">frac_malaria_risk</f>
        <v>0.01</v>
      </c>
      <c r="D34" s="60">
        <f t="shared" si="4"/>
        <v>0.01</v>
      </c>
      <c r="E34" s="60">
        <f t="shared" si="4"/>
        <v>0.01</v>
      </c>
      <c r="F34" s="60">
        <f t="shared" si="4"/>
        <v>0.01</v>
      </c>
      <c r="G34" s="60">
        <f t="shared" si="4"/>
        <v>0.01</v>
      </c>
      <c r="H34" s="60">
        <f t="shared" si="4"/>
        <v>0.01</v>
      </c>
      <c r="I34" s="60">
        <f t="shared" si="4"/>
        <v>0.01</v>
      </c>
      <c r="J34" s="60">
        <f t="shared" si="4"/>
        <v>0.01</v>
      </c>
      <c r="K34" s="60">
        <f t="shared" si="4"/>
        <v>0.01</v>
      </c>
      <c r="L34" s="60">
        <f t="shared" si="4"/>
        <v>0.01</v>
      </c>
      <c r="M34" s="60">
        <f t="shared" si="4"/>
        <v>0.01</v>
      </c>
      <c r="N34" s="60">
        <f t="shared" si="4"/>
        <v>0.01</v>
      </c>
      <c r="O34" s="60">
        <f t="shared" si="4"/>
        <v>0.01</v>
      </c>
    </row>
    <row r="35" spans="2:15" ht="15.75" customHeight="1" x14ac:dyDescent="0.25">
      <c r="B35" s="9" t="s">
        <v>223</v>
      </c>
      <c r="C35" s="60">
        <v>1</v>
      </c>
      <c r="D35" s="60">
        <v>1</v>
      </c>
      <c r="E35" s="60">
        <v>1</v>
      </c>
      <c r="F35" s="60">
        <v>1</v>
      </c>
      <c r="G35" s="60">
        <v>1</v>
      </c>
      <c r="H35" s="60">
        <v>1</v>
      </c>
      <c r="I35" s="60">
        <v>1</v>
      </c>
      <c r="J35" s="60">
        <v>1</v>
      </c>
      <c r="K35" s="60">
        <v>1</v>
      </c>
      <c r="L35" s="60">
        <v>1</v>
      </c>
      <c r="M35" s="60">
        <v>1</v>
      </c>
      <c r="N35" s="60">
        <v>1</v>
      </c>
      <c r="O35" s="60">
        <v>1</v>
      </c>
    </row>
    <row r="36" spans="2:15" ht="15.75" customHeight="1" x14ac:dyDescent="0.25">
      <c r="B36" s="9" t="s">
        <v>224</v>
      </c>
      <c r="C36" s="60">
        <v>1</v>
      </c>
      <c r="D36" s="60">
        <v>1</v>
      </c>
      <c r="E36" s="60">
        <v>1</v>
      </c>
      <c r="F36" s="60">
        <v>1</v>
      </c>
      <c r="G36" s="60">
        <v>1</v>
      </c>
      <c r="H36" s="60">
        <v>1</v>
      </c>
      <c r="I36" s="60">
        <v>1</v>
      </c>
      <c r="J36" s="60">
        <v>1</v>
      </c>
      <c r="K36" s="60">
        <v>1</v>
      </c>
      <c r="L36" s="60">
        <v>1</v>
      </c>
      <c r="M36" s="60">
        <v>1</v>
      </c>
      <c r="N36" s="60">
        <v>1</v>
      </c>
      <c r="O36" s="60">
        <v>1</v>
      </c>
    </row>
    <row r="37" spans="2:15" ht="15.75" customHeight="1" x14ac:dyDescent="0.25">
      <c r="B37" s="9" t="s">
        <v>225</v>
      </c>
      <c r="C37" s="60">
        <v>1</v>
      </c>
      <c r="D37" s="60">
        <v>1</v>
      </c>
      <c r="E37" s="60">
        <v>1</v>
      </c>
      <c r="F37" s="60">
        <v>1</v>
      </c>
      <c r="G37" s="60">
        <v>1</v>
      </c>
      <c r="H37" s="60">
        <v>1</v>
      </c>
      <c r="I37" s="60">
        <v>1</v>
      </c>
      <c r="J37" s="60">
        <v>1</v>
      </c>
      <c r="K37" s="60">
        <v>1</v>
      </c>
      <c r="L37" s="60">
        <v>1</v>
      </c>
      <c r="M37" s="60">
        <v>1</v>
      </c>
      <c r="N37" s="60">
        <v>1</v>
      </c>
      <c r="O37" s="60">
        <v>1</v>
      </c>
    </row>
    <row r="38" spans="2:15" ht="15.75" customHeight="1" x14ac:dyDescent="0.25">
      <c r="B38" s="9" t="s">
        <v>226</v>
      </c>
      <c r="C38" s="60">
        <v>1</v>
      </c>
      <c r="D38" s="60">
        <v>1</v>
      </c>
      <c r="E38" s="60">
        <v>1</v>
      </c>
      <c r="F38" s="60">
        <v>1</v>
      </c>
      <c r="G38" s="60">
        <v>1</v>
      </c>
      <c r="H38" s="60">
        <v>1</v>
      </c>
      <c r="I38" s="60">
        <v>1</v>
      </c>
      <c r="J38" s="60">
        <v>1</v>
      </c>
      <c r="K38" s="60">
        <v>1</v>
      </c>
      <c r="L38" s="60">
        <v>1</v>
      </c>
      <c r="M38" s="60">
        <v>1</v>
      </c>
      <c r="N38" s="60">
        <v>1</v>
      </c>
      <c r="O38" s="60">
        <v>1</v>
      </c>
    </row>
    <row r="39" spans="2:15" ht="15.75" customHeight="1" x14ac:dyDescent="0.25">
      <c r="B39" s="9" t="s">
        <v>227</v>
      </c>
      <c r="C39" s="60">
        <v>1</v>
      </c>
      <c r="D39" s="60">
        <v>1</v>
      </c>
      <c r="E39" s="60">
        <v>1</v>
      </c>
      <c r="F39" s="60">
        <v>1</v>
      </c>
      <c r="G39" s="60">
        <v>1</v>
      </c>
      <c r="H39" s="60">
        <v>1</v>
      </c>
      <c r="I39" s="60">
        <v>1</v>
      </c>
      <c r="J39" s="60">
        <v>1</v>
      </c>
      <c r="K39" s="60">
        <v>1</v>
      </c>
      <c r="L39" s="60">
        <v>1</v>
      </c>
      <c r="M39" s="60">
        <v>1</v>
      </c>
      <c r="N39" s="60">
        <v>1</v>
      </c>
      <c r="O39" s="60">
        <v>1</v>
      </c>
    </row>
    <row r="40" spans="2:15" ht="15.75" customHeight="1" x14ac:dyDescent="0.25">
      <c r="B40" s="9"/>
    </row>
  </sheetData>
  <sheetProtection algorithmName="SHA-512" hashValue="OYnFChZTrKvwyTFthsYe7+e92loFbeo1LXvWszdWFHVbwE0tJE41nJDS56eTZkboZ7mcaBD1oxyyXwCqnPT7gQ==" saltValue="HdybRnaux/DqKnuKt31ghQ==" spinCount="100000" sheet="1" objects="1" scenarios="1" selectLockedCells="1"/>
  <pageMargins left="0.75" right="0.75" top="1" bottom="1" header="0.5" footer="0.5"/>
  <pageSetup paperSize="9" orientation="portrait" horizontalDpi="4294967292" verticalDpi="4294967292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sheetPr codeName="Sheet15"/>
  <dimension ref="A1:A4"/>
  <sheetViews>
    <sheetView workbookViewId="0"/>
  </sheetViews>
  <sheetFormatPr defaultColWidth="11.453125" defaultRowHeight="12.5" x14ac:dyDescent="0.25"/>
  <sheetData>
    <row r="1" spans="1:1" x14ac:dyDescent="0.25">
      <c r="A1" s="8" t="s">
        <v>230</v>
      </c>
    </row>
    <row r="2" spans="1:1" x14ac:dyDescent="0.25">
      <c r="A2" s="8" t="s">
        <v>241</v>
      </c>
    </row>
    <row r="3" spans="1:1" x14ac:dyDescent="0.25">
      <c r="A3" s="8" t="s">
        <v>242</v>
      </c>
    </row>
    <row r="4" spans="1:1" x14ac:dyDescent="0.25">
      <c r="A4" s="8" t="s">
        <v>243</v>
      </c>
    </row>
  </sheetData>
  <sheetProtection algorithmName="SHA-512" hashValue="inHsXzgfnsJ/GDTwBDKiEWTPwuLjupyau/1lv3rkdGWEBN48emUe8/2/0q5amJR8Wtyf1e9PhgreL4WOq8yXBw==" saltValue="iPr4ex2r52fww5vWS+jfyw==" spinCount="100000" sheet="1" objects="1" scenarios="1"/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F00-000000000000}">
  <sheetPr codeName="Sheet16">
    <tabColor theme="0" tint="-0.249977111117893"/>
  </sheetPr>
  <dimension ref="A1:E10"/>
  <sheetViews>
    <sheetView workbookViewId="0">
      <selection activeCell="F8" sqref="F8"/>
    </sheetView>
  </sheetViews>
  <sheetFormatPr defaultColWidth="11.453125" defaultRowHeight="12.5" x14ac:dyDescent="0.25"/>
  <cols>
    <col min="1" max="1" width="33.6328125" style="8" customWidth="1"/>
    <col min="2" max="2" width="12.453125" style="8" customWidth="1"/>
    <col min="3" max="4" width="11.453125" style="8" customWidth="1"/>
    <col min="5" max="5" width="17.453125" style="8" customWidth="1"/>
    <col min="6" max="7" width="11.453125" style="8" customWidth="1"/>
    <col min="8" max="16384" width="11.453125" style="8"/>
  </cols>
  <sheetData>
    <row r="1" spans="1:5" ht="13" x14ac:dyDescent="0.3">
      <c r="A1" s="4" t="s">
        <v>245</v>
      </c>
      <c r="B1" s="4" t="s">
        <v>244</v>
      </c>
      <c r="C1" s="4" t="s">
        <v>7</v>
      </c>
      <c r="D1" s="4" t="s">
        <v>254</v>
      </c>
      <c r="E1" s="4" t="s">
        <v>255</v>
      </c>
    </row>
    <row r="2" spans="1:5" ht="14" customHeight="1" x14ac:dyDescent="0.3">
      <c r="A2" s="28" t="s">
        <v>246</v>
      </c>
      <c r="B2" s="28">
        <v>0.9</v>
      </c>
      <c r="C2" s="8">
        <v>0.09</v>
      </c>
      <c r="D2" s="8">
        <v>0.8</v>
      </c>
      <c r="E2" s="8">
        <f t="shared" ref="E2:E10" si="0">C2*D2</f>
        <v>7.1999999999999995E-2</v>
      </c>
    </row>
    <row r="3" spans="1:5" ht="14" customHeight="1" x14ac:dyDescent="0.3">
      <c r="A3" s="28" t="s">
        <v>247</v>
      </c>
      <c r="B3" s="28">
        <v>1</v>
      </c>
      <c r="C3" s="8">
        <v>0.02</v>
      </c>
      <c r="D3" s="8">
        <v>1.9</v>
      </c>
      <c r="E3" s="8">
        <f t="shared" si="0"/>
        <v>3.7999999999999999E-2</v>
      </c>
    </row>
    <row r="4" spans="1:5" ht="14" customHeight="1" x14ac:dyDescent="0.3">
      <c r="A4" s="28" t="s">
        <v>248</v>
      </c>
      <c r="B4" s="28">
        <v>1</v>
      </c>
      <c r="C4" s="8">
        <v>0.08</v>
      </c>
      <c r="D4" s="8">
        <v>2</v>
      </c>
      <c r="E4" s="8">
        <f t="shared" si="0"/>
        <v>0.16</v>
      </c>
    </row>
    <row r="5" spans="1:5" ht="14" customHeight="1" x14ac:dyDescent="0.3">
      <c r="A5" s="28" t="s">
        <v>249</v>
      </c>
      <c r="B5" s="28">
        <v>1</v>
      </c>
      <c r="C5" s="8">
        <v>0.18</v>
      </c>
      <c r="D5" s="8">
        <v>0.7</v>
      </c>
      <c r="E5" s="8">
        <f t="shared" si="0"/>
        <v>0.126</v>
      </c>
    </row>
    <row r="6" spans="1:5" ht="14" customHeight="1" x14ac:dyDescent="0.3">
      <c r="A6" s="28" t="s">
        <v>8</v>
      </c>
      <c r="B6" s="28">
        <v>1</v>
      </c>
      <c r="C6" s="8">
        <v>0.02</v>
      </c>
      <c r="D6" s="8">
        <v>0.7</v>
      </c>
      <c r="E6" s="8">
        <f t="shared" si="0"/>
        <v>1.3999999999999999E-2</v>
      </c>
    </row>
    <row r="7" spans="1:5" ht="14" customHeight="1" x14ac:dyDescent="0.3">
      <c r="A7" s="28" t="s">
        <v>250</v>
      </c>
      <c r="B7" s="28">
        <v>0.93</v>
      </c>
      <c r="C7" s="8">
        <v>0.45</v>
      </c>
      <c r="D7" s="8">
        <v>0.9</v>
      </c>
      <c r="E7" s="8">
        <f t="shared" si="0"/>
        <v>0.40500000000000003</v>
      </c>
    </row>
    <row r="8" spans="1:5" ht="14" customHeight="1" x14ac:dyDescent="0.3">
      <c r="A8" s="28" t="s">
        <v>251</v>
      </c>
      <c r="B8" s="28">
        <v>0.5</v>
      </c>
      <c r="C8" s="8">
        <v>0.03</v>
      </c>
      <c r="D8" s="8">
        <v>0</v>
      </c>
      <c r="E8" s="8">
        <f t="shared" si="0"/>
        <v>0</v>
      </c>
    </row>
    <row r="9" spans="1:5" ht="14" customHeight="1" x14ac:dyDescent="0.3">
      <c r="A9" s="28" t="s">
        <v>252</v>
      </c>
      <c r="B9" s="28">
        <v>0.5</v>
      </c>
      <c r="C9" s="8">
        <v>0.11</v>
      </c>
      <c r="D9" s="8">
        <v>0</v>
      </c>
      <c r="E9" s="8">
        <f t="shared" si="0"/>
        <v>0</v>
      </c>
    </row>
    <row r="10" spans="1:5" ht="14" customHeight="1" x14ac:dyDescent="0.3">
      <c r="A10" s="28" t="s">
        <v>253</v>
      </c>
      <c r="B10" s="28">
        <v>0.98</v>
      </c>
      <c r="C10" s="8">
        <v>0.01</v>
      </c>
      <c r="D10" s="8">
        <v>0.6</v>
      </c>
      <c r="E10" s="8">
        <f t="shared" si="0"/>
        <v>6.0000000000000001E-3</v>
      </c>
    </row>
  </sheetData>
  <sheetProtection algorithmName="SHA-512" hashValue="TeA6N6tPVanBAbKwpsWf3OOslefXQkoFDbfmyIOsefcVwQlR8u5565YZGwuhR0JV+Sy1yrMVq7aUXSFgWR8FfQ==" saltValue="2LaL9Kfr1dl2hvhn3tS4Sg==" spinCount="100000" sheet="1" objects="1" scenario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000-000000000000}">
  <sheetPr codeName="Sheet17">
    <tabColor theme="0" tint="-0.249977111117893"/>
  </sheetPr>
  <dimension ref="A1:P42"/>
  <sheetViews>
    <sheetView topLeftCell="B1" workbookViewId="0">
      <selection activeCell="H15" sqref="H15"/>
    </sheetView>
  </sheetViews>
  <sheetFormatPr defaultColWidth="16.08984375" defaultRowHeight="15.75" customHeight="1" x14ac:dyDescent="0.35"/>
  <cols>
    <col min="1" max="1" width="22.36328125" style="37" bestFit="1" customWidth="1"/>
    <col min="2" max="2" width="58.90625" style="37" bestFit="1" customWidth="1"/>
    <col min="3" max="3" width="9.453125" style="37" bestFit="1" customWidth="1"/>
    <col min="4" max="4" width="11.08984375" style="37" bestFit="1" customWidth="1"/>
    <col min="5" max="5" width="12" style="37" bestFit="1" customWidth="1"/>
    <col min="6" max="7" width="13.08984375" style="37" bestFit="1" customWidth="1"/>
    <col min="8" max="11" width="15.36328125" style="37" bestFit="1" customWidth="1"/>
    <col min="12" max="15" width="16.90625" style="37" bestFit="1" customWidth="1"/>
    <col min="16" max="17" width="16.08984375" style="37" customWidth="1"/>
    <col min="18" max="16384" width="16.08984375" style="37"/>
  </cols>
  <sheetData>
    <row r="1" spans="1:15" ht="15.75" customHeight="1" x14ac:dyDescent="0.35">
      <c r="A1" s="4" t="s">
        <v>240</v>
      </c>
      <c r="B1" s="1" t="s">
        <v>189</v>
      </c>
      <c r="C1" s="4" t="s">
        <v>127</v>
      </c>
      <c r="D1" s="4" t="s">
        <v>114</v>
      </c>
      <c r="E1" s="4" t="s">
        <v>115</v>
      </c>
      <c r="F1" s="4" t="s">
        <v>116</v>
      </c>
      <c r="G1" s="4" t="s">
        <v>117</v>
      </c>
      <c r="H1" s="4" t="s">
        <v>140</v>
      </c>
      <c r="I1" s="4" t="s">
        <v>141</v>
      </c>
      <c r="J1" s="4" t="s">
        <v>142</v>
      </c>
      <c r="K1" s="4" t="s">
        <v>143</v>
      </c>
      <c r="L1" s="4" t="s">
        <v>87</v>
      </c>
      <c r="M1" s="4" t="s">
        <v>88</v>
      </c>
      <c r="N1" s="4" t="s">
        <v>89</v>
      </c>
      <c r="O1" s="4" t="s">
        <v>90</v>
      </c>
    </row>
    <row r="2" spans="1:15" ht="15.75" customHeight="1" x14ac:dyDescent="0.35">
      <c r="A2" s="4" t="s">
        <v>104</v>
      </c>
      <c r="B2" s="5" t="s">
        <v>199</v>
      </c>
      <c r="C2" s="87">
        <v>0</v>
      </c>
      <c r="D2" s="87">
        <v>0</v>
      </c>
      <c r="E2" s="87">
        <v>1</v>
      </c>
      <c r="F2" s="87">
        <v>1</v>
      </c>
      <c r="G2" s="87">
        <v>0</v>
      </c>
      <c r="H2" s="87">
        <v>0</v>
      </c>
      <c r="I2" s="87">
        <v>0</v>
      </c>
      <c r="J2" s="87">
        <v>0</v>
      </c>
      <c r="K2" s="87">
        <v>0</v>
      </c>
      <c r="L2" s="87">
        <v>0</v>
      </c>
      <c r="M2" s="87">
        <v>0</v>
      </c>
      <c r="N2" s="87">
        <v>0</v>
      </c>
      <c r="O2" s="87">
        <v>0</v>
      </c>
    </row>
    <row r="3" spans="1:15" ht="15.75" customHeight="1" x14ac:dyDescent="0.35">
      <c r="B3" s="5" t="s">
        <v>200</v>
      </c>
      <c r="C3" s="87">
        <v>1</v>
      </c>
      <c r="D3" s="87">
        <v>1</v>
      </c>
      <c r="E3" s="87">
        <v>0</v>
      </c>
      <c r="F3" s="87">
        <v>0</v>
      </c>
      <c r="G3" s="87">
        <v>0</v>
      </c>
      <c r="H3" s="87">
        <v>0</v>
      </c>
      <c r="I3" s="87">
        <v>0</v>
      </c>
      <c r="J3" s="87">
        <v>0</v>
      </c>
      <c r="K3" s="87">
        <v>0</v>
      </c>
      <c r="L3" s="87">
        <v>0</v>
      </c>
      <c r="M3" s="87">
        <v>0</v>
      </c>
      <c r="N3" s="87">
        <v>0</v>
      </c>
      <c r="O3" s="87">
        <v>0</v>
      </c>
    </row>
    <row r="4" spans="1:15" ht="15.75" customHeight="1" x14ac:dyDescent="0.35">
      <c r="B4" s="5" t="s">
        <v>186</v>
      </c>
      <c r="C4" s="87">
        <v>1</v>
      </c>
      <c r="D4" s="87">
        <v>1</v>
      </c>
      <c r="E4" s="87">
        <v>1</v>
      </c>
      <c r="F4" s="87">
        <v>1</v>
      </c>
      <c r="G4" s="87">
        <v>1</v>
      </c>
      <c r="H4" s="87">
        <v>0</v>
      </c>
      <c r="I4" s="87">
        <v>0</v>
      </c>
      <c r="J4" s="87">
        <v>0</v>
      </c>
      <c r="K4" s="87">
        <v>0</v>
      </c>
      <c r="L4" s="87">
        <v>0</v>
      </c>
      <c r="M4" s="87">
        <v>0</v>
      </c>
      <c r="N4" s="87">
        <v>0</v>
      </c>
      <c r="O4" s="87">
        <v>0</v>
      </c>
    </row>
    <row r="5" spans="1:15" ht="15.75" customHeight="1" x14ac:dyDescent="0.35">
      <c r="B5" s="5" t="s">
        <v>187</v>
      </c>
      <c r="C5" s="87">
        <v>1</v>
      </c>
      <c r="D5" s="87">
        <v>1</v>
      </c>
      <c r="E5" s="87">
        <v>1</v>
      </c>
      <c r="F5" s="87">
        <v>1</v>
      </c>
      <c r="G5" s="87">
        <v>1</v>
      </c>
      <c r="H5" s="87">
        <v>0</v>
      </c>
      <c r="I5" s="87">
        <v>0</v>
      </c>
      <c r="J5" s="87">
        <v>0</v>
      </c>
      <c r="K5" s="87">
        <v>0</v>
      </c>
      <c r="L5" s="87">
        <v>0</v>
      </c>
      <c r="M5" s="87">
        <v>0</v>
      </c>
      <c r="N5" s="87">
        <v>0</v>
      </c>
      <c r="O5" s="87">
        <v>0</v>
      </c>
    </row>
    <row r="6" spans="1:15" ht="15.75" customHeight="1" x14ac:dyDescent="0.35">
      <c r="B6" s="5" t="s">
        <v>188</v>
      </c>
      <c r="C6" s="87">
        <v>1</v>
      </c>
      <c r="D6" s="87">
        <v>1</v>
      </c>
      <c r="E6" s="87">
        <v>1</v>
      </c>
      <c r="F6" s="87">
        <v>1</v>
      </c>
      <c r="G6" s="87">
        <v>1</v>
      </c>
      <c r="H6" s="87">
        <v>0</v>
      </c>
      <c r="I6" s="87">
        <v>0</v>
      </c>
      <c r="J6" s="87">
        <v>0</v>
      </c>
      <c r="K6" s="87">
        <v>0</v>
      </c>
      <c r="L6" s="87">
        <v>0</v>
      </c>
      <c r="M6" s="87">
        <v>0</v>
      </c>
      <c r="N6" s="87">
        <v>0</v>
      </c>
      <c r="O6" s="87">
        <v>0</v>
      </c>
    </row>
    <row r="7" spans="1:15" ht="15.75" customHeight="1" x14ac:dyDescent="0.35">
      <c r="B7" s="5" t="s">
        <v>213</v>
      </c>
      <c r="C7" s="87">
        <v>1</v>
      </c>
      <c r="D7" s="87">
        <v>1</v>
      </c>
      <c r="E7" s="87">
        <v>0</v>
      </c>
      <c r="F7" s="87">
        <v>0</v>
      </c>
      <c r="G7" s="87">
        <v>0</v>
      </c>
      <c r="H7" s="87">
        <v>0</v>
      </c>
      <c r="I7" s="87">
        <v>0</v>
      </c>
      <c r="J7" s="87">
        <v>0</v>
      </c>
      <c r="K7" s="87">
        <v>0</v>
      </c>
      <c r="L7" s="87">
        <v>0</v>
      </c>
      <c r="M7" s="87">
        <v>0</v>
      </c>
      <c r="N7" s="87">
        <v>0</v>
      </c>
      <c r="O7" s="87">
        <v>0</v>
      </c>
    </row>
    <row r="8" spans="1:15" ht="15.75" customHeight="1" x14ac:dyDescent="0.35">
      <c r="B8" s="5" t="s">
        <v>214</v>
      </c>
      <c r="C8" s="87">
        <v>0</v>
      </c>
      <c r="D8" s="87">
        <v>0</v>
      </c>
      <c r="E8" s="87">
        <v>1</v>
      </c>
      <c r="F8" s="87">
        <v>1</v>
      </c>
      <c r="G8" s="87">
        <v>0</v>
      </c>
      <c r="H8" s="87">
        <v>0</v>
      </c>
      <c r="I8" s="87">
        <v>0</v>
      </c>
      <c r="J8" s="87">
        <v>0</v>
      </c>
      <c r="K8" s="87">
        <v>0</v>
      </c>
      <c r="L8" s="87">
        <v>0</v>
      </c>
      <c r="M8" s="87">
        <v>0</v>
      </c>
      <c r="N8" s="87">
        <v>0</v>
      </c>
      <c r="O8" s="87">
        <v>0</v>
      </c>
    </row>
    <row r="9" spans="1:15" ht="15.75" customHeight="1" x14ac:dyDescent="0.35">
      <c r="B9" s="5" t="s">
        <v>218</v>
      </c>
      <c r="C9" s="87">
        <v>0</v>
      </c>
      <c r="D9" s="87">
        <v>0</v>
      </c>
      <c r="E9" s="87">
        <v>1</v>
      </c>
      <c r="F9" s="87">
        <v>1</v>
      </c>
      <c r="G9" s="87">
        <v>1</v>
      </c>
      <c r="H9" s="87">
        <v>0</v>
      </c>
      <c r="I9" s="87">
        <v>0</v>
      </c>
      <c r="J9" s="87">
        <v>0</v>
      </c>
      <c r="K9" s="87">
        <v>0</v>
      </c>
      <c r="L9" s="87">
        <v>0</v>
      </c>
      <c r="M9" s="87">
        <v>0</v>
      </c>
      <c r="N9" s="87">
        <v>0</v>
      </c>
      <c r="O9" s="87">
        <v>0</v>
      </c>
    </row>
    <row r="10" spans="1:15" ht="15.75" customHeight="1" x14ac:dyDescent="0.35">
      <c r="B10" s="5" t="s">
        <v>220</v>
      </c>
      <c r="C10" s="87">
        <v>1</v>
      </c>
      <c r="D10" s="87">
        <v>1</v>
      </c>
      <c r="E10" s="87">
        <v>1</v>
      </c>
      <c r="F10" s="87">
        <v>1</v>
      </c>
      <c r="G10" s="87">
        <v>1</v>
      </c>
      <c r="H10" s="87">
        <v>0</v>
      </c>
      <c r="I10" s="87">
        <v>0</v>
      </c>
      <c r="J10" s="87">
        <v>0</v>
      </c>
      <c r="K10" s="87">
        <v>0</v>
      </c>
      <c r="L10" s="87">
        <v>0</v>
      </c>
      <c r="M10" s="87">
        <v>0</v>
      </c>
      <c r="N10" s="87">
        <v>0</v>
      </c>
      <c r="O10" s="87">
        <v>0</v>
      </c>
    </row>
    <row r="11" spans="1:15" ht="15.75" customHeight="1" x14ac:dyDescent="0.35">
      <c r="B11" s="5" t="s">
        <v>221</v>
      </c>
      <c r="C11" s="87">
        <v>0</v>
      </c>
      <c r="D11" s="87">
        <v>0</v>
      </c>
      <c r="E11" s="87">
        <v>1</v>
      </c>
      <c r="F11" s="87">
        <v>1</v>
      </c>
      <c r="G11" s="87">
        <v>0</v>
      </c>
      <c r="H11" s="87">
        <v>0</v>
      </c>
      <c r="I11" s="87">
        <v>0</v>
      </c>
      <c r="J11" s="87">
        <v>0</v>
      </c>
      <c r="K11" s="87">
        <v>0</v>
      </c>
      <c r="L11" s="87">
        <v>0</v>
      </c>
      <c r="M11" s="87">
        <v>0</v>
      </c>
      <c r="N11" s="87">
        <v>0</v>
      </c>
      <c r="O11" s="87">
        <v>0</v>
      </c>
    </row>
    <row r="12" spans="1:15" ht="15.75" customHeight="1" x14ac:dyDescent="0.35">
      <c r="B12" s="5" t="s">
        <v>234</v>
      </c>
      <c r="C12" s="87">
        <v>0</v>
      </c>
      <c r="D12" s="87">
        <v>0</v>
      </c>
      <c r="E12" s="87">
        <v>1</v>
      </c>
      <c r="F12" s="87">
        <v>1</v>
      </c>
      <c r="G12" s="87">
        <v>0</v>
      </c>
      <c r="H12" s="87">
        <v>0</v>
      </c>
      <c r="I12" s="87">
        <v>0</v>
      </c>
      <c r="J12" s="87">
        <v>0</v>
      </c>
      <c r="K12" s="87">
        <v>0</v>
      </c>
      <c r="L12" s="87">
        <v>0</v>
      </c>
      <c r="M12" s="87">
        <v>0</v>
      </c>
      <c r="N12" s="87">
        <v>0</v>
      </c>
      <c r="O12" s="87">
        <v>0</v>
      </c>
    </row>
    <row r="13" spans="1:15" ht="15.75" customHeight="1" x14ac:dyDescent="0.35">
      <c r="B13" s="5" t="s">
        <v>190</v>
      </c>
      <c r="C13" s="87">
        <v>0</v>
      </c>
      <c r="D13" s="87">
        <v>1</v>
      </c>
      <c r="E13" s="87">
        <v>1</v>
      </c>
      <c r="F13" s="87">
        <v>1</v>
      </c>
      <c r="G13" s="87">
        <v>1</v>
      </c>
      <c r="H13" s="87">
        <v>0</v>
      </c>
      <c r="I13" s="87">
        <v>0</v>
      </c>
      <c r="J13" s="87">
        <v>0</v>
      </c>
      <c r="K13" s="87">
        <v>0</v>
      </c>
      <c r="L13" s="87">
        <v>0</v>
      </c>
      <c r="M13" s="87">
        <v>0</v>
      </c>
      <c r="N13" s="87">
        <v>0</v>
      </c>
      <c r="O13" s="87">
        <v>0</v>
      </c>
    </row>
    <row r="14" spans="1:15" ht="15.75" customHeight="1" x14ac:dyDescent="0.35">
      <c r="B14" s="5" t="s">
        <v>222</v>
      </c>
      <c r="C14" s="87">
        <v>0</v>
      </c>
      <c r="D14" s="87">
        <v>0</v>
      </c>
      <c r="E14" s="87">
        <v>1</v>
      </c>
      <c r="F14" s="87">
        <v>1</v>
      </c>
      <c r="G14" s="87">
        <v>1</v>
      </c>
      <c r="H14" s="87">
        <v>0</v>
      </c>
      <c r="I14" s="87">
        <v>0</v>
      </c>
      <c r="J14" s="87">
        <v>0</v>
      </c>
      <c r="K14" s="87">
        <v>0</v>
      </c>
      <c r="L14" s="87">
        <v>0</v>
      </c>
      <c r="M14" s="87">
        <v>0</v>
      </c>
      <c r="N14" s="87">
        <v>0</v>
      </c>
      <c r="O14" s="87">
        <v>0</v>
      </c>
    </row>
    <row r="15" spans="1:15" ht="15.75" customHeight="1" x14ac:dyDescent="0.35">
      <c r="B15" s="5" t="s">
        <v>228</v>
      </c>
      <c r="C15" s="87">
        <v>1</v>
      </c>
      <c r="D15" s="87">
        <v>1</v>
      </c>
      <c r="E15" s="87">
        <v>1</v>
      </c>
      <c r="F15" s="87">
        <v>1</v>
      </c>
      <c r="G15" s="87">
        <v>1</v>
      </c>
      <c r="H15" s="87">
        <v>0</v>
      </c>
      <c r="I15" s="87">
        <v>0</v>
      </c>
      <c r="J15" s="87">
        <v>0</v>
      </c>
      <c r="K15" s="87">
        <v>0</v>
      </c>
      <c r="L15" s="87">
        <v>0</v>
      </c>
      <c r="M15" s="87">
        <v>0</v>
      </c>
      <c r="N15" s="87">
        <v>0</v>
      </c>
      <c r="O15" s="87">
        <v>0</v>
      </c>
    </row>
    <row r="16" spans="1:15" ht="15.75" customHeight="1" x14ac:dyDescent="0.35">
      <c r="B16" s="5" t="s">
        <v>229</v>
      </c>
      <c r="C16" s="87">
        <v>0</v>
      </c>
      <c r="D16" s="87">
        <v>0</v>
      </c>
      <c r="E16" s="87">
        <v>1</v>
      </c>
      <c r="F16" s="87">
        <v>1</v>
      </c>
      <c r="G16" s="87">
        <v>1</v>
      </c>
      <c r="H16" s="87">
        <v>0</v>
      </c>
      <c r="I16" s="87">
        <v>0</v>
      </c>
      <c r="J16" s="87">
        <v>0</v>
      </c>
      <c r="K16" s="87">
        <v>0</v>
      </c>
      <c r="L16" s="87">
        <v>0</v>
      </c>
      <c r="M16" s="87">
        <v>0</v>
      </c>
      <c r="N16" s="87">
        <v>0</v>
      </c>
      <c r="O16" s="87">
        <v>0</v>
      </c>
    </row>
    <row r="17" spans="1:16" ht="15.75" customHeight="1" x14ac:dyDescent="0.35">
      <c r="B17" s="5"/>
      <c r="C17" s="84"/>
      <c r="D17" s="84"/>
      <c r="E17" s="84"/>
      <c r="F17" s="84"/>
      <c r="G17" s="84"/>
      <c r="H17" s="84"/>
      <c r="I17" s="84"/>
      <c r="J17" s="84"/>
      <c r="K17" s="84"/>
      <c r="L17" s="84"/>
      <c r="M17" s="84"/>
      <c r="N17" s="84"/>
      <c r="O17" s="84"/>
    </row>
    <row r="18" spans="1:16" ht="15.75" customHeight="1" x14ac:dyDescent="0.35">
      <c r="A18" s="4" t="s">
        <v>118</v>
      </c>
      <c r="B18" s="5" t="s">
        <v>197</v>
      </c>
      <c r="C18" s="87">
        <v>0</v>
      </c>
      <c r="D18" s="87">
        <v>0</v>
      </c>
      <c r="E18" s="87">
        <v>0</v>
      </c>
      <c r="F18" s="87">
        <v>0</v>
      </c>
      <c r="G18" s="87">
        <v>0</v>
      </c>
      <c r="H18" s="87">
        <v>1</v>
      </c>
      <c r="I18" s="87">
        <v>1</v>
      </c>
      <c r="J18" s="87">
        <v>1</v>
      </c>
      <c r="K18" s="87">
        <v>1</v>
      </c>
      <c r="L18" s="87">
        <v>0</v>
      </c>
      <c r="M18" s="87">
        <v>0</v>
      </c>
      <c r="N18" s="87">
        <v>0</v>
      </c>
      <c r="O18" s="87">
        <v>0</v>
      </c>
    </row>
    <row r="19" spans="1:16" ht="15.75" customHeight="1" x14ac:dyDescent="0.35">
      <c r="A19" s="4"/>
      <c r="B19" s="5" t="s">
        <v>198</v>
      </c>
      <c r="C19" s="87">
        <v>0</v>
      </c>
      <c r="D19" s="87">
        <v>0</v>
      </c>
      <c r="E19" s="87">
        <v>0</v>
      </c>
      <c r="F19" s="87">
        <v>0</v>
      </c>
      <c r="G19" s="87">
        <v>0</v>
      </c>
      <c r="H19" s="87">
        <v>1</v>
      </c>
      <c r="I19" s="87">
        <v>1</v>
      </c>
      <c r="J19" s="87">
        <v>1</v>
      </c>
      <c r="K19" s="87">
        <v>1</v>
      </c>
      <c r="L19" s="87">
        <v>0</v>
      </c>
      <c r="M19" s="87">
        <v>0</v>
      </c>
      <c r="N19" s="87">
        <v>0</v>
      </c>
      <c r="O19" s="87">
        <v>0</v>
      </c>
    </row>
    <row r="20" spans="1:16" ht="15.75" customHeight="1" x14ac:dyDescent="0.35">
      <c r="B20" s="5" t="s">
        <v>209</v>
      </c>
      <c r="C20" s="87">
        <v>0</v>
      </c>
      <c r="D20" s="87">
        <v>0</v>
      </c>
      <c r="E20" s="87">
        <v>0</v>
      </c>
      <c r="F20" s="87">
        <v>0</v>
      </c>
      <c r="G20" s="87">
        <v>0</v>
      </c>
      <c r="H20" s="87">
        <v>1</v>
      </c>
      <c r="I20" s="87">
        <v>1</v>
      </c>
      <c r="J20" s="87">
        <v>1</v>
      </c>
      <c r="K20" s="87">
        <v>1</v>
      </c>
      <c r="L20" s="87">
        <v>0</v>
      </c>
      <c r="M20" s="87">
        <v>0</v>
      </c>
      <c r="N20" s="87">
        <v>0</v>
      </c>
      <c r="O20" s="87">
        <v>0</v>
      </c>
    </row>
    <row r="21" spans="1:16" ht="15.75" customHeight="1" x14ac:dyDescent="0.35">
      <c r="B21" s="5" t="s">
        <v>210</v>
      </c>
      <c r="C21" s="87">
        <v>0</v>
      </c>
      <c r="D21" s="87">
        <v>0</v>
      </c>
      <c r="E21" s="87">
        <v>0</v>
      </c>
      <c r="F21" s="87">
        <v>0</v>
      </c>
      <c r="G21" s="87">
        <v>0</v>
      </c>
      <c r="H21" s="87">
        <v>1</v>
      </c>
      <c r="I21" s="87">
        <v>1</v>
      </c>
      <c r="J21" s="87">
        <v>1</v>
      </c>
      <c r="K21" s="87">
        <v>1</v>
      </c>
      <c r="L21" s="87">
        <v>0</v>
      </c>
      <c r="M21" s="87">
        <v>0</v>
      </c>
      <c r="N21" s="87">
        <v>0</v>
      </c>
      <c r="O21" s="87">
        <v>0</v>
      </c>
    </row>
    <row r="22" spans="1:16" ht="15.75" customHeight="1" x14ac:dyDescent="0.35">
      <c r="B22" s="62" t="s">
        <v>211</v>
      </c>
      <c r="C22" s="87">
        <v>0</v>
      </c>
      <c r="D22" s="87">
        <v>0</v>
      </c>
      <c r="E22" s="87">
        <v>0</v>
      </c>
      <c r="F22" s="87">
        <v>0</v>
      </c>
      <c r="G22" s="87">
        <v>0</v>
      </c>
      <c r="H22" s="87">
        <v>1</v>
      </c>
      <c r="I22" s="87">
        <v>1</v>
      </c>
      <c r="J22" s="87">
        <v>1</v>
      </c>
      <c r="K22" s="87">
        <v>1</v>
      </c>
      <c r="L22" s="87">
        <v>0</v>
      </c>
      <c r="M22" s="87">
        <v>0</v>
      </c>
      <c r="N22" s="87">
        <v>0</v>
      </c>
      <c r="O22" s="87">
        <v>0</v>
      </c>
    </row>
    <row r="23" spans="1:16" ht="15.75" customHeight="1" x14ac:dyDescent="0.35">
      <c r="B23" s="5" t="s">
        <v>216</v>
      </c>
      <c r="C23" s="87">
        <v>0</v>
      </c>
      <c r="D23" s="87">
        <v>0</v>
      </c>
      <c r="E23" s="87">
        <v>0</v>
      </c>
      <c r="F23" s="87">
        <v>0</v>
      </c>
      <c r="G23" s="87">
        <v>0</v>
      </c>
      <c r="H23" s="87">
        <v>1</v>
      </c>
      <c r="I23" s="87">
        <v>1</v>
      </c>
      <c r="J23" s="87">
        <v>1</v>
      </c>
      <c r="K23" s="87">
        <v>1</v>
      </c>
      <c r="L23" s="87">
        <v>0</v>
      </c>
      <c r="M23" s="87">
        <v>0</v>
      </c>
      <c r="N23" s="87">
        <v>0</v>
      </c>
      <c r="O23" s="87">
        <v>0</v>
      </c>
    </row>
    <row r="24" spans="1:16" ht="15.75" customHeight="1" x14ac:dyDescent="0.35">
      <c r="B24" s="5" t="s">
        <v>217</v>
      </c>
      <c r="C24" s="87">
        <v>0</v>
      </c>
      <c r="D24" s="87">
        <v>0</v>
      </c>
      <c r="E24" s="87">
        <v>0</v>
      </c>
      <c r="F24" s="87">
        <v>0</v>
      </c>
      <c r="G24" s="87">
        <v>0</v>
      </c>
      <c r="H24" s="87">
        <v>1</v>
      </c>
      <c r="I24" s="87">
        <v>1</v>
      </c>
      <c r="J24" s="87">
        <v>1</v>
      </c>
      <c r="K24" s="87">
        <v>1</v>
      </c>
      <c r="L24" s="87">
        <v>0</v>
      </c>
      <c r="M24" s="87">
        <v>0</v>
      </c>
      <c r="N24" s="87">
        <v>0</v>
      </c>
      <c r="O24" s="87">
        <v>0</v>
      </c>
    </row>
    <row r="25" spans="1:16" ht="15.75" customHeight="1" x14ac:dyDescent="0.35">
      <c r="B25" s="5" t="s">
        <v>219</v>
      </c>
      <c r="C25" s="87">
        <v>0</v>
      </c>
      <c r="D25" s="87">
        <v>0</v>
      </c>
      <c r="E25" s="87">
        <v>0</v>
      </c>
      <c r="F25" s="87">
        <v>0</v>
      </c>
      <c r="G25" s="87">
        <v>0</v>
      </c>
      <c r="H25" s="87">
        <v>1</v>
      </c>
      <c r="I25" s="87">
        <v>1</v>
      </c>
      <c r="J25" s="87">
        <v>1</v>
      </c>
      <c r="K25" s="87">
        <v>1</v>
      </c>
      <c r="L25" s="87">
        <v>0</v>
      </c>
      <c r="M25" s="87">
        <v>0</v>
      </c>
      <c r="N25" s="87">
        <v>0</v>
      </c>
      <c r="O25" s="87">
        <v>0</v>
      </c>
    </row>
    <row r="26" spans="1:16" ht="15.75" customHeight="1" x14ac:dyDescent="0.35">
      <c r="B26" s="5"/>
      <c r="C26" s="84"/>
      <c r="D26" s="84"/>
      <c r="E26" s="84"/>
      <c r="F26" s="84"/>
      <c r="G26" s="84"/>
      <c r="H26" s="84"/>
      <c r="I26" s="84"/>
      <c r="J26" s="84"/>
      <c r="K26" s="84"/>
      <c r="L26" s="84"/>
      <c r="M26" s="84"/>
      <c r="N26" s="84"/>
      <c r="O26" s="84"/>
    </row>
    <row r="27" spans="1:16" ht="16.25" customHeight="1" x14ac:dyDescent="0.35">
      <c r="A27" s="4" t="s">
        <v>93</v>
      </c>
      <c r="B27" s="5" t="s">
        <v>201</v>
      </c>
      <c r="C27" s="87">
        <v>0</v>
      </c>
      <c r="D27" s="87">
        <v>0</v>
      </c>
      <c r="E27" s="87">
        <v>0</v>
      </c>
      <c r="F27" s="87">
        <v>0</v>
      </c>
      <c r="G27" s="87">
        <v>0</v>
      </c>
      <c r="H27" s="87">
        <v>0</v>
      </c>
      <c r="I27" s="87">
        <v>0</v>
      </c>
      <c r="J27" s="87">
        <v>0</v>
      </c>
      <c r="K27" s="87">
        <v>0</v>
      </c>
      <c r="L27" s="87">
        <v>1</v>
      </c>
      <c r="M27" s="87">
        <v>0</v>
      </c>
      <c r="N27" s="87">
        <v>0</v>
      </c>
      <c r="O27" s="87">
        <v>0</v>
      </c>
      <c r="P27" s="63"/>
    </row>
    <row r="28" spans="1:16" ht="15.75" customHeight="1" x14ac:dyDescent="0.35">
      <c r="B28" s="11" t="s">
        <v>205</v>
      </c>
      <c r="C28" s="87">
        <v>0</v>
      </c>
      <c r="D28" s="87">
        <v>0</v>
      </c>
      <c r="E28" s="87">
        <v>0</v>
      </c>
      <c r="F28" s="87">
        <v>0</v>
      </c>
      <c r="G28" s="87">
        <v>0</v>
      </c>
      <c r="H28" s="87">
        <v>0</v>
      </c>
      <c r="I28" s="87">
        <v>0</v>
      </c>
      <c r="J28" s="87">
        <v>0</v>
      </c>
      <c r="K28" s="87">
        <v>0</v>
      </c>
      <c r="L28" s="87">
        <v>1</v>
      </c>
      <c r="M28" s="87">
        <v>1</v>
      </c>
      <c r="N28" s="87">
        <v>1</v>
      </c>
      <c r="O28" s="87">
        <v>1</v>
      </c>
    </row>
    <row r="29" spans="1:16" ht="15.75" customHeight="1" x14ac:dyDescent="0.35">
      <c r="A29" s="4"/>
      <c r="B29" s="11" t="s">
        <v>206</v>
      </c>
      <c r="C29" s="87">
        <v>0</v>
      </c>
      <c r="D29" s="87">
        <v>0</v>
      </c>
      <c r="E29" s="87">
        <v>0</v>
      </c>
      <c r="F29" s="87">
        <v>0</v>
      </c>
      <c r="G29" s="87">
        <v>0</v>
      </c>
      <c r="H29" s="87">
        <v>0</v>
      </c>
      <c r="I29" s="87">
        <v>0</v>
      </c>
      <c r="J29" s="87">
        <v>0</v>
      </c>
      <c r="K29" s="87">
        <v>0</v>
      </c>
      <c r="L29" s="87">
        <v>1</v>
      </c>
      <c r="M29" s="87">
        <v>1</v>
      </c>
      <c r="N29" s="87">
        <v>1</v>
      </c>
      <c r="O29" s="87">
        <v>1</v>
      </c>
    </row>
    <row r="30" spans="1:16" ht="15.75" customHeight="1" x14ac:dyDescent="0.35">
      <c r="B30" s="11" t="s">
        <v>207</v>
      </c>
      <c r="C30" s="87">
        <v>0</v>
      </c>
      <c r="D30" s="87">
        <v>0</v>
      </c>
      <c r="E30" s="87">
        <v>0</v>
      </c>
      <c r="F30" s="87">
        <v>0</v>
      </c>
      <c r="G30" s="87">
        <v>0</v>
      </c>
      <c r="H30" s="87">
        <v>0</v>
      </c>
      <c r="I30" s="87">
        <v>0</v>
      </c>
      <c r="J30" s="87">
        <v>0</v>
      </c>
      <c r="K30" s="87">
        <v>0</v>
      </c>
      <c r="L30" s="87">
        <v>1</v>
      </c>
      <c r="M30" s="87">
        <v>1</v>
      </c>
      <c r="N30" s="87">
        <v>1</v>
      </c>
      <c r="O30" s="87">
        <v>1</v>
      </c>
    </row>
    <row r="31" spans="1:16" ht="15.75" customHeight="1" x14ac:dyDescent="0.35">
      <c r="B31" s="11" t="s">
        <v>208</v>
      </c>
      <c r="C31" s="87">
        <v>0</v>
      </c>
      <c r="D31" s="87">
        <v>0</v>
      </c>
      <c r="E31" s="87">
        <v>0</v>
      </c>
      <c r="F31" s="87">
        <v>0</v>
      </c>
      <c r="G31" s="87">
        <v>0</v>
      </c>
      <c r="H31" s="87">
        <v>0</v>
      </c>
      <c r="I31" s="87">
        <v>0</v>
      </c>
      <c r="J31" s="87">
        <v>0</v>
      </c>
      <c r="K31" s="87">
        <v>0</v>
      </c>
      <c r="L31" s="87">
        <v>1</v>
      </c>
      <c r="M31" s="87">
        <v>0</v>
      </c>
      <c r="N31" s="87">
        <v>0</v>
      </c>
      <c r="O31" s="87">
        <v>0</v>
      </c>
    </row>
    <row r="32" spans="1:16" ht="15.75" customHeight="1" x14ac:dyDescent="0.35">
      <c r="B32" s="5"/>
      <c r="C32" s="85"/>
      <c r="D32" s="85"/>
      <c r="E32" s="85"/>
      <c r="F32" s="85"/>
      <c r="G32" s="85"/>
      <c r="H32" s="85"/>
      <c r="I32" s="85"/>
      <c r="J32" s="84"/>
      <c r="K32" s="84"/>
      <c r="L32" s="84"/>
      <c r="M32" s="84"/>
      <c r="N32" s="84"/>
      <c r="O32" s="84"/>
    </row>
    <row r="33" spans="1:15" ht="15.75" customHeight="1" x14ac:dyDescent="0.35">
      <c r="A33" s="4" t="s">
        <v>239</v>
      </c>
      <c r="B33" s="5" t="s">
        <v>202</v>
      </c>
      <c r="C33" s="87">
        <v>1</v>
      </c>
      <c r="D33" s="87">
        <v>0</v>
      </c>
      <c r="E33" s="87">
        <v>1</v>
      </c>
      <c r="F33" s="87">
        <v>1</v>
      </c>
      <c r="G33" s="87">
        <v>1</v>
      </c>
      <c r="H33" s="87">
        <v>1</v>
      </c>
      <c r="I33" s="87">
        <v>1</v>
      </c>
      <c r="J33" s="87">
        <v>1</v>
      </c>
      <c r="K33" s="87">
        <v>1</v>
      </c>
      <c r="L33" s="87">
        <v>1</v>
      </c>
      <c r="M33" s="87">
        <v>1</v>
      </c>
      <c r="N33" s="87">
        <v>1</v>
      </c>
      <c r="O33" s="87">
        <v>1</v>
      </c>
    </row>
    <row r="34" spans="1:15" ht="15.75" customHeight="1" x14ac:dyDescent="0.35">
      <c r="B34" s="5" t="s">
        <v>203</v>
      </c>
      <c r="C34" s="87">
        <v>1</v>
      </c>
      <c r="D34" s="87">
        <v>0</v>
      </c>
      <c r="E34" s="87">
        <v>1</v>
      </c>
      <c r="F34" s="87">
        <v>1</v>
      </c>
      <c r="G34" s="87">
        <v>1</v>
      </c>
      <c r="H34" s="87">
        <v>1</v>
      </c>
      <c r="I34" s="87">
        <v>1</v>
      </c>
      <c r="J34" s="87">
        <v>1</v>
      </c>
      <c r="K34" s="87">
        <v>1</v>
      </c>
      <c r="L34" s="87">
        <v>1</v>
      </c>
      <c r="M34" s="87">
        <v>1</v>
      </c>
      <c r="N34" s="87">
        <v>1</v>
      </c>
      <c r="O34" s="87">
        <v>1</v>
      </c>
    </row>
    <row r="35" spans="1:15" ht="15.75" customHeight="1" x14ac:dyDescent="0.35">
      <c r="B35" s="5" t="s">
        <v>204</v>
      </c>
      <c r="C35" s="87">
        <v>1</v>
      </c>
      <c r="D35" s="87">
        <v>0</v>
      </c>
      <c r="E35" s="87">
        <v>1</v>
      </c>
      <c r="F35" s="87">
        <v>1</v>
      </c>
      <c r="G35" s="87">
        <v>1</v>
      </c>
      <c r="H35" s="87">
        <v>1</v>
      </c>
      <c r="I35" s="87">
        <v>1</v>
      </c>
      <c r="J35" s="87">
        <v>1</v>
      </c>
      <c r="K35" s="87">
        <v>1</v>
      </c>
      <c r="L35" s="87">
        <v>1</v>
      </c>
      <c r="M35" s="87">
        <v>1</v>
      </c>
      <c r="N35" s="87">
        <v>1</v>
      </c>
      <c r="O35" s="87">
        <v>1</v>
      </c>
    </row>
    <row r="36" spans="1:15" ht="15.75" customHeight="1" x14ac:dyDescent="0.35">
      <c r="B36" s="5" t="s">
        <v>212</v>
      </c>
      <c r="C36" s="87">
        <v>1</v>
      </c>
      <c r="D36" s="87">
        <v>0</v>
      </c>
      <c r="E36" s="87">
        <v>1</v>
      </c>
      <c r="F36" s="87">
        <v>1</v>
      </c>
      <c r="G36" s="87">
        <v>1</v>
      </c>
      <c r="H36" s="87">
        <v>1</v>
      </c>
      <c r="I36" s="87">
        <v>1</v>
      </c>
      <c r="J36" s="87">
        <v>1</v>
      </c>
      <c r="K36" s="87">
        <v>1</v>
      </c>
      <c r="L36" s="87">
        <v>1</v>
      </c>
      <c r="M36" s="87">
        <v>1</v>
      </c>
      <c r="N36" s="87">
        <v>1</v>
      </c>
      <c r="O36" s="87">
        <v>1</v>
      </c>
    </row>
    <row r="37" spans="1:15" ht="15.75" customHeight="1" x14ac:dyDescent="0.35">
      <c r="B37" s="5" t="s">
        <v>215</v>
      </c>
      <c r="C37" s="87">
        <v>1</v>
      </c>
      <c r="D37" s="87">
        <v>1</v>
      </c>
      <c r="E37" s="87">
        <v>1</v>
      </c>
      <c r="F37" s="87">
        <v>1</v>
      </c>
      <c r="G37" s="87">
        <v>1</v>
      </c>
      <c r="H37" s="87">
        <v>1</v>
      </c>
      <c r="I37" s="87">
        <v>1</v>
      </c>
      <c r="J37" s="87">
        <v>1</v>
      </c>
      <c r="K37" s="87">
        <v>1</v>
      </c>
      <c r="L37" s="87">
        <v>1</v>
      </c>
      <c r="M37" s="87">
        <v>1</v>
      </c>
      <c r="N37" s="87">
        <v>1</v>
      </c>
      <c r="O37" s="87">
        <v>1</v>
      </c>
    </row>
    <row r="38" spans="1:15" ht="15.75" customHeight="1" x14ac:dyDescent="0.35">
      <c r="B38" s="5" t="s">
        <v>223</v>
      </c>
      <c r="C38" s="87">
        <v>1</v>
      </c>
      <c r="D38" s="87">
        <v>1</v>
      </c>
      <c r="E38" s="87">
        <v>1</v>
      </c>
      <c r="F38" s="87">
        <v>1</v>
      </c>
      <c r="G38" s="87">
        <v>1</v>
      </c>
      <c r="H38" s="87">
        <v>1</v>
      </c>
      <c r="I38" s="87">
        <v>1</v>
      </c>
      <c r="J38" s="87">
        <v>1</v>
      </c>
      <c r="K38" s="87">
        <v>1</v>
      </c>
      <c r="L38" s="87">
        <v>1</v>
      </c>
      <c r="M38" s="87">
        <v>1</v>
      </c>
      <c r="N38" s="87">
        <v>1</v>
      </c>
      <c r="O38" s="87">
        <v>1</v>
      </c>
    </row>
    <row r="39" spans="1:15" ht="15.75" customHeight="1" x14ac:dyDescent="0.35">
      <c r="B39" s="5" t="s">
        <v>224</v>
      </c>
      <c r="C39" s="87">
        <v>1</v>
      </c>
      <c r="D39" s="87">
        <v>1</v>
      </c>
      <c r="E39" s="87">
        <v>1</v>
      </c>
      <c r="F39" s="87">
        <v>1</v>
      </c>
      <c r="G39" s="87">
        <v>1</v>
      </c>
      <c r="H39" s="87">
        <v>1</v>
      </c>
      <c r="I39" s="87">
        <v>1</v>
      </c>
      <c r="J39" s="87">
        <v>1</v>
      </c>
      <c r="K39" s="87">
        <v>1</v>
      </c>
      <c r="L39" s="87">
        <v>1</v>
      </c>
      <c r="M39" s="87">
        <v>1</v>
      </c>
      <c r="N39" s="87">
        <v>1</v>
      </c>
      <c r="O39" s="87">
        <v>1</v>
      </c>
    </row>
    <row r="40" spans="1:15" ht="15.75" customHeight="1" x14ac:dyDescent="0.35">
      <c r="B40" s="5" t="s">
        <v>225</v>
      </c>
      <c r="C40" s="87">
        <v>1</v>
      </c>
      <c r="D40" s="87">
        <v>1</v>
      </c>
      <c r="E40" s="87">
        <v>1</v>
      </c>
      <c r="F40" s="87">
        <v>1</v>
      </c>
      <c r="G40" s="87">
        <v>1</v>
      </c>
      <c r="H40" s="87">
        <v>1</v>
      </c>
      <c r="I40" s="87">
        <v>1</v>
      </c>
      <c r="J40" s="87">
        <v>1</v>
      </c>
      <c r="K40" s="87">
        <v>1</v>
      </c>
      <c r="L40" s="87">
        <v>1</v>
      </c>
      <c r="M40" s="87">
        <v>1</v>
      </c>
      <c r="N40" s="87">
        <v>1</v>
      </c>
      <c r="O40" s="87">
        <v>1</v>
      </c>
    </row>
    <row r="41" spans="1:15" ht="15.75" customHeight="1" x14ac:dyDescent="0.35">
      <c r="B41" s="5" t="s">
        <v>226</v>
      </c>
      <c r="C41" s="87">
        <v>1</v>
      </c>
      <c r="D41" s="87">
        <v>1</v>
      </c>
      <c r="E41" s="87">
        <v>1</v>
      </c>
      <c r="F41" s="87">
        <v>1</v>
      </c>
      <c r="G41" s="87">
        <v>1</v>
      </c>
      <c r="H41" s="87">
        <v>1</v>
      </c>
      <c r="I41" s="87">
        <v>1</v>
      </c>
      <c r="J41" s="87">
        <v>1</v>
      </c>
      <c r="K41" s="87">
        <v>1</v>
      </c>
      <c r="L41" s="87">
        <v>1</v>
      </c>
      <c r="M41" s="87">
        <v>1</v>
      </c>
      <c r="N41" s="87">
        <v>1</v>
      </c>
      <c r="O41" s="87">
        <v>1</v>
      </c>
    </row>
    <row r="42" spans="1:15" ht="15" customHeight="1" x14ac:dyDescent="0.35">
      <c r="B42" s="5" t="s">
        <v>227</v>
      </c>
      <c r="C42" s="87">
        <v>1</v>
      </c>
      <c r="D42" s="87">
        <v>1</v>
      </c>
      <c r="E42" s="87">
        <v>1</v>
      </c>
      <c r="F42" s="87">
        <v>1</v>
      </c>
      <c r="G42" s="87">
        <v>1</v>
      </c>
      <c r="H42" s="87">
        <v>1</v>
      </c>
      <c r="I42" s="87">
        <v>1</v>
      </c>
      <c r="J42" s="87">
        <v>1</v>
      </c>
      <c r="K42" s="87">
        <v>1</v>
      </c>
      <c r="L42" s="87">
        <v>1</v>
      </c>
      <c r="M42" s="87">
        <v>1</v>
      </c>
      <c r="N42" s="87">
        <v>1</v>
      </c>
      <c r="O42" s="87">
        <v>1</v>
      </c>
    </row>
  </sheetData>
  <sheetProtection algorithmName="SHA-512" hashValue="Zk8Oox5uObB4T22fe5CjMklgvplpkhUw+AzCAFJCSjsvOnL6600Z5j5IZXHBAJ+9ncu7qt+ZVLUVpOa/E25ciA==" saltValue="a38RitjsdVREn8+2ZJWBWQ==" spinCount="100000" sheet="1" objects="1" scenarios="1" selectLockedCells="1"/>
  <pageMargins left="0.7" right="0.7" top="0.75" bottom="0.75" header="0.3" footer="0.3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100-000000000000}">
  <sheetPr codeName="Sheet18">
    <tabColor theme="0" tint="-0.249977111117893"/>
  </sheetPr>
  <dimension ref="A1:L39"/>
  <sheetViews>
    <sheetView topLeftCell="A12" workbookViewId="0">
      <selection activeCell="D2" sqref="D2"/>
    </sheetView>
  </sheetViews>
  <sheetFormatPr defaultColWidth="12.7265625" defaultRowHeight="12.5" x14ac:dyDescent="0.25"/>
  <cols>
    <col min="1" max="1" width="58.81640625" style="104" bestFit="1" customWidth="1"/>
    <col min="2" max="2" width="8.7265625" style="104" bestFit="1" customWidth="1"/>
    <col min="3" max="3" width="8.81640625" style="104" bestFit="1" customWidth="1"/>
    <col min="4" max="4" width="18.26953125" style="104" bestFit="1" customWidth="1"/>
    <col min="5" max="5" width="17.453125" style="104" bestFit="1" customWidth="1"/>
    <col min="6" max="6" width="13.54296875" style="104" bestFit="1" customWidth="1"/>
    <col min="7" max="7" width="9.7265625" style="104" bestFit="1" customWidth="1"/>
    <col min="8" max="8" width="8.81640625" style="104" bestFit="1" customWidth="1"/>
    <col min="9" max="9" width="14.7265625" style="104" bestFit="1" customWidth="1"/>
    <col min="10" max="10" width="15.26953125" style="104" bestFit="1" customWidth="1"/>
    <col min="11" max="16384" width="12.7265625" style="104"/>
  </cols>
  <sheetData>
    <row r="1" spans="1:12" ht="13" x14ac:dyDescent="0.3">
      <c r="A1" s="103" t="s">
        <v>189</v>
      </c>
      <c r="B1" s="106" t="s">
        <v>256</v>
      </c>
      <c r="C1" s="106" t="s">
        <v>139</v>
      </c>
      <c r="D1" s="106" t="s">
        <v>257</v>
      </c>
      <c r="E1" s="106" t="s">
        <v>258</v>
      </c>
      <c r="F1" s="106" t="s">
        <v>146</v>
      </c>
      <c r="G1" s="106" t="s">
        <v>105</v>
      </c>
      <c r="H1" s="106" t="s">
        <v>61</v>
      </c>
      <c r="I1" s="106" t="s">
        <v>259</v>
      </c>
      <c r="J1" s="106" t="s">
        <v>54</v>
      </c>
      <c r="K1" s="106" t="s">
        <v>86</v>
      </c>
      <c r="L1" s="106" t="s">
        <v>260</v>
      </c>
    </row>
    <row r="2" spans="1:12" x14ac:dyDescent="0.25">
      <c r="A2" s="113" t="s">
        <v>197</v>
      </c>
      <c r="B2" s="114"/>
      <c r="C2" s="114"/>
      <c r="D2" s="114"/>
      <c r="E2" s="114"/>
      <c r="F2" s="114"/>
      <c r="G2" s="114"/>
      <c r="H2" s="114"/>
      <c r="I2" s="114" t="s">
        <v>4</v>
      </c>
      <c r="J2" s="114"/>
      <c r="K2" s="114"/>
      <c r="L2" s="114"/>
    </row>
    <row r="3" spans="1:12" x14ac:dyDescent="0.25">
      <c r="A3" s="113" t="s">
        <v>198</v>
      </c>
      <c r="B3" s="114"/>
      <c r="C3" s="114"/>
      <c r="D3" s="114"/>
      <c r="E3" s="114"/>
      <c r="F3" s="114"/>
      <c r="G3" s="114"/>
      <c r="H3" s="114" t="s">
        <v>4</v>
      </c>
      <c r="I3" s="114" t="s">
        <v>4</v>
      </c>
      <c r="J3" s="114"/>
      <c r="K3" s="114"/>
      <c r="L3" s="114"/>
    </row>
    <row r="4" spans="1:12" x14ac:dyDescent="0.25">
      <c r="A4" s="113" t="s">
        <v>199</v>
      </c>
      <c r="B4" s="114" t="s">
        <v>4</v>
      </c>
      <c r="C4" s="114"/>
      <c r="D4" s="114" t="s">
        <v>4</v>
      </c>
      <c r="E4" s="114"/>
      <c r="F4" s="114"/>
      <c r="G4" s="114"/>
      <c r="H4" s="114"/>
      <c r="I4" s="114"/>
      <c r="J4" s="114"/>
      <c r="K4" s="114"/>
      <c r="L4" s="114"/>
    </row>
    <row r="5" spans="1:12" x14ac:dyDescent="0.25">
      <c r="A5" s="113" t="s">
        <v>200</v>
      </c>
      <c r="B5" s="114"/>
      <c r="C5" s="114" t="s">
        <v>4</v>
      </c>
      <c r="D5" s="114"/>
      <c r="E5" s="114"/>
      <c r="F5" s="114"/>
      <c r="G5" s="114"/>
      <c r="H5" s="114"/>
      <c r="I5" s="114"/>
      <c r="J5" s="114"/>
      <c r="K5" s="114"/>
      <c r="L5" s="114"/>
    </row>
    <row r="6" spans="1:12" x14ac:dyDescent="0.25">
      <c r="A6" s="113" t="s">
        <v>201</v>
      </c>
      <c r="B6" s="114"/>
      <c r="C6" s="114"/>
      <c r="D6" s="114"/>
      <c r="E6" s="114"/>
      <c r="F6" s="114"/>
      <c r="G6" s="114"/>
      <c r="H6" s="114"/>
      <c r="I6" s="114"/>
      <c r="J6" s="114" t="s">
        <v>4</v>
      </c>
      <c r="K6" s="114" t="s">
        <v>4</v>
      </c>
      <c r="L6" s="114"/>
    </row>
    <row r="7" spans="1:12" x14ac:dyDescent="0.25">
      <c r="A7" s="113" t="s">
        <v>202</v>
      </c>
      <c r="B7" s="114"/>
      <c r="C7" s="114" t="s">
        <v>4</v>
      </c>
      <c r="D7" s="114"/>
      <c r="E7" s="114"/>
      <c r="F7" s="114"/>
      <c r="G7" s="114"/>
      <c r="H7" s="114" t="s">
        <v>4</v>
      </c>
      <c r="I7" s="114"/>
      <c r="J7" s="114"/>
      <c r="K7" s="114"/>
      <c r="L7" s="114"/>
    </row>
    <row r="8" spans="1:12" x14ac:dyDescent="0.25">
      <c r="A8" s="113" t="s">
        <v>203</v>
      </c>
      <c r="B8" s="114"/>
      <c r="C8" s="114" t="s">
        <v>4</v>
      </c>
      <c r="D8" s="114"/>
      <c r="E8" s="114"/>
      <c r="F8" s="114"/>
      <c r="G8" s="114"/>
      <c r="H8" s="114" t="s">
        <v>4</v>
      </c>
      <c r="I8" s="114"/>
      <c r="J8" s="114"/>
      <c r="K8" s="114"/>
      <c r="L8" s="114"/>
    </row>
    <row r="9" spans="1:12" x14ac:dyDescent="0.25">
      <c r="A9" s="113" t="s">
        <v>204</v>
      </c>
      <c r="B9" s="114"/>
      <c r="C9" s="114" t="s">
        <v>4</v>
      </c>
      <c r="D9" s="114"/>
      <c r="E9" s="114"/>
      <c r="F9" s="114"/>
      <c r="G9" s="114"/>
      <c r="H9" s="114" t="s">
        <v>4</v>
      </c>
      <c r="I9" s="114"/>
      <c r="J9" s="114"/>
      <c r="K9" s="114"/>
      <c r="L9" s="114"/>
    </row>
    <row r="10" spans="1:12" x14ac:dyDescent="0.25">
      <c r="A10" s="113" t="s">
        <v>205</v>
      </c>
      <c r="B10" s="114"/>
      <c r="C10" s="114" t="s">
        <v>4</v>
      </c>
      <c r="D10" s="114"/>
      <c r="E10" s="114"/>
      <c r="F10" s="114"/>
      <c r="G10" s="114"/>
      <c r="H10" s="114"/>
      <c r="I10" s="114"/>
      <c r="J10" s="114"/>
      <c r="K10" s="114"/>
      <c r="L10" s="114"/>
    </row>
    <row r="11" spans="1:12" x14ac:dyDescent="0.25">
      <c r="A11" s="113" t="s">
        <v>206</v>
      </c>
      <c r="B11" s="114"/>
      <c r="C11" s="114" t="s">
        <v>4</v>
      </c>
      <c r="D11" s="114"/>
      <c r="E11" s="114"/>
      <c r="F11" s="114"/>
      <c r="G11" s="114"/>
      <c r="H11" s="114"/>
      <c r="I11" s="114"/>
      <c r="J11" s="114"/>
      <c r="K11" s="114"/>
      <c r="L11" s="114"/>
    </row>
    <row r="12" spans="1:12" x14ac:dyDescent="0.25">
      <c r="A12" s="113" t="s">
        <v>207</v>
      </c>
      <c r="B12" s="114"/>
      <c r="C12" s="114" t="s">
        <v>4</v>
      </c>
      <c r="D12" s="114"/>
      <c r="E12" s="114"/>
      <c r="F12" s="114"/>
      <c r="G12" s="114"/>
      <c r="H12" s="114"/>
      <c r="I12" s="114"/>
      <c r="J12" s="114"/>
      <c r="K12" s="114"/>
      <c r="L12" s="114"/>
    </row>
    <row r="13" spans="1:12" x14ac:dyDescent="0.25">
      <c r="A13" s="113" t="s">
        <v>208</v>
      </c>
      <c r="B13" s="114"/>
      <c r="C13" s="114" t="s">
        <v>4</v>
      </c>
      <c r="D13" s="114"/>
      <c r="E13" s="114"/>
      <c r="F13" s="114"/>
      <c r="G13" s="114"/>
      <c r="H13" s="114"/>
      <c r="I13" s="114"/>
      <c r="J13" s="114"/>
      <c r="K13" s="114"/>
      <c r="L13" s="114"/>
    </row>
    <row r="14" spans="1:12" x14ac:dyDescent="0.25">
      <c r="A14" s="115" t="s">
        <v>209</v>
      </c>
      <c r="B14" s="114"/>
      <c r="C14" s="114" t="s">
        <v>4</v>
      </c>
      <c r="D14" s="114"/>
      <c r="E14" s="114"/>
      <c r="F14" s="114"/>
      <c r="G14" s="114"/>
      <c r="H14" s="114"/>
      <c r="I14" s="114" t="s">
        <v>4</v>
      </c>
      <c r="J14" s="114"/>
      <c r="K14" s="114"/>
      <c r="L14" s="114"/>
    </row>
    <row r="15" spans="1:12" x14ac:dyDescent="0.25">
      <c r="A15" s="115" t="s">
        <v>210</v>
      </c>
      <c r="B15" s="114"/>
      <c r="C15" s="114" t="s">
        <v>4</v>
      </c>
      <c r="D15" s="114"/>
      <c r="E15" s="114"/>
      <c r="F15" s="114"/>
      <c r="G15" s="114"/>
      <c r="H15" s="114"/>
      <c r="I15" s="114" t="s">
        <v>4</v>
      </c>
      <c r="J15" s="114"/>
      <c r="K15" s="114"/>
      <c r="L15" s="114"/>
    </row>
    <row r="16" spans="1:12" x14ac:dyDescent="0.25">
      <c r="A16" s="113" t="s">
        <v>211</v>
      </c>
      <c r="B16" s="114"/>
      <c r="C16" s="114" t="s">
        <v>4</v>
      </c>
      <c r="D16" s="114"/>
      <c r="E16" s="114"/>
      <c r="F16" s="114"/>
      <c r="G16" s="114"/>
      <c r="H16" s="114" t="s">
        <v>4</v>
      </c>
      <c r="I16" s="114" t="s">
        <v>4</v>
      </c>
      <c r="J16" s="114"/>
      <c r="K16" s="114"/>
      <c r="L16" s="114"/>
    </row>
    <row r="17" spans="1:12" x14ac:dyDescent="0.25">
      <c r="A17" s="113" t="s">
        <v>212</v>
      </c>
      <c r="B17" s="114"/>
      <c r="C17" s="114" t="s">
        <v>4</v>
      </c>
      <c r="D17" s="114"/>
      <c r="E17" s="114"/>
      <c r="F17" s="114"/>
      <c r="G17" s="114"/>
      <c r="H17" s="114"/>
      <c r="I17" s="114"/>
      <c r="J17" s="114"/>
      <c r="K17" s="114"/>
      <c r="L17" s="114"/>
    </row>
    <row r="18" spans="1:12" x14ac:dyDescent="0.25">
      <c r="A18" s="113" t="s">
        <v>186</v>
      </c>
      <c r="B18" s="114" t="s">
        <v>4</v>
      </c>
      <c r="C18" s="114"/>
      <c r="D18" s="114"/>
      <c r="E18" s="114"/>
      <c r="F18" s="114" t="s">
        <v>4</v>
      </c>
      <c r="G18" s="114"/>
      <c r="H18" s="114"/>
      <c r="I18" s="114"/>
      <c r="J18" s="114"/>
      <c r="K18" s="114"/>
      <c r="L18" s="114"/>
    </row>
    <row r="19" spans="1:12" x14ac:dyDescent="0.25">
      <c r="A19" s="113" t="s">
        <v>187</v>
      </c>
      <c r="B19" s="114" t="s">
        <v>4</v>
      </c>
      <c r="C19" s="114"/>
      <c r="D19" s="114"/>
      <c r="E19" s="114"/>
      <c r="F19" s="114" t="s">
        <v>4</v>
      </c>
      <c r="G19" s="114"/>
      <c r="H19" s="114"/>
      <c r="I19" s="114"/>
      <c r="J19" s="114"/>
      <c r="K19" s="114"/>
      <c r="L19" s="114"/>
    </row>
    <row r="20" spans="1:12" x14ac:dyDescent="0.25">
      <c r="A20" s="113" t="s">
        <v>188</v>
      </c>
      <c r="B20" s="114" t="s">
        <v>4</v>
      </c>
      <c r="C20" s="114"/>
      <c r="D20" s="114"/>
      <c r="E20" s="114"/>
      <c r="F20" s="114" t="s">
        <v>4</v>
      </c>
      <c r="G20" s="114"/>
      <c r="H20" s="114"/>
      <c r="I20" s="114"/>
      <c r="J20" s="114"/>
      <c r="K20" s="114"/>
      <c r="L20" s="114"/>
    </row>
    <row r="21" spans="1:12" x14ac:dyDescent="0.25">
      <c r="A21" s="113" t="s">
        <v>213</v>
      </c>
      <c r="B21" s="114"/>
      <c r="C21" s="114"/>
      <c r="D21" s="114"/>
      <c r="E21" s="114"/>
      <c r="F21" s="114"/>
      <c r="G21" s="114"/>
      <c r="H21" s="114" t="s">
        <v>4</v>
      </c>
      <c r="I21" s="114" t="s">
        <v>4</v>
      </c>
      <c r="J21" s="114"/>
      <c r="K21" s="114"/>
      <c r="L21" s="114"/>
    </row>
    <row r="22" spans="1:12" x14ac:dyDescent="0.25">
      <c r="A22" s="113" t="s">
        <v>214</v>
      </c>
      <c r="B22" s="114" t="s">
        <v>4</v>
      </c>
      <c r="C22" s="114" t="s">
        <v>4</v>
      </c>
      <c r="D22" s="114" t="s">
        <v>4</v>
      </c>
      <c r="E22" s="114"/>
      <c r="F22" s="114"/>
      <c r="G22" s="114"/>
      <c r="H22" s="114"/>
      <c r="I22" s="114"/>
      <c r="J22" s="114"/>
      <c r="K22" s="114"/>
      <c r="L22" s="114"/>
    </row>
    <row r="23" spans="1:12" x14ac:dyDescent="0.25">
      <c r="A23" s="113" t="s">
        <v>215</v>
      </c>
      <c r="B23" s="114"/>
      <c r="C23" s="114" t="s">
        <v>4</v>
      </c>
      <c r="D23" s="114"/>
      <c r="E23" s="114"/>
      <c r="F23" s="114"/>
      <c r="G23" s="114"/>
      <c r="H23" s="114"/>
      <c r="I23" s="114" t="s">
        <v>4</v>
      </c>
      <c r="J23" s="114"/>
      <c r="K23" s="114"/>
      <c r="L23" s="114"/>
    </row>
    <row r="24" spans="1:12" x14ac:dyDescent="0.25">
      <c r="A24" s="113" t="s">
        <v>216</v>
      </c>
      <c r="B24" s="114"/>
      <c r="C24" s="114"/>
      <c r="D24" s="114"/>
      <c r="E24" s="114"/>
      <c r="F24" s="114"/>
      <c r="G24" s="114"/>
      <c r="H24" s="114" t="s">
        <v>4</v>
      </c>
      <c r="I24" s="114"/>
      <c r="J24" s="114"/>
      <c r="K24" s="114"/>
      <c r="L24" s="114"/>
    </row>
    <row r="25" spans="1:12" x14ac:dyDescent="0.25">
      <c r="A25" s="113" t="s">
        <v>217</v>
      </c>
      <c r="B25" s="114"/>
      <c r="C25" s="114"/>
      <c r="D25" s="114"/>
      <c r="E25" s="114"/>
      <c r="F25" s="114"/>
      <c r="G25" s="114"/>
      <c r="H25" s="114" t="s">
        <v>4</v>
      </c>
      <c r="I25" s="114"/>
      <c r="J25" s="114"/>
      <c r="K25" s="114"/>
      <c r="L25" s="114"/>
    </row>
    <row r="26" spans="1:12" x14ac:dyDescent="0.25">
      <c r="A26" s="113" t="s">
        <v>218</v>
      </c>
      <c r="B26" s="114"/>
      <c r="C26" s="114" t="s">
        <v>4</v>
      </c>
      <c r="D26" s="114"/>
      <c r="E26" s="114"/>
      <c r="F26" s="114"/>
      <c r="G26" s="114"/>
      <c r="H26" s="114"/>
      <c r="I26" s="114"/>
      <c r="J26" s="114"/>
      <c r="K26" s="114"/>
      <c r="L26" s="114"/>
    </row>
    <row r="27" spans="1:12" x14ac:dyDescent="0.25">
      <c r="A27" s="113" t="s">
        <v>219</v>
      </c>
      <c r="B27" s="114"/>
      <c r="C27" s="114" t="s">
        <v>4</v>
      </c>
      <c r="D27" s="114"/>
      <c r="E27" s="114"/>
      <c r="F27" s="114"/>
      <c r="G27" s="114"/>
      <c r="H27" s="114"/>
      <c r="I27" s="114" t="s">
        <v>4</v>
      </c>
      <c r="J27" s="114"/>
      <c r="K27" s="114"/>
      <c r="L27" s="114" t="s">
        <v>4</v>
      </c>
    </row>
    <row r="28" spans="1:12" x14ac:dyDescent="0.25">
      <c r="A28" s="113" t="s">
        <v>220</v>
      </c>
      <c r="B28" s="114"/>
      <c r="C28" s="114"/>
      <c r="D28" s="114"/>
      <c r="E28" s="114"/>
      <c r="F28" s="114"/>
      <c r="G28" s="114"/>
      <c r="H28" s="114" t="s">
        <v>4</v>
      </c>
      <c r="I28" s="114"/>
      <c r="J28" s="114"/>
      <c r="K28" s="114"/>
      <c r="L28" s="114"/>
    </row>
    <row r="29" spans="1:12" x14ac:dyDescent="0.25">
      <c r="A29" s="113" t="s">
        <v>221</v>
      </c>
      <c r="B29" s="114" t="s">
        <v>4</v>
      </c>
      <c r="C29" s="114"/>
      <c r="D29" s="114" t="s">
        <v>4</v>
      </c>
      <c r="E29" s="114"/>
      <c r="F29" s="114"/>
      <c r="G29" s="114"/>
      <c r="H29" s="114"/>
      <c r="I29" s="114"/>
      <c r="J29" s="114"/>
      <c r="K29" s="114"/>
      <c r="L29" s="114"/>
    </row>
    <row r="30" spans="1:12" x14ac:dyDescent="0.25">
      <c r="A30" s="113" t="s">
        <v>234</v>
      </c>
      <c r="B30" s="114" t="s">
        <v>4</v>
      </c>
      <c r="C30" s="114" t="s">
        <v>4</v>
      </c>
      <c r="D30" s="114" t="s">
        <v>4</v>
      </c>
      <c r="E30" s="114"/>
      <c r="F30" s="114"/>
      <c r="G30" s="114"/>
      <c r="H30" s="114" t="s">
        <v>4</v>
      </c>
      <c r="I30" s="114"/>
      <c r="J30" s="114"/>
      <c r="K30" s="114"/>
      <c r="L30" s="114"/>
    </row>
    <row r="31" spans="1:12" x14ac:dyDescent="0.25">
      <c r="A31" s="113" t="s">
        <v>190</v>
      </c>
      <c r="B31" s="114"/>
      <c r="C31" s="114"/>
      <c r="D31" s="114"/>
      <c r="E31" s="114" t="s">
        <v>4</v>
      </c>
      <c r="F31" s="114"/>
      <c r="G31" s="114"/>
      <c r="H31" s="114"/>
      <c r="I31" s="114"/>
      <c r="J31" s="114"/>
      <c r="K31" s="114"/>
      <c r="L31" s="114"/>
    </row>
    <row r="32" spans="1:12" x14ac:dyDescent="0.25">
      <c r="A32" s="113" t="s">
        <v>222</v>
      </c>
      <c r="B32" s="114"/>
      <c r="C32" s="114"/>
      <c r="D32" s="114"/>
      <c r="E32" s="114"/>
      <c r="F32" s="114"/>
      <c r="G32" s="114" t="s">
        <v>4</v>
      </c>
      <c r="H32" s="114" t="s">
        <v>4</v>
      </c>
      <c r="I32" s="114"/>
      <c r="J32" s="114"/>
      <c r="K32" s="114"/>
      <c r="L32" s="114"/>
    </row>
    <row r="33" spans="1:12" x14ac:dyDescent="0.25">
      <c r="A33" s="113" t="s">
        <v>223</v>
      </c>
      <c r="B33" s="114"/>
      <c r="C33" s="114"/>
      <c r="D33" s="114"/>
      <c r="E33" s="114"/>
      <c r="F33" s="114"/>
      <c r="G33" s="114" t="s">
        <v>4</v>
      </c>
      <c r="H33" s="114" t="s">
        <v>4</v>
      </c>
      <c r="I33" s="114"/>
      <c r="J33" s="114"/>
      <c r="K33" s="114"/>
      <c r="L33" s="114"/>
    </row>
    <row r="34" spans="1:12" x14ac:dyDescent="0.25">
      <c r="A34" s="113" t="s">
        <v>224</v>
      </c>
      <c r="B34" s="114"/>
      <c r="C34" s="114"/>
      <c r="D34" s="114"/>
      <c r="E34" s="114"/>
      <c r="F34" s="114"/>
      <c r="G34" s="114" t="s">
        <v>4</v>
      </c>
      <c r="H34" s="114" t="s">
        <v>4</v>
      </c>
      <c r="I34" s="114"/>
      <c r="J34" s="114"/>
      <c r="K34" s="114"/>
      <c r="L34" s="114"/>
    </row>
    <row r="35" spans="1:12" x14ac:dyDescent="0.25">
      <c r="A35" s="113" t="s">
        <v>225</v>
      </c>
      <c r="B35" s="114"/>
      <c r="C35" s="114"/>
      <c r="D35" s="114"/>
      <c r="E35" s="114"/>
      <c r="F35" s="114"/>
      <c r="G35" s="114" t="s">
        <v>4</v>
      </c>
      <c r="H35" s="114" t="s">
        <v>4</v>
      </c>
      <c r="I35" s="114"/>
      <c r="J35" s="114"/>
      <c r="K35" s="114"/>
      <c r="L35" s="114"/>
    </row>
    <row r="36" spans="1:12" x14ac:dyDescent="0.25">
      <c r="A36" s="113" t="s">
        <v>226</v>
      </c>
      <c r="B36" s="114"/>
      <c r="C36" s="114"/>
      <c r="D36" s="114"/>
      <c r="E36" s="114"/>
      <c r="F36" s="114"/>
      <c r="G36" s="114" t="s">
        <v>4</v>
      </c>
      <c r="H36" s="114" t="s">
        <v>4</v>
      </c>
      <c r="I36" s="114"/>
      <c r="J36" s="114"/>
      <c r="K36" s="114"/>
      <c r="L36" s="114"/>
    </row>
    <row r="37" spans="1:12" x14ac:dyDescent="0.25">
      <c r="A37" s="113" t="s">
        <v>227</v>
      </c>
      <c r="B37" s="114"/>
      <c r="C37" s="114"/>
      <c r="D37" s="114"/>
      <c r="E37" s="114"/>
      <c r="F37" s="114"/>
      <c r="G37" s="114" t="s">
        <v>4</v>
      </c>
      <c r="H37" s="114" t="s">
        <v>4</v>
      </c>
      <c r="I37" s="114"/>
      <c r="J37" s="114"/>
      <c r="K37" s="114"/>
      <c r="L37" s="114"/>
    </row>
    <row r="38" spans="1:12" x14ac:dyDescent="0.25">
      <c r="A38" s="113" t="s">
        <v>228</v>
      </c>
      <c r="B38" s="114"/>
      <c r="C38" s="114"/>
      <c r="D38" s="114"/>
      <c r="E38" s="114"/>
      <c r="F38" s="114"/>
      <c r="G38" s="114"/>
      <c r="H38" s="114" t="s">
        <v>4</v>
      </c>
      <c r="I38" s="114"/>
      <c r="J38" s="114"/>
      <c r="K38" s="114"/>
      <c r="L38" s="114"/>
    </row>
    <row r="39" spans="1:12" x14ac:dyDescent="0.25">
      <c r="A39" s="113" t="s">
        <v>229</v>
      </c>
      <c r="B39" s="114" t="s">
        <v>4</v>
      </c>
      <c r="C39" s="114"/>
      <c r="D39" s="114"/>
      <c r="E39" s="114"/>
      <c r="F39" s="114"/>
      <c r="G39" s="114" t="s">
        <v>4</v>
      </c>
      <c r="H39" s="114" t="s">
        <v>4</v>
      </c>
      <c r="I39" s="114"/>
      <c r="J39" s="114"/>
      <c r="K39" s="114"/>
      <c r="L39" s="114"/>
    </row>
  </sheetData>
  <sheetProtection algorithmName="SHA-512" hashValue="dGG5HHhxnJ6FB3vupX21yFgyz0sJ0jA15waLg7+23yD89Q7Siecz3uzNYxuBLOubxYKOATehTm57Xe7IZ3g4iA==" saltValue="0Ur3PP9BmFsZ1L5qwcgrCg==" spinCount="100000" sheet="1" objects="1" scenarios="1" selectLockedCells="1"/>
  <pageMargins left="0.7" right="0.7" top="0.75" bottom="0.75" header="0.3" footer="0.3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200-000000000000}">
  <sheetPr codeName="Sheet19">
    <tabColor theme="0" tint="-0.249977111117893"/>
  </sheetPr>
  <dimension ref="A1:L14"/>
  <sheetViews>
    <sheetView workbookViewId="0">
      <selection activeCell="B2" sqref="B2"/>
    </sheetView>
  </sheetViews>
  <sheetFormatPr defaultColWidth="12.7265625" defaultRowHeight="12.5" x14ac:dyDescent="0.25"/>
  <cols>
    <col min="1" max="1" width="16.81640625" style="104" bestFit="1" customWidth="1"/>
    <col min="2" max="2" width="8.7265625" style="104" bestFit="1" customWidth="1"/>
    <col min="3" max="3" width="8.81640625" style="104" bestFit="1" customWidth="1"/>
    <col min="4" max="4" width="18.26953125" style="104" bestFit="1" customWidth="1"/>
    <col min="5" max="5" width="17.453125" style="104" bestFit="1" customWidth="1"/>
    <col min="6" max="6" width="13.54296875" style="104" bestFit="1" customWidth="1"/>
    <col min="7" max="7" width="9.7265625" style="104" bestFit="1" customWidth="1"/>
    <col min="8" max="8" width="8.81640625" style="104" bestFit="1" customWidth="1"/>
    <col min="9" max="9" width="14.7265625" style="104" bestFit="1" customWidth="1"/>
    <col min="10" max="10" width="15.26953125" style="104" bestFit="1" customWidth="1"/>
    <col min="11" max="16384" width="12.7265625" style="104"/>
  </cols>
  <sheetData>
    <row r="1" spans="1:12" ht="13" x14ac:dyDescent="0.3">
      <c r="A1" s="103" t="s">
        <v>261</v>
      </c>
      <c r="B1" s="106" t="s">
        <v>256</v>
      </c>
      <c r="C1" s="106" t="s">
        <v>139</v>
      </c>
      <c r="D1" s="106" t="s">
        <v>257</v>
      </c>
      <c r="E1" s="106" t="s">
        <v>258</v>
      </c>
      <c r="F1" s="106" t="s">
        <v>146</v>
      </c>
      <c r="G1" s="106" t="s">
        <v>105</v>
      </c>
      <c r="H1" s="106" t="s">
        <v>61</v>
      </c>
      <c r="I1" s="106" t="s">
        <v>259</v>
      </c>
      <c r="J1" s="106" t="s">
        <v>54</v>
      </c>
      <c r="K1" s="106" t="s">
        <v>86</v>
      </c>
      <c r="L1" s="106" t="s">
        <v>260</v>
      </c>
    </row>
    <row r="2" spans="1:12" x14ac:dyDescent="0.25">
      <c r="A2" s="106" t="s">
        <v>127</v>
      </c>
      <c r="B2" s="114" t="s">
        <v>4</v>
      </c>
      <c r="C2" s="114" t="s">
        <v>4</v>
      </c>
      <c r="D2" s="114" t="s">
        <v>4</v>
      </c>
      <c r="E2" s="114" t="s">
        <v>4</v>
      </c>
      <c r="F2" s="114" t="s">
        <v>4</v>
      </c>
      <c r="G2" s="114" t="s">
        <v>4</v>
      </c>
      <c r="H2" s="114" t="s">
        <v>4</v>
      </c>
      <c r="I2" s="114"/>
      <c r="J2" s="114"/>
      <c r="K2" s="114"/>
      <c r="L2" s="114"/>
    </row>
    <row r="3" spans="1:12" x14ac:dyDescent="0.25">
      <c r="A3" s="106" t="s">
        <v>114</v>
      </c>
      <c r="B3" s="114" t="s">
        <v>4</v>
      </c>
      <c r="C3" s="114" t="s">
        <v>4</v>
      </c>
      <c r="D3" s="114" t="s">
        <v>4</v>
      </c>
      <c r="E3" s="114" t="s">
        <v>4</v>
      </c>
      <c r="F3" s="114" t="s">
        <v>4</v>
      </c>
      <c r="G3" s="114" t="s">
        <v>4</v>
      </c>
      <c r="H3" s="114" t="s">
        <v>4</v>
      </c>
      <c r="I3" s="114"/>
      <c r="J3" s="114"/>
      <c r="K3" s="114"/>
      <c r="L3" s="114"/>
    </row>
    <row r="4" spans="1:12" x14ac:dyDescent="0.25">
      <c r="A4" s="106" t="s">
        <v>115</v>
      </c>
      <c r="B4" s="114" t="s">
        <v>4</v>
      </c>
      <c r="C4" s="114" t="s">
        <v>4</v>
      </c>
      <c r="D4" s="114" t="s">
        <v>4</v>
      </c>
      <c r="E4" s="114" t="s">
        <v>4</v>
      </c>
      <c r="F4" s="114" t="s">
        <v>4</v>
      </c>
      <c r="G4" s="114" t="s">
        <v>4</v>
      </c>
      <c r="H4" s="114" t="s">
        <v>4</v>
      </c>
      <c r="I4" s="114"/>
      <c r="J4" s="114"/>
      <c r="K4" s="114"/>
      <c r="L4" s="114"/>
    </row>
    <row r="5" spans="1:12" x14ac:dyDescent="0.25">
      <c r="A5" s="106" t="s">
        <v>116</v>
      </c>
      <c r="B5" s="114" t="s">
        <v>4</v>
      </c>
      <c r="C5" s="114" t="s">
        <v>4</v>
      </c>
      <c r="D5" s="114" t="s">
        <v>4</v>
      </c>
      <c r="E5" s="114" t="s">
        <v>4</v>
      </c>
      <c r="F5" s="114" t="s">
        <v>4</v>
      </c>
      <c r="G5" s="114" t="s">
        <v>4</v>
      </c>
      <c r="H5" s="114" t="s">
        <v>4</v>
      </c>
      <c r="I5" s="114"/>
      <c r="J5" s="114"/>
      <c r="K5" s="114"/>
      <c r="L5" s="114"/>
    </row>
    <row r="6" spans="1:12" x14ac:dyDescent="0.25">
      <c r="A6" s="106" t="s">
        <v>117</v>
      </c>
      <c r="B6" s="114" t="s">
        <v>4</v>
      </c>
      <c r="C6" s="114" t="s">
        <v>4</v>
      </c>
      <c r="D6" s="114" t="s">
        <v>4</v>
      </c>
      <c r="E6" s="114" t="s">
        <v>4</v>
      </c>
      <c r="F6" s="114" t="s">
        <v>4</v>
      </c>
      <c r="G6" s="114" t="s">
        <v>4</v>
      </c>
      <c r="H6" s="114" t="s">
        <v>4</v>
      </c>
      <c r="I6" s="114"/>
      <c r="J6" s="114"/>
      <c r="K6" s="114"/>
      <c r="L6" s="114"/>
    </row>
    <row r="7" spans="1:12" x14ac:dyDescent="0.25">
      <c r="A7" s="106" t="s">
        <v>140</v>
      </c>
      <c r="B7" s="114"/>
      <c r="C7" s="114" t="s">
        <v>4</v>
      </c>
      <c r="D7" s="114"/>
      <c r="E7" s="114"/>
      <c r="F7" s="114"/>
      <c r="G7" s="114"/>
      <c r="H7" s="114" t="s">
        <v>4</v>
      </c>
      <c r="I7" s="114" t="s">
        <v>4</v>
      </c>
      <c r="J7" s="114"/>
      <c r="K7" s="114"/>
      <c r="L7" s="114" t="s">
        <v>4</v>
      </c>
    </row>
    <row r="8" spans="1:12" x14ac:dyDescent="0.25">
      <c r="A8" s="106" t="s">
        <v>141</v>
      </c>
      <c r="B8" s="114"/>
      <c r="C8" s="114" t="s">
        <v>4</v>
      </c>
      <c r="D8" s="114"/>
      <c r="E8" s="114"/>
      <c r="F8" s="114"/>
      <c r="G8" s="114"/>
      <c r="H8" s="114" t="s">
        <v>4</v>
      </c>
      <c r="I8" s="114" t="s">
        <v>4</v>
      </c>
      <c r="J8" s="114"/>
      <c r="K8" s="114"/>
      <c r="L8" s="114" t="s">
        <v>4</v>
      </c>
    </row>
    <row r="9" spans="1:12" x14ac:dyDescent="0.25">
      <c r="A9" s="106" t="s">
        <v>142</v>
      </c>
      <c r="B9" s="114"/>
      <c r="C9" s="114" t="s">
        <v>4</v>
      </c>
      <c r="D9" s="114"/>
      <c r="E9" s="114"/>
      <c r="F9" s="114"/>
      <c r="G9" s="114"/>
      <c r="H9" s="114" t="s">
        <v>4</v>
      </c>
      <c r="I9" s="114" t="s">
        <v>4</v>
      </c>
      <c r="J9" s="114"/>
      <c r="K9" s="114"/>
      <c r="L9" s="114" t="s">
        <v>4</v>
      </c>
    </row>
    <row r="10" spans="1:12" x14ac:dyDescent="0.25">
      <c r="A10" s="106" t="s">
        <v>143</v>
      </c>
      <c r="B10" s="114"/>
      <c r="C10" s="114" t="s">
        <v>4</v>
      </c>
      <c r="D10" s="114"/>
      <c r="E10" s="114"/>
      <c r="F10" s="114"/>
      <c r="G10" s="114"/>
      <c r="H10" s="114" t="s">
        <v>4</v>
      </c>
      <c r="I10" s="114" t="s">
        <v>4</v>
      </c>
      <c r="J10" s="114"/>
      <c r="K10" s="114"/>
      <c r="L10" s="114" t="s">
        <v>4</v>
      </c>
    </row>
    <row r="11" spans="1:12" x14ac:dyDescent="0.25">
      <c r="A11" s="106" t="s">
        <v>87</v>
      </c>
      <c r="B11" s="114"/>
      <c r="C11" s="114" t="s">
        <v>4</v>
      </c>
      <c r="D11" s="114"/>
      <c r="E11" s="114"/>
      <c r="F11" s="114"/>
      <c r="G11" s="114"/>
      <c r="H11" s="114"/>
      <c r="I11" s="114"/>
      <c r="J11" s="114" t="s">
        <v>4</v>
      </c>
      <c r="K11" s="114" t="s">
        <v>4</v>
      </c>
      <c r="L11" s="114"/>
    </row>
    <row r="12" spans="1:12" x14ac:dyDescent="0.25">
      <c r="A12" s="106" t="s">
        <v>88</v>
      </c>
      <c r="B12" s="114"/>
      <c r="C12" s="114" t="s">
        <v>4</v>
      </c>
      <c r="D12" s="114"/>
      <c r="E12" s="114"/>
      <c r="F12" s="114"/>
      <c r="G12" s="114"/>
      <c r="H12" s="114"/>
      <c r="I12" s="114"/>
      <c r="J12" s="114"/>
      <c r="K12" s="114" t="s">
        <v>4</v>
      </c>
      <c r="L12" s="114"/>
    </row>
    <row r="13" spans="1:12" x14ac:dyDescent="0.25">
      <c r="A13" s="106" t="s">
        <v>89</v>
      </c>
      <c r="B13" s="114"/>
      <c r="C13" s="114" t="s">
        <v>4</v>
      </c>
      <c r="D13" s="114"/>
      <c r="E13" s="114"/>
      <c r="F13" s="114"/>
      <c r="G13" s="114"/>
      <c r="H13" s="114"/>
      <c r="I13" s="114"/>
      <c r="J13" s="114"/>
      <c r="K13" s="114" t="s">
        <v>4</v>
      </c>
      <c r="L13" s="114"/>
    </row>
    <row r="14" spans="1:12" x14ac:dyDescent="0.25">
      <c r="A14" s="106" t="s">
        <v>90</v>
      </c>
      <c r="B14" s="114"/>
      <c r="C14" s="114" t="s">
        <v>4</v>
      </c>
      <c r="D14" s="114"/>
      <c r="E14" s="114"/>
      <c r="F14" s="114"/>
      <c r="G14" s="114"/>
      <c r="H14" s="114"/>
      <c r="I14" s="114"/>
      <c r="J14" s="114"/>
      <c r="K14" s="114" t="s">
        <v>4</v>
      </c>
      <c r="L14" s="114"/>
    </row>
  </sheetData>
  <sheetProtection algorithmName="SHA-512" hashValue="Toq4sFs/t7lXOtkOqYgTVnQzrFW9BYM3WJTP0rnlhVubQpfs/ORgSXlC8h+UXzKEVK2z6f0TJwLg+35O2+Ox8g==" saltValue="ovku9bgviCeNIgWsbtWI7Q==" spinCount="100000" sheet="1" objects="1" scenarios="1" selectLockedCells="1"/>
  <pageMargins left="0.7" right="0.7" top="0.75" bottom="0.75" header="0.3" footer="0.3"/>
</worksheet>
</file>

<file path=xl/worksheets/sheet2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300-000000000000}">
  <sheetPr codeName="Sheet20">
    <tabColor theme="0" tint="-0.249977111117893"/>
  </sheetPr>
  <dimension ref="A1:J157"/>
  <sheetViews>
    <sheetView zoomScale="85" zoomScaleNormal="85" workbookViewId="0">
      <selection activeCell="H15" sqref="H15"/>
    </sheetView>
  </sheetViews>
  <sheetFormatPr defaultColWidth="12.6328125" defaultRowHeight="12.5" x14ac:dyDescent="0.25"/>
  <cols>
    <col min="1" max="1" width="48.08984375" style="8" customWidth="1"/>
    <col min="2" max="2" width="15" style="8" customWidth="1"/>
    <col min="3" max="3" width="14.6328125" style="8" customWidth="1"/>
    <col min="4" max="5" width="12.6328125" style="8" customWidth="1"/>
    <col min="6" max="16384" width="12.6328125" style="8"/>
  </cols>
  <sheetData>
    <row r="1" spans="1:10" ht="13" x14ac:dyDescent="0.3">
      <c r="A1" s="4" t="s">
        <v>262</v>
      </c>
      <c r="B1" s="4" t="s">
        <v>181</v>
      </c>
      <c r="C1" s="4" t="s">
        <v>193</v>
      </c>
      <c r="D1" s="4" t="s">
        <v>127</v>
      </c>
      <c r="E1" s="4" t="s">
        <v>114</v>
      </c>
      <c r="F1" s="4" t="s">
        <v>115</v>
      </c>
      <c r="G1" s="4" t="s">
        <v>116</v>
      </c>
      <c r="H1" s="4" t="s">
        <v>117</v>
      </c>
    </row>
    <row r="2" spans="1:10" ht="13" x14ac:dyDescent="0.3">
      <c r="A2" s="4" t="s">
        <v>263</v>
      </c>
      <c r="B2" s="126" t="s">
        <v>118</v>
      </c>
      <c r="C2" s="8" t="s">
        <v>182</v>
      </c>
      <c r="D2" s="88">
        <v>1</v>
      </c>
      <c r="E2" s="88">
        <v>1</v>
      </c>
      <c r="F2" s="88">
        <v>1</v>
      </c>
      <c r="G2" s="88">
        <v>1</v>
      </c>
      <c r="H2" s="88">
        <v>1</v>
      </c>
    </row>
    <row r="3" spans="1:10" x14ac:dyDescent="0.25">
      <c r="B3" s="127"/>
      <c r="C3" s="8" t="s">
        <v>183</v>
      </c>
      <c r="D3" s="88">
        <v>1</v>
      </c>
      <c r="E3" s="88">
        <v>1</v>
      </c>
      <c r="F3" s="88">
        <v>1</v>
      </c>
      <c r="G3" s="88">
        <v>1</v>
      </c>
      <c r="H3" s="88">
        <v>1</v>
      </c>
      <c r="J3" s="64"/>
    </row>
    <row r="4" spans="1:10" x14ac:dyDescent="0.25">
      <c r="B4" s="127"/>
      <c r="C4" s="8" t="s">
        <v>184</v>
      </c>
      <c r="D4" s="88">
        <v>1</v>
      </c>
      <c r="E4" s="88">
        <v>1</v>
      </c>
      <c r="F4" s="88">
        <v>1</v>
      </c>
      <c r="G4" s="88">
        <v>1</v>
      </c>
      <c r="H4" s="88">
        <v>1</v>
      </c>
      <c r="J4" s="64"/>
    </row>
    <row r="5" spans="1:10" x14ac:dyDescent="0.25">
      <c r="B5" s="126" t="s">
        <v>127</v>
      </c>
      <c r="C5" s="8" t="s">
        <v>182</v>
      </c>
      <c r="D5" s="88">
        <v>2.17</v>
      </c>
      <c r="E5" s="88">
        <v>1</v>
      </c>
      <c r="F5" s="88">
        <v>1</v>
      </c>
      <c r="G5" s="88">
        <v>1</v>
      </c>
      <c r="H5" s="88">
        <v>1</v>
      </c>
    </row>
    <row r="6" spans="1:10" x14ac:dyDescent="0.25">
      <c r="B6" s="127"/>
      <c r="C6" s="8" t="s">
        <v>183</v>
      </c>
      <c r="D6" s="88">
        <v>2.17</v>
      </c>
      <c r="E6" s="88">
        <v>1</v>
      </c>
      <c r="F6" s="88">
        <v>1</v>
      </c>
      <c r="G6" s="88">
        <v>1</v>
      </c>
      <c r="H6" s="88">
        <v>1</v>
      </c>
    </row>
    <row r="7" spans="1:10" x14ac:dyDescent="0.25">
      <c r="B7" s="127"/>
      <c r="C7" s="8" t="s">
        <v>184</v>
      </c>
      <c r="D7" s="88">
        <v>1</v>
      </c>
      <c r="E7" s="88">
        <v>1</v>
      </c>
      <c r="F7" s="88">
        <v>1</v>
      </c>
      <c r="G7" s="88">
        <v>1</v>
      </c>
      <c r="H7" s="88">
        <v>1</v>
      </c>
    </row>
    <row r="8" spans="1:10" x14ac:dyDescent="0.25">
      <c r="B8" s="126" t="s">
        <v>114</v>
      </c>
      <c r="C8" s="8" t="s">
        <v>182</v>
      </c>
      <c r="D8" s="88">
        <v>1</v>
      </c>
      <c r="E8" s="88">
        <v>2.48</v>
      </c>
      <c r="F8" s="88">
        <v>1</v>
      </c>
      <c r="G8" s="88">
        <v>1</v>
      </c>
      <c r="H8" s="88">
        <v>1</v>
      </c>
    </row>
    <row r="9" spans="1:10" x14ac:dyDescent="0.25">
      <c r="B9" s="127"/>
      <c r="C9" s="8" t="s">
        <v>183</v>
      </c>
      <c r="D9" s="88">
        <v>1</v>
      </c>
      <c r="E9" s="88">
        <v>2.48</v>
      </c>
      <c r="F9" s="88">
        <v>1</v>
      </c>
      <c r="G9" s="88">
        <v>1</v>
      </c>
      <c r="H9" s="88">
        <v>1</v>
      </c>
    </row>
    <row r="10" spans="1:10" x14ac:dyDescent="0.25">
      <c r="B10" s="127"/>
      <c r="C10" s="8" t="s">
        <v>184</v>
      </c>
      <c r="D10" s="88">
        <v>1</v>
      </c>
      <c r="E10" s="88">
        <v>1</v>
      </c>
      <c r="F10" s="88">
        <v>1</v>
      </c>
      <c r="G10" s="88">
        <v>1</v>
      </c>
      <c r="H10" s="88">
        <v>1</v>
      </c>
    </row>
    <row r="11" spans="1:10" x14ac:dyDescent="0.25">
      <c r="B11" s="126" t="s">
        <v>115</v>
      </c>
      <c r="C11" s="8" t="s">
        <v>182</v>
      </c>
      <c r="D11" s="88">
        <v>1</v>
      </c>
      <c r="E11" s="88">
        <v>1</v>
      </c>
      <c r="F11" s="88">
        <v>1.82</v>
      </c>
      <c r="G11" s="88">
        <v>1</v>
      </c>
      <c r="H11" s="88">
        <v>1</v>
      </c>
    </row>
    <row r="12" spans="1:10" x14ac:dyDescent="0.25">
      <c r="B12" s="127"/>
      <c r="C12" s="8" t="s">
        <v>183</v>
      </c>
      <c r="D12" s="88">
        <v>1</v>
      </c>
      <c r="E12" s="88">
        <v>1</v>
      </c>
      <c r="F12" s="88">
        <v>1.82</v>
      </c>
      <c r="G12" s="88">
        <v>1</v>
      </c>
      <c r="H12" s="88">
        <v>1</v>
      </c>
    </row>
    <row r="13" spans="1:10" x14ac:dyDescent="0.25">
      <c r="B13" s="127"/>
      <c r="C13" s="8" t="s">
        <v>184</v>
      </c>
      <c r="D13" s="88">
        <v>1</v>
      </c>
      <c r="E13" s="88">
        <v>1</v>
      </c>
      <c r="F13" s="88">
        <v>1</v>
      </c>
      <c r="G13" s="88">
        <v>1</v>
      </c>
      <c r="H13" s="88">
        <v>1</v>
      </c>
    </row>
    <row r="14" spans="1:10" x14ac:dyDescent="0.25">
      <c r="B14" s="126" t="s">
        <v>116</v>
      </c>
      <c r="C14" s="8" t="s">
        <v>182</v>
      </c>
      <c r="D14" s="88">
        <v>1</v>
      </c>
      <c r="E14" s="88">
        <v>1</v>
      </c>
      <c r="F14" s="88">
        <v>1</v>
      </c>
      <c r="G14" s="88">
        <v>1.82</v>
      </c>
      <c r="H14" s="88">
        <v>1</v>
      </c>
    </row>
    <row r="15" spans="1:10" x14ac:dyDescent="0.25">
      <c r="B15" s="127"/>
      <c r="C15" s="8" t="s">
        <v>183</v>
      </c>
      <c r="D15" s="88">
        <v>1</v>
      </c>
      <c r="E15" s="88">
        <v>1</v>
      </c>
      <c r="F15" s="88">
        <v>1</v>
      </c>
      <c r="G15" s="88">
        <v>1.82</v>
      </c>
      <c r="H15" s="88">
        <v>1</v>
      </c>
    </row>
    <row r="16" spans="1:10" x14ac:dyDescent="0.25">
      <c r="B16" s="127"/>
      <c r="C16" s="8" t="s">
        <v>184</v>
      </c>
      <c r="D16" s="88">
        <v>1</v>
      </c>
      <c r="E16" s="88">
        <v>1</v>
      </c>
      <c r="F16" s="88">
        <v>1</v>
      </c>
      <c r="G16" s="88">
        <v>1</v>
      </c>
      <c r="H16" s="88">
        <v>1</v>
      </c>
    </row>
    <row r="17" spans="1:8" ht="13" x14ac:dyDescent="0.25">
      <c r="B17" s="65" t="s">
        <v>185</v>
      </c>
      <c r="C17" s="8" t="s">
        <v>184</v>
      </c>
      <c r="D17" s="88">
        <v>1.05</v>
      </c>
      <c r="E17" s="88">
        <v>1.05</v>
      </c>
      <c r="F17" s="88">
        <v>1.05</v>
      </c>
      <c r="G17" s="88">
        <v>1.05</v>
      </c>
      <c r="H17" s="88">
        <v>1</v>
      </c>
    </row>
    <row r="18" spans="1:8" x14ac:dyDescent="0.25">
      <c r="D18" s="86"/>
      <c r="E18" s="86"/>
      <c r="F18" s="86"/>
      <c r="G18" s="86"/>
      <c r="H18" s="86"/>
    </row>
    <row r="19" spans="1:8" ht="13" x14ac:dyDescent="0.3">
      <c r="A19" s="4" t="s">
        <v>264</v>
      </c>
      <c r="B19" s="126" t="s">
        <v>118</v>
      </c>
      <c r="C19" s="8" t="s">
        <v>182</v>
      </c>
      <c r="D19" s="88">
        <v>1</v>
      </c>
      <c r="E19" s="88">
        <v>1</v>
      </c>
      <c r="F19" s="88">
        <v>1</v>
      </c>
      <c r="G19" s="88">
        <v>1</v>
      </c>
      <c r="H19" s="88">
        <v>1</v>
      </c>
    </row>
    <row r="20" spans="1:8" x14ac:dyDescent="0.25">
      <c r="B20" s="127"/>
      <c r="C20" s="8" t="s">
        <v>183</v>
      </c>
      <c r="D20" s="88">
        <v>1</v>
      </c>
      <c r="E20" s="88">
        <v>1</v>
      </c>
      <c r="F20" s="88">
        <v>1</v>
      </c>
      <c r="G20" s="88">
        <v>1</v>
      </c>
      <c r="H20" s="88">
        <v>1</v>
      </c>
    </row>
    <row r="21" spans="1:8" x14ac:dyDescent="0.25">
      <c r="B21" s="127"/>
      <c r="C21" s="8" t="s">
        <v>184</v>
      </c>
      <c r="D21" s="88">
        <v>1</v>
      </c>
      <c r="E21" s="88">
        <v>1</v>
      </c>
      <c r="F21" s="88">
        <v>1</v>
      </c>
      <c r="G21" s="88">
        <v>1</v>
      </c>
      <c r="H21" s="88">
        <v>1</v>
      </c>
    </row>
    <row r="22" spans="1:8" x14ac:dyDescent="0.25">
      <c r="B22" s="126" t="s">
        <v>127</v>
      </c>
      <c r="C22" s="8" t="s">
        <v>182</v>
      </c>
      <c r="D22" s="88">
        <v>1</v>
      </c>
      <c r="E22" s="88">
        <v>1</v>
      </c>
      <c r="F22" s="88">
        <v>1</v>
      </c>
      <c r="G22" s="88">
        <v>1</v>
      </c>
      <c r="H22" s="88">
        <v>1</v>
      </c>
    </row>
    <row r="23" spans="1:8" x14ac:dyDescent="0.25">
      <c r="B23" s="127"/>
      <c r="C23" s="8" t="s">
        <v>183</v>
      </c>
      <c r="D23" s="88">
        <v>1</v>
      </c>
      <c r="E23" s="88">
        <v>1</v>
      </c>
      <c r="F23" s="88">
        <v>1</v>
      </c>
      <c r="G23" s="88">
        <v>1</v>
      </c>
      <c r="H23" s="88">
        <v>1</v>
      </c>
    </row>
    <row r="24" spans="1:8" x14ac:dyDescent="0.25">
      <c r="B24" s="127"/>
      <c r="C24" s="8" t="s">
        <v>184</v>
      </c>
      <c r="D24" s="88">
        <v>1</v>
      </c>
      <c r="E24" s="88">
        <v>1</v>
      </c>
      <c r="F24" s="88">
        <v>1</v>
      </c>
      <c r="G24" s="88">
        <v>1</v>
      </c>
      <c r="H24" s="88">
        <v>1</v>
      </c>
    </row>
    <row r="25" spans="1:8" x14ac:dyDescent="0.25">
      <c r="B25" s="126" t="s">
        <v>114</v>
      </c>
      <c r="C25" s="8" t="s">
        <v>182</v>
      </c>
      <c r="D25" s="88">
        <v>1</v>
      </c>
      <c r="E25" s="88">
        <v>1</v>
      </c>
      <c r="F25" s="88">
        <v>1</v>
      </c>
      <c r="G25" s="88">
        <v>1</v>
      </c>
      <c r="H25" s="88">
        <v>1</v>
      </c>
    </row>
    <row r="26" spans="1:8" x14ac:dyDescent="0.25">
      <c r="B26" s="127"/>
      <c r="C26" s="8" t="s">
        <v>183</v>
      </c>
      <c r="D26" s="88">
        <v>1</v>
      </c>
      <c r="E26" s="88">
        <v>1</v>
      </c>
      <c r="F26" s="88">
        <v>1</v>
      </c>
      <c r="G26" s="88">
        <v>1</v>
      </c>
      <c r="H26" s="88">
        <v>1</v>
      </c>
    </row>
    <row r="27" spans="1:8" x14ac:dyDescent="0.25">
      <c r="B27" s="127"/>
      <c r="C27" s="8" t="s">
        <v>184</v>
      </c>
      <c r="D27" s="88">
        <v>1</v>
      </c>
      <c r="E27" s="88">
        <v>1</v>
      </c>
      <c r="F27" s="88">
        <v>1</v>
      </c>
      <c r="G27" s="88">
        <v>1</v>
      </c>
      <c r="H27" s="88">
        <v>1</v>
      </c>
    </row>
    <row r="28" spans="1:8" x14ac:dyDescent="0.25">
      <c r="B28" s="126" t="s">
        <v>115</v>
      </c>
      <c r="C28" s="8" t="s">
        <v>182</v>
      </c>
      <c r="D28" s="88">
        <v>1</v>
      </c>
      <c r="E28" s="88">
        <v>1</v>
      </c>
      <c r="F28" s="88">
        <v>1</v>
      </c>
      <c r="G28" s="88">
        <v>1</v>
      </c>
      <c r="H28" s="88">
        <v>1</v>
      </c>
    </row>
    <row r="29" spans="1:8" x14ac:dyDescent="0.25">
      <c r="B29" s="127"/>
      <c r="C29" s="8" t="s">
        <v>183</v>
      </c>
      <c r="D29" s="88">
        <v>1</v>
      </c>
      <c r="E29" s="88">
        <v>1</v>
      </c>
      <c r="F29" s="88">
        <v>1</v>
      </c>
      <c r="G29" s="88">
        <v>1</v>
      </c>
      <c r="H29" s="88">
        <v>1</v>
      </c>
    </row>
    <row r="30" spans="1:8" x14ac:dyDescent="0.25">
      <c r="B30" s="127"/>
      <c r="C30" s="8" t="s">
        <v>184</v>
      </c>
      <c r="D30" s="88">
        <v>1</v>
      </c>
      <c r="E30" s="88">
        <v>1</v>
      </c>
      <c r="F30" s="88">
        <v>1</v>
      </c>
      <c r="G30" s="88">
        <v>1</v>
      </c>
      <c r="H30" s="88">
        <v>1</v>
      </c>
    </row>
    <row r="31" spans="1:8" x14ac:dyDescent="0.25">
      <c r="B31" s="126" t="s">
        <v>116</v>
      </c>
      <c r="C31" s="8" t="s">
        <v>182</v>
      </c>
      <c r="D31" s="88">
        <v>1</v>
      </c>
      <c r="E31" s="88">
        <v>1</v>
      </c>
      <c r="F31" s="88">
        <v>1</v>
      </c>
      <c r="G31" s="88">
        <v>1</v>
      </c>
      <c r="H31" s="88">
        <v>1</v>
      </c>
    </row>
    <row r="32" spans="1:8" x14ac:dyDescent="0.25">
      <c r="B32" s="127"/>
      <c r="C32" s="8" t="s">
        <v>183</v>
      </c>
      <c r="D32" s="88">
        <v>1</v>
      </c>
      <c r="E32" s="88">
        <v>1</v>
      </c>
      <c r="F32" s="88">
        <v>1</v>
      </c>
      <c r="G32" s="88">
        <v>1</v>
      </c>
      <c r="H32" s="88">
        <v>1</v>
      </c>
    </row>
    <row r="33" spans="1:8" x14ac:dyDescent="0.25">
      <c r="B33" s="127"/>
      <c r="C33" s="8" t="s">
        <v>184</v>
      </c>
      <c r="D33" s="88">
        <v>1</v>
      </c>
      <c r="E33" s="88">
        <v>1</v>
      </c>
      <c r="F33" s="88">
        <v>1</v>
      </c>
      <c r="G33" s="88">
        <v>1</v>
      </c>
      <c r="H33" s="88">
        <v>1</v>
      </c>
    </row>
    <row r="34" spans="1:8" ht="13" x14ac:dyDescent="0.25">
      <c r="B34" s="65" t="s">
        <v>185</v>
      </c>
      <c r="C34" s="8" t="s">
        <v>184</v>
      </c>
      <c r="D34" s="88">
        <v>1</v>
      </c>
      <c r="E34" s="88">
        <v>1</v>
      </c>
      <c r="F34" s="88">
        <v>1</v>
      </c>
      <c r="G34" s="88">
        <v>1</v>
      </c>
      <c r="H34" s="88">
        <v>1</v>
      </c>
    </row>
    <row r="35" spans="1:8" x14ac:dyDescent="0.25">
      <c r="D35" s="86"/>
      <c r="E35" s="86"/>
      <c r="F35" s="86"/>
      <c r="G35" s="86"/>
      <c r="H35" s="86"/>
    </row>
    <row r="36" spans="1:8" ht="13" x14ac:dyDescent="0.3">
      <c r="A36" s="66" t="s">
        <v>265</v>
      </c>
      <c r="B36" s="126" t="s">
        <v>118</v>
      </c>
      <c r="C36" s="8" t="s">
        <v>182</v>
      </c>
      <c r="D36" s="88">
        <v>1</v>
      </c>
      <c r="E36" s="88">
        <v>1</v>
      </c>
      <c r="F36" s="88">
        <v>1</v>
      </c>
      <c r="G36" s="88">
        <v>1</v>
      </c>
      <c r="H36" s="88">
        <v>1</v>
      </c>
    </row>
    <row r="37" spans="1:8" x14ac:dyDescent="0.25">
      <c r="B37" s="127"/>
      <c r="C37" s="8" t="s">
        <v>183</v>
      </c>
      <c r="D37" s="88">
        <v>1</v>
      </c>
      <c r="E37" s="88">
        <v>1</v>
      </c>
      <c r="F37" s="88">
        <v>1</v>
      </c>
      <c r="G37" s="88">
        <v>1</v>
      </c>
      <c r="H37" s="88">
        <v>1</v>
      </c>
    </row>
    <row r="38" spans="1:8" x14ac:dyDescent="0.25">
      <c r="B38" s="127"/>
      <c r="C38" s="8" t="s">
        <v>184</v>
      </c>
      <c r="D38" s="88">
        <v>1</v>
      </c>
      <c r="E38" s="88">
        <v>1</v>
      </c>
      <c r="F38" s="88">
        <v>1</v>
      </c>
      <c r="G38" s="88">
        <v>1</v>
      </c>
      <c r="H38" s="88">
        <v>1</v>
      </c>
    </row>
    <row r="39" spans="1:8" x14ac:dyDescent="0.25">
      <c r="B39" s="126" t="s">
        <v>127</v>
      </c>
      <c r="C39" s="8" t="s">
        <v>182</v>
      </c>
      <c r="D39" s="88">
        <v>1</v>
      </c>
      <c r="E39" s="88">
        <v>1</v>
      </c>
      <c r="F39" s="88">
        <v>1</v>
      </c>
      <c r="G39" s="88">
        <v>1</v>
      </c>
      <c r="H39" s="88">
        <v>1</v>
      </c>
    </row>
    <row r="40" spans="1:8" x14ac:dyDescent="0.25">
      <c r="B40" s="127"/>
      <c r="C40" s="8" t="s">
        <v>183</v>
      </c>
      <c r="D40" s="88">
        <v>1</v>
      </c>
      <c r="E40" s="88">
        <v>1</v>
      </c>
      <c r="F40" s="88">
        <v>1</v>
      </c>
      <c r="G40" s="88">
        <v>1</v>
      </c>
      <c r="H40" s="88">
        <v>1</v>
      </c>
    </row>
    <row r="41" spans="1:8" x14ac:dyDescent="0.25">
      <c r="B41" s="127"/>
      <c r="C41" s="8" t="s">
        <v>184</v>
      </c>
      <c r="D41" s="88">
        <v>1</v>
      </c>
      <c r="E41" s="88">
        <v>1</v>
      </c>
      <c r="F41" s="88">
        <v>1</v>
      </c>
      <c r="G41" s="88">
        <v>1</v>
      </c>
      <c r="H41" s="88">
        <v>1</v>
      </c>
    </row>
    <row r="42" spans="1:8" x14ac:dyDescent="0.25">
      <c r="B42" s="126" t="s">
        <v>114</v>
      </c>
      <c r="C42" s="8" t="s">
        <v>182</v>
      </c>
      <c r="D42" s="88">
        <v>1</v>
      </c>
      <c r="E42" s="88">
        <v>1</v>
      </c>
      <c r="F42" s="88">
        <v>1</v>
      </c>
      <c r="G42" s="88">
        <v>1</v>
      </c>
      <c r="H42" s="88">
        <v>1</v>
      </c>
    </row>
    <row r="43" spans="1:8" x14ac:dyDescent="0.25">
      <c r="B43" s="127"/>
      <c r="C43" s="8" t="s">
        <v>183</v>
      </c>
      <c r="D43" s="88">
        <v>1</v>
      </c>
      <c r="E43" s="88">
        <v>1</v>
      </c>
      <c r="F43" s="88">
        <v>1</v>
      </c>
      <c r="G43" s="88">
        <v>1</v>
      </c>
      <c r="H43" s="88">
        <v>1</v>
      </c>
    </row>
    <row r="44" spans="1:8" x14ac:dyDescent="0.25">
      <c r="B44" s="127"/>
      <c r="C44" s="8" t="s">
        <v>184</v>
      </c>
      <c r="D44" s="88">
        <v>1</v>
      </c>
      <c r="E44" s="88">
        <v>1</v>
      </c>
      <c r="F44" s="88">
        <v>1</v>
      </c>
      <c r="G44" s="88">
        <v>1</v>
      </c>
      <c r="H44" s="88">
        <v>1</v>
      </c>
    </row>
    <row r="45" spans="1:8" x14ac:dyDescent="0.25">
      <c r="B45" s="126" t="s">
        <v>115</v>
      </c>
      <c r="C45" s="8" t="s">
        <v>182</v>
      </c>
      <c r="D45" s="88">
        <v>1</v>
      </c>
      <c r="E45" s="88">
        <v>1</v>
      </c>
      <c r="F45" s="88">
        <v>1</v>
      </c>
      <c r="G45" s="88">
        <v>1</v>
      </c>
      <c r="H45" s="88">
        <v>1</v>
      </c>
    </row>
    <row r="46" spans="1:8" x14ac:dyDescent="0.25">
      <c r="B46" s="127"/>
      <c r="C46" s="8" t="s">
        <v>183</v>
      </c>
      <c r="D46" s="88">
        <v>1</v>
      </c>
      <c r="E46" s="88">
        <v>1</v>
      </c>
      <c r="F46" s="88">
        <v>1</v>
      </c>
      <c r="G46" s="88">
        <v>1</v>
      </c>
      <c r="H46" s="88">
        <v>1</v>
      </c>
    </row>
    <row r="47" spans="1:8" x14ac:dyDescent="0.25">
      <c r="B47" s="127"/>
      <c r="C47" s="8" t="s">
        <v>184</v>
      </c>
      <c r="D47" s="88">
        <v>1</v>
      </c>
      <c r="E47" s="88">
        <v>1</v>
      </c>
      <c r="F47" s="88">
        <v>1</v>
      </c>
      <c r="G47" s="88">
        <v>1</v>
      </c>
      <c r="H47" s="88">
        <v>1</v>
      </c>
    </row>
    <row r="48" spans="1:8" x14ac:dyDescent="0.25">
      <c r="B48" s="126" t="s">
        <v>116</v>
      </c>
      <c r="C48" s="8" t="s">
        <v>182</v>
      </c>
      <c r="D48" s="88">
        <v>1</v>
      </c>
      <c r="E48" s="88">
        <v>1</v>
      </c>
      <c r="F48" s="88">
        <v>1</v>
      </c>
      <c r="G48" s="88">
        <v>1</v>
      </c>
      <c r="H48" s="88">
        <v>1</v>
      </c>
    </row>
    <row r="49" spans="1:8" x14ac:dyDescent="0.25">
      <c r="B49" s="127"/>
      <c r="C49" s="8" t="s">
        <v>183</v>
      </c>
      <c r="D49" s="88">
        <v>1</v>
      </c>
      <c r="E49" s="88">
        <v>1</v>
      </c>
      <c r="F49" s="88">
        <v>1</v>
      </c>
      <c r="G49" s="88">
        <v>1</v>
      </c>
      <c r="H49" s="88">
        <v>1</v>
      </c>
    </row>
    <row r="50" spans="1:8" x14ac:dyDescent="0.25">
      <c r="B50" s="127"/>
      <c r="C50" s="8" t="s">
        <v>184</v>
      </c>
      <c r="D50" s="88">
        <v>1</v>
      </c>
      <c r="E50" s="88">
        <v>1</v>
      </c>
      <c r="F50" s="88">
        <v>1</v>
      </c>
      <c r="G50" s="88">
        <v>1</v>
      </c>
      <c r="H50" s="88">
        <v>1</v>
      </c>
    </row>
    <row r="51" spans="1:8" ht="13" x14ac:dyDescent="0.25">
      <c r="B51" s="65" t="s">
        <v>185</v>
      </c>
      <c r="C51" s="8" t="s">
        <v>184</v>
      </c>
      <c r="D51" s="88">
        <v>1</v>
      </c>
      <c r="E51" s="88">
        <v>1</v>
      </c>
      <c r="F51" s="88">
        <v>1</v>
      </c>
      <c r="G51" s="88">
        <v>1</v>
      </c>
      <c r="H51" s="88">
        <v>1</v>
      </c>
    </row>
    <row r="53" spans="1:8" ht="13" x14ac:dyDescent="0.3">
      <c r="A53" s="92" t="s">
        <v>266</v>
      </c>
      <c r="B53" s="92"/>
      <c r="C53" s="92"/>
      <c r="D53" s="92"/>
      <c r="E53" s="92"/>
      <c r="F53" s="92"/>
      <c r="G53" s="92"/>
      <c r="H53" s="92"/>
    </row>
    <row r="54" spans="1:8" ht="13" x14ac:dyDescent="0.3">
      <c r="A54" s="4" t="s">
        <v>262</v>
      </c>
      <c r="B54" s="4" t="s">
        <v>181</v>
      </c>
      <c r="C54" s="4" t="s">
        <v>193</v>
      </c>
      <c r="D54" s="4" t="s">
        <v>127</v>
      </c>
      <c r="E54" s="4" t="s">
        <v>114</v>
      </c>
      <c r="F54" s="4" t="s">
        <v>115</v>
      </c>
      <c r="G54" s="4" t="s">
        <v>116</v>
      </c>
      <c r="H54" s="4" t="s">
        <v>117</v>
      </c>
    </row>
    <row r="55" spans="1:8" ht="13" x14ac:dyDescent="0.3">
      <c r="A55" s="4" t="s">
        <v>267</v>
      </c>
      <c r="B55" s="126" t="s">
        <v>118</v>
      </c>
      <c r="C55" s="8" t="s">
        <v>182</v>
      </c>
      <c r="D55" s="88">
        <f t="shared" ref="D55:H57" si="0">IF(D2=1,1,D2*0.9)</f>
        <v>1</v>
      </c>
      <c r="E55" s="88">
        <f t="shared" si="0"/>
        <v>1</v>
      </c>
      <c r="F55" s="88">
        <f t="shared" si="0"/>
        <v>1</v>
      </c>
      <c r="G55" s="88">
        <f t="shared" si="0"/>
        <v>1</v>
      </c>
      <c r="H55" s="88">
        <f t="shared" si="0"/>
        <v>1</v>
      </c>
    </row>
    <row r="56" spans="1:8" x14ac:dyDescent="0.25">
      <c r="B56" s="127"/>
      <c r="C56" s="8" t="s">
        <v>183</v>
      </c>
      <c r="D56" s="88">
        <f t="shared" si="0"/>
        <v>1</v>
      </c>
      <c r="E56" s="88">
        <f t="shared" si="0"/>
        <v>1</v>
      </c>
      <c r="F56" s="88">
        <f t="shared" si="0"/>
        <v>1</v>
      </c>
      <c r="G56" s="88">
        <f t="shared" si="0"/>
        <v>1</v>
      </c>
      <c r="H56" s="88">
        <f t="shared" si="0"/>
        <v>1</v>
      </c>
    </row>
    <row r="57" spans="1:8" x14ac:dyDescent="0.25">
      <c r="B57" s="127"/>
      <c r="C57" s="8" t="s">
        <v>184</v>
      </c>
      <c r="D57" s="88">
        <f t="shared" si="0"/>
        <v>1</v>
      </c>
      <c r="E57" s="88">
        <f t="shared" si="0"/>
        <v>1</v>
      </c>
      <c r="F57" s="88">
        <f t="shared" si="0"/>
        <v>1</v>
      </c>
      <c r="G57" s="88">
        <f t="shared" si="0"/>
        <v>1</v>
      </c>
      <c r="H57" s="88">
        <f t="shared" si="0"/>
        <v>1</v>
      </c>
    </row>
    <row r="58" spans="1:8" x14ac:dyDescent="0.25">
      <c r="B58" s="126" t="s">
        <v>127</v>
      </c>
      <c r="C58" s="8" t="s">
        <v>182</v>
      </c>
      <c r="D58" s="88">
        <v>1.84</v>
      </c>
      <c r="E58" s="88">
        <f t="shared" ref="E58:H60" si="1">IF(E5=1,1,E5*0.9)</f>
        <v>1</v>
      </c>
      <c r="F58" s="88">
        <f t="shared" si="1"/>
        <v>1</v>
      </c>
      <c r="G58" s="88">
        <f t="shared" si="1"/>
        <v>1</v>
      </c>
      <c r="H58" s="88">
        <f t="shared" si="1"/>
        <v>1</v>
      </c>
    </row>
    <row r="59" spans="1:8" x14ac:dyDescent="0.25">
      <c r="B59" s="127"/>
      <c r="C59" s="8" t="s">
        <v>183</v>
      </c>
      <c r="D59" s="88">
        <v>1.84</v>
      </c>
      <c r="E59" s="88">
        <f t="shared" si="1"/>
        <v>1</v>
      </c>
      <c r="F59" s="88">
        <f t="shared" si="1"/>
        <v>1</v>
      </c>
      <c r="G59" s="88">
        <f t="shared" si="1"/>
        <v>1</v>
      </c>
      <c r="H59" s="88">
        <f t="shared" si="1"/>
        <v>1</v>
      </c>
    </row>
    <row r="60" spans="1:8" x14ac:dyDescent="0.25">
      <c r="B60" s="127"/>
      <c r="C60" s="8" t="s">
        <v>184</v>
      </c>
      <c r="D60" s="88">
        <f t="shared" ref="D60:D70" si="2">IF(D7=1,1,D7*0.9)</f>
        <v>1</v>
      </c>
      <c r="E60" s="88">
        <f t="shared" si="1"/>
        <v>1</v>
      </c>
      <c r="F60" s="88">
        <f t="shared" si="1"/>
        <v>1</v>
      </c>
      <c r="G60" s="88">
        <f t="shared" si="1"/>
        <v>1</v>
      </c>
      <c r="H60" s="88">
        <f t="shared" si="1"/>
        <v>1</v>
      </c>
    </row>
    <row r="61" spans="1:8" x14ac:dyDescent="0.25">
      <c r="B61" s="126" t="s">
        <v>114</v>
      </c>
      <c r="C61" s="8" t="s">
        <v>182</v>
      </c>
      <c r="D61" s="88">
        <f t="shared" si="2"/>
        <v>1</v>
      </c>
      <c r="E61" s="88">
        <v>1.99</v>
      </c>
      <c r="F61" s="88">
        <f t="shared" ref="F61:H63" si="3">IF(F8=1,1,F8*0.9)</f>
        <v>1</v>
      </c>
      <c r="G61" s="88">
        <f t="shared" si="3"/>
        <v>1</v>
      </c>
      <c r="H61" s="88">
        <f t="shared" si="3"/>
        <v>1</v>
      </c>
    </row>
    <row r="62" spans="1:8" x14ac:dyDescent="0.25">
      <c r="B62" s="127"/>
      <c r="C62" s="8" t="s">
        <v>183</v>
      </c>
      <c r="D62" s="88">
        <f t="shared" si="2"/>
        <v>1</v>
      </c>
      <c r="E62" s="88">
        <v>1.99</v>
      </c>
      <c r="F62" s="88">
        <f t="shared" si="3"/>
        <v>1</v>
      </c>
      <c r="G62" s="88">
        <f t="shared" si="3"/>
        <v>1</v>
      </c>
      <c r="H62" s="88">
        <f t="shared" si="3"/>
        <v>1</v>
      </c>
    </row>
    <row r="63" spans="1:8" x14ac:dyDescent="0.25">
      <c r="B63" s="127"/>
      <c r="C63" s="8" t="s">
        <v>184</v>
      </c>
      <c r="D63" s="88">
        <f t="shared" si="2"/>
        <v>1</v>
      </c>
      <c r="E63" s="88">
        <f t="shared" ref="E63:E70" si="4">IF(E10=1,1,E10*0.9)</f>
        <v>1</v>
      </c>
      <c r="F63" s="88">
        <f t="shared" si="3"/>
        <v>1</v>
      </c>
      <c r="G63" s="88">
        <f t="shared" si="3"/>
        <v>1</v>
      </c>
      <c r="H63" s="88">
        <f t="shared" si="3"/>
        <v>1</v>
      </c>
    </row>
    <row r="64" spans="1:8" x14ac:dyDescent="0.25">
      <c r="B64" s="126" t="s">
        <v>115</v>
      </c>
      <c r="C64" s="8" t="s">
        <v>182</v>
      </c>
      <c r="D64" s="88">
        <f t="shared" si="2"/>
        <v>1</v>
      </c>
      <c r="E64" s="88">
        <f t="shared" si="4"/>
        <v>1</v>
      </c>
      <c r="F64" s="88">
        <v>1.36</v>
      </c>
      <c r="G64" s="88">
        <f t="shared" ref="G64:H66" si="5">IF(G11=1,1,G11*0.9)</f>
        <v>1</v>
      </c>
      <c r="H64" s="88">
        <f t="shared" si="5"/>
        <v>1</v>
      </c>
    </row>
    <row r="65" spans="1:8" x14ac:dyDescent="0.25">
      <c r="B65" s="127"/>
      <c r="C65" s="8" t="s">
        <v>183</v>
      </c>
      <c r="D65" s="88">
        <f t="shared" si="2"/>
        <v>1</v>
      </c>
      <c r="E65" s="88">
        <f t="shared" si="4"/>
        <v>1</v>
      </c>
      <c r="F65" s="88">
        <v>1.36</v>
      </c>
      <c r="G65" s="88">
        <f t="shared" si="5"/>
        <v>1</v>
      </c>
      <c r="H65" s="88">
        <f t="shared" si="5"/>
        <v>1</v>
      </c>
    </row>
    <row r="66" spans="1:8" x14ac:dyDescent="0.25">
      <c r="B66" s="127"/>
      <c r="C66" s="8" t="s">
        <v>184</v>
      </c>
      <c r="D66" s="88">
        <f t="shared" si="2"/>
        <v>1</v>
      </c>
      <c r="E66" s="88">
        <f t="shared" si="4"/>
        <v>1</v>
      </c>
      <c r="F66" s="88">
        <f>IF(F13=1,1,F13*0.9)</f>
        <v>1</v>
      </c>
      <c r="G66" s="88">
        <f t="shared" si="5"/>
        <v>1</v>
      </c>
      <c r="H66" s="88">
        <f t="shared" si="5"/>
        <v>1</v>
      </c>
    </row>
    <row r="67" spans="1:8" x14ac:dyDescent="0.25">
      <c r="B67" s="126" t="s">
        <v>116</v>
      </c>
      <c r="C67" s="8" t="s">
        <v>182</v>
      </c>
      <c r="D67" s="88">
        <f t="shared" si="2"/>
        <v>1</v>
      </c>
      <c r="E67" s="88">
        <f t="shared" si="4"/>
        <v>1</v>
      </c>
      <c r="F67" s="88">
        <f>IF(F14=1,1,F14*0.9)</f>
        <v>1</v>
      </c>
      <c r="G67" s="88">
        <v>1.36</v>
      </c>
      <c r="H67" s="88">
        <f>IF(H14=1,1,H14*0.9)</f>
        <v>1</v>
      </c>
    </row>
    <row r="68" spans="1:8" x14ac:dyDescent="0.25">
      <c r="B68" s="127"/>
      <c r="C68" s="8" t="s">
        <v>183</v>
      </c>
      <c r="D68" s="88">
        <f t="shared" si="2"/>
        <v>1</v>
      </c>
      <c r="E68" s="88">
        <f t="shared" si="4"/>
        <v>1</v>
      </c>
      <c r="F68" s="88">
        <f>IF(F15=1,1,F15*0.9)</f>
        <v>1</v>
      </c>
      <c r="G68" s="88">
        <v>1.36</v>
      </c>
      <c r="H68" s="88">
        <f>IF(H15=1,1,H15*0.9)</f>
        <v>1</v>
      </c>
    </row>
    <row r="69" spans="1:8" x14ac:dyDescent="0.25">
      <c r="B69" s="127"/>
      <c r="C69" s="8" t="s">
        <v>184</v>
      </c>
      <c r="D69" s="88">
        <f t="shared" si="2"/>
        <v>1</v>
      </c>
      <c r="E69" s="88">
        <f t="shared" si="4"/>
        <v>1</v>
      </c>
      <c r="F69" s="88">
        <f>IF(F16=1,1,F16*0.9)</f>
        <v>1</v>
      </c>
      <c r="G69" s="88">
        <f>IF(G16=1,1,G16*0.9)</f>
        <v>1</v>
      </c>
      <c r="H69" s="88">
        <f>IF(H16=1,1,H16*0.9)</f>
        <v>1</v>
      </c>
    </row>
    <row r="70" spans="1:8" ht="13" x14ac:dyDescent="0.25">
      <c r="B70" s="65" t="s">
        <v>185</v>
      </c>
      <c r="C70" s="8" t="s">
        <v>184</v>
      </c>
      <c r="D70" s="88">
        <f t="shared" si="2"/>
        <v>0.94500000000000006</v>
      </c>
      <c r="E70" s="88">
        <f t="shared" si="4"/>
        <v>0.94500000000000006</v>
      </c>
      <c r="F70" s="88">
        <f>IF(F17=1,1,F17*0.9)</f>
        <v>0.94500000000000006</v>
      </c>
      <c r="G70" s="88">
        <f>IF(G17=1,1,G17*0.9)</f>
        <v>0.94500000000000006</v>
      </c>
      <c r="H70" s="88">
        <f>IF(H17=1,1,H17*0.9)</f>
        <v>1</v>
      </c>
    </row>
    <row r="71" spans="1:8" x14ac:dyDescent="0.25">
      <c r="D71" s="86"/>
      <c r="E71" s="86"/>
      <c r="F71" s="86"/>
      <c r="G71" s="86"/>
      <c r="H71" s="86"/>
    </row>
    <row r="72" spans="1:8" ht="13" x14ac:dyDescent="0.3">
      <c r="A72" s="4" t="s">
        <v>268</v>
      </c>
      <c r="B72" s="126" t="s">
        <v>118</v>
      </c>
      <c r="C72" s="8" t="s">
        <v>182</v>
      </c>
      <c r="D72" s="88">
        <f t="shared" ref="D72:H81" si="6">IF(D19=1,1,D19*0.9)</f>
        <v>1</v>
      </c>
      <c r="E72" s="88">
        <f t="shared" si="6"/>
        <v>1</v>
      </c>
      <c r="F72" s="88">
        <f t="shared" si="6"/>
        <v>1</v>
      </c>
      <c r="G72" s="88">
        <f t="shared" si="6"/>
        <v>1</v>
      </c>
      <c r="H72" s="88">
        <f t="shared" si="6"/>
        <v>1</v>
      </c>
    </row>
    <row r="73" spans="1:8" x14ac:dyDescent="0.25">
      <c r="B73" s="127"/>
      <c r="C73" s="8" t="s">
        <v>183</v>
      </c>
      <c r="D73" s="88">
        <f t="shared" si="6"/>
        <v>1</v>
      </c>
      <c r="E73" s="88">
        <f t="shared" si="6"/>
        <v>1</v>
      </c>
      <c r="F73" s="88">
        <f t="shared" si="6"/>
        <v>1</v>
      </c>
      <c r="G73" s="88">
        <f t="shared" si="6"/>
        <v>1</v>
      </c>
      <c r="H73" s="88">
        <f t="shared" si="6"/>
        <v>1</v>
      </c>
    </row>
    <row r="74" spans="1:8" x14ac:dyDescent="0.25">
      <c r="B74" s="127"/>
      <c r="C74" s="8" t="s">
        <v>184</v>
      </c>
      <c r="D74" s="88">
        <f t="shared" si="6"/>
        <v>1</v>
      </c>
      <c r="E74" s="88">
        <f t="shared" si="6"/>
        <v>1</v>
      </c>
      <c r="F74" s="88">
        <f t="shared" si="6"/>
        <v>1</v>
      </c>
      <c r="G74" s="88">
        <f t="shared" si="6"/>
        <v>1</v>
      </c>
      <c r="H74" s="88">
        <f t="shared" si="6"/>
        <v>1</v>
      </c>
    </row>
    <row r="75" spans="1:8" x14ac:dyDescent="0.25">
      <c r="B75" s="126" t="s">
        <v>127</v>
      </c>
      <c r="C75" s="8" t="s">
        <v>182</v>
      </c>
      <c r="D75" s="88">
        <f t="shared" si="6"/>
        <v>1</v>
      </c>
      <c r="E75" s="88">
        <f t="shared" si="6"/>
        <v>1</v>
      </c>
      <c r="F75" s="88">
        <f t="shared" si="6"/>
        <v>1</v>
      </c>
      <c r="G75" s="88">
        <f t="shared" si="6"/>
        <v>1</v>
      </c>
      <c r="H75" s="88">
        <f t="shared" si="6"/>
        <v>1</v>
      </c>
    </row>
    <row r="76" spans="1:8" x14ac:dyDescent="0.25">
      <c r="B76" s="127"/>
      <c r="C76" s="8" t="s">
        <v>183</v>
      </c>
      <c r="D76" s="88">
        <f t="shared" si="6"/>
        <v>1</v>
      </c>
      <c r="E76" s="88">
        <f t="shared" si="6"/>
        <v>1</v>
      </c>
      <c r="F76" s="88">
        <f t="shared" si="6"/>
        <v>1</v>
      </c>
      <c r="G76" s="88">
        <f t="shared" si="6"/>
        <v>1</v>
      </c>
      <c r="H76" s="88">
        <f t="shared" si="6"/>
        <v>1</v>
      </c>
    </row>
    <row r="77" spans="1:8" x14ac:dyDescent="0.25">
      <c r="B77" s="127"/>
      <c r="C77" s="8" t="s">
        <v>184</v>
      </c>
      <c r="D77" s="88">
        <f t="shared" si="6"/>
        <v>1</v>
      </c>
      <c r="E77" s="88">
        <f t="shared" si="6"/>
        <v>1</v>
      </c>
      <c r="F77" s="88">
        <f t="shared" si="6"/>
        <v>1</v>
      </c>
      <c r="G77" s="88">
        <f t="shared" si="6"/>
        <v>1</v>
      </c>
      <c r="H77" s="88">
        <f t="shared" si="6"/>
        <v>1</v>
      </c>
    </row>
    <row r="78" spans="1:8" x14ac:dyDescent="0.25">
      <c r="B78" s="126" t="s">
        <v>114</v>
      </c>
      <c r="C78" s="8" t="s">
        <v>182</v>
      </c>
      <c r="D78" s="88">
        <f t="shared" si="6"/>
        <v>1</v>
      </c>
      <c r="E78" s="88">
        <f t="shared" si="6"/>
        <v>1</v>
      </c>
      <c r="F78" s="88">
        <f t="shared" si="6"/>
        <v>1</v>
      </c>
      <c r="G78" s="88">
        <f t="shared" si="6"/>
        <v>1</v>
      </c>
      <c r="H78" s="88">
        <f t="shared" si="6"/>
        <v>1</v>
      </c>
    </row>
    <row r="79" spans="1:8" x14ac:dyDescent="0.25">
      <c r="B79" s="127"/>
      <c r="C79" s="8" t="s">
        <v>183</v>
      </c>
      <c r="D79" s="88">
        <f t="shared" si="6"/>
        <v>1</v>
      </c>
      <c r="E79" s="88">
        <f t="shared" si="6"/>
        <v>1</v>
      </c>
      <c r="F79" s="88">
        <f t="shared" si="6"/>
        <v>1</v>
      </c>
      <c r="G79" s="88">
        <f t="shared" si="6"/>
        <v>1</v>
      </c>
      <c r="H79" s="88">
        <f t="shared" si="6"/>
        <v>1</v>
      </c>
    </row>
    <row r="80" spans="1:8" x14ac:dyDescent="0.25">
      <c r="B80" s="127"/>
      <c r="C80" s="8" t="s">
        <v>184</v>
      </c>
      <c r="D80" s="88">
        <f t="shared" si="6"/>
        <v>1</v>
      </c>
      <c r="E80" s="88">
        <f t="shared" si="6"/>
        <v>1</v>
      </c>
      <c r="F80" s="88">
        <f t="shared" si="6"/>
        <v>1</v>
      </c>
      <c r="G80" s="88">
        <f t="shared" si="6"/>
        <v>1</v>
      </c>
      <c r="H80" s="88">
        <f t="shared" si="6"/>
        <v>1</v>
      </c>
    </row>
    <row r="81" spans="1:8" x14ac:dyDescent="0.25">
      <c r="B81" s="126" t="s">
        <v>115</v>
      </c>
      <c r="C81" s="8" t="s">
        <v>182</v>
      </c>
      <c r="D81" s="88">
        <f t="shared" si="6"/>
        <v>1</v>
      </c>
      <c r="E81" s="88">
        <f t="shared" si="6"/>
        <v>1</v>
      </c>
      <c r="F81" s="88">
        <f t="shared" si="6"/>
        <v>1</v>
      </c>
      <c r="G81" s="88">
        <f t="shared" si="6"/>
        <v>1</v>
      </c>
      <c r="H81" s="88">
        <f t="shared" si="6"/>
        <v>1</v>
      </c>
    </row>
    <row r="82" spans="1:8" x14ac:dyDescent="0.25">
      <c r="B82" s="127"/>
      <c r="C82" s="8" t="s">
        <v>183</v>
      </c>
      <c r="D82" s="88">
        <f t="shared" ref="D82:H87" si="7">IF(D29=1,1,D29*0.9)</f>
        <v>1</v>
      </c>
      <c r="E82" s="88">
        <f t="shared" si="7"/>
        <v>1</v>
      </c>
      <c r="F82" s="88">
        <f t="shared" si="7"/>
        <v>1</v>
      </c>
      <c r="G82" s="88">
        <f t="shared" si="7"/>
        <v>1</v>
      </c>
      <c r="H82" s="88">
        <f t="shared" si="7"/>
        <v>1</v>
      </c>
    </row>
    <row r="83" spans="1:8" x14ac:dyDescent="0.25">
      <c r="B83" s="127"/>
      <c r="C83" s="8" t="s">
        <v>184</v>
      </c>
      <c r="D83" s="88">
        <f t="shared" si="7"/>
        <v>1</v>
      </c>
      <c r="E83" s="88">
        <f t="shared" si="7"/>
        <v>1</v>
      </c>
      <c r="F83" s="88">
        <f t="shared" si="7"/>
        <v>1</v>
      </c>
      <c r="G83" s="88">
        <f t="shared" si="7"/>
        <v>1</v>
      </c>
      <c r="H83" s="88">
        <f t="shared" si="7"/>
        <v>1</v>
      </c>
    </row>
    <row r="84" spans="1:8" x14ac:dyDescent="0.25">
      <c r="B84" s="126" t="s">
        <v>116</v>
      </c>
      <c r="C84" s="8" t="s">
        <v>182</v>
      </c>
      <c r="D84" s="88">
        <f t="shared" si="7"/>
        <v>1</v>
      </c>
      <c r="E84" s="88">
        <f t="shared" si="7"/>
        <v>1</v>
      </c>
      <c r="F84" s="88">
        <f t="shared" si="7"/>
        <v>1</v>
      </c>
      <c r="G84" s="88">
        <f t="shared" si="7"/>
        <v>1</v>
      </c>
      <c r="H84" s="88">
        <f t="shared" si="7"/>
        <v>1</v>
      </c>
    </row>
    <row r="85" spans="1:8" x14ac:dyDescent="0.25">
      <c r="B85" s="127"/>
      <c r="C85" s="8" t="s">
        <v>183</v>
      </c>
      <c r="D85" s="88">
        <f t="shared" si="7"/>
        <v>1</v>
      </c>
      <c r="E85" s="88">
        <f t="shared" si="7"/>
        <v>1</v>
      </c>
      <c r="F85" s="88">
        <f t="shared" si="7"/>
        <v>1</v>
      </c>
      <c r="G85" s="88">
        <f t="shared" si="7"/>
        <v>1</v>
      </c>
      <c r="H85" s="88">
        <f t="shared" si="7"/>
        <v>1</v>
      </c>
    </row>
    <row r="86" spans="1:8" x14ac:dyDescent="0.25">
      <c r="B86" s="127"/>
      <c r="C86" s="8" t="s">
        <v>184</v>
      </c>
      <c r="D86" s="88">
        <f t="shared" si="7"/>
        <v>1</v>
      </c>
      <c r="E86" s="88">
        <f t="shared" si="7"/>
        <v>1</v>
      </c>
      <c r="F86" s="88">
        <f t="shared" si="7"/>
        <v>1</v>
      </c>
      <c r="G86" s="88">
        <f t="shared" si="7"/>
        <v>1</v>
      </c>
      <c r="H86" s="88">
        <f t="shared" si="7"/>
        <v>1</v>
      </c>
    </row>
    <row r="87" spans="1:8" ht="13" x14ac:dyDescent="0.25">
      <c r="B87" s="65" t="s">
        <v>185</v>
      </c>
      <c r="C87" s="8" t="s">
        <v>184</v>
      </c>
      <c r="D87" s="88">
        <f t="shared" si="7"/>
        <v>1</v>
      </c>
      <c r="E87" s="88">
        <f t="shared" si="7"/>
        <v>1</v>
      </c>
      <c r="F87" s="88">
        <f t="shared" si="7"/>
        <v>1</v>
      </c>
      <c r="G87" s="88">
        <f t="shared" si="7"/>
        <v>1</v>
      </c>
      <c r="H87" s="88">
        <f t="shared" si="7"/>
        <v>1</v>
      </c>
    </row>
    <row r="88" spans="1:8" x14ac:dyDescent="0.25">
      <c r="D88" s="86"/>
      <c r="E88" s="86"/>
      <c r="F88" s="86"/>
      <c r="G88" s="86"/>
      <c r="H88" s="86"/>
    </row>
    <row r="89" spans="1:8" ht="13" x14ac:dyDescent="0.3">
      <c r="A89" s="66" t="s">
        <v>269</v>
      </c>
      <c r="B89" s="126" t="s">
        <v>118</v>
      </c>
      <c r="C89" s="8" t="s">
        <v>182</v>
      </c>
      <c r="D89" s="88">
        <f t="shared" ref="D89:H98" si="8">IF(D36=1,1,D36*0.9)</f>
        <v>1</v>
      </c>
      <c r="E89" s="88">
        <f t="shared" si="8"/>
        <v>1</v>
      </c>
      <c r="F89" s="88">
        <f t="shared" si="8"/>
        <v>1</v>
      </c>
      <c r="G89" s="88">
        <f t="shared" si="8"/>
        <v>1</v>
      </c>
      <c r="H89" s="88">
        <f t="shared" si="8"/>
        <v>1</v>
      </c>
    </row>
    <row r="90" spans="1:8" x14ac:dyDescent="0.25">
      <c r="B90" s="127"/>
      <c r="C90" s="8" t="s">
        <v>183</v>
      </c>
      <c r="D90" s="88">
        <f t="shared" si="8"/>
        <v>1</v>
      </c>
      <c r="E90" s="88">
        <f t="shared" si="8"/>
        <v>1</v>
      </c>
      <c r="F90" s="88">
        <f t="shared" si="8"/>
        <v>1</v>
      </c>
      <c r="G90" s="88">
        <f t="shared" si="8"/>
        <v>1</v>
      </c>
      <c r="H90" s="88">
        <f t="shared" si="8"/>
        <v>1</v>
      </c>
    </row>
    <row r="91" spans="1:8" x14ac:dyDescent="0.25">
      <c r="B91" s="127"/>
      <c r="C91" s="8" t="s">
        <v>184</v>
      </c>
      <c r="D91" s="88">
        <f t="shared" si="8"/>
        <v>1</v>
      </c>
      <c r="E91" s="88">
        <f t="shared" si="8"/>
        <v>1</v>
      </c>
      <c r="F91" s="88">
        <f t="shared" si="8"/>
        <v>1</v>
      </c>
      <c r="G91" s="88">
        <f t="shared" si="8"/>
        <v>1</v>
      </c>
      <c r="H91" s="88">
        <f t="shared" si="8"/>
        <v>1</v>
      </c>
    </row>
    <row r="92" spans="1:8" x14ac:dyDescent="0.25">
      <c r="B92" s="126" t="s">
        <v>127</v>
      </c>
      <c r="C92" s="8" t="s">
        <v>182</v>
      </c>
      <c r="D92" s="88">
        <f t="shared" si="8"/>
        <v>1</v>
      </c>
      <c r="E92" s="88">
        <f t="shared" si="8"/>
        <v>1</v>
      </c>
      <c r="F92" s="88">
        <f t="shared" si="8"/>
        <v>1</v>
      </c>
      <c r="G92" s="88">
        <f t="shared" si="8"/>
        <v>1</v>
      </c>
      <c r="H92" s="88">
        <f t="shared" si="8"/>
        <v>1</v>
      </c>
    </row>
    <row r="93" spans="1:8" x14ac:dyDescent="0.25">
      <c r="B93" s="127"/>
      <c r="C93" s="8" t="s">
        <v>183</v>
      </c>
      <c r="D93" s="88">
        <f t="shared" si="8"/>
        <v>1</v>
      </c>
      <c r="E93" s="88">
        <f t="shared" si="8"/>
        <v>1</v>
      </c>
      <c r="F93" s="88">
        <f t="shared" si="8"/>
        <v>1</v>
      </c>
      <c r="G93" s="88">
        <f t="shared" si="8"/>
        <v>1</v>
      </c>
      <c r="H93" s="88">
        <f t="shared" si="8"/>
        <v>1</v>
      </c>
    </row>
    <row r="94" spans="1:8" x14ac:dyDescent="0.25">
      <c r="B94" s="127"/>
      <c r="C94" s="8" t="s">
        <v>184</v>
      </c>
      <c r="D94" s="88">
        <f t="shared" si="8"/>
        <v>1</v>
      </c>
      <c r="E94" s="88">
        <f t="shared" si="8"/>
        <v>1</v>
      </c>
      <c r="F94" s="88">
        <f t="shared" si="8"/>
        <v>1</v>
      </c>
      <c r="G94" s="88">
        <f t="shared" si="8"/>
        <v>1</v>
      </c>
      <c r="H94" s="88">
        <f t="shared" si="8"/>
        <v>1</v>
      </c>
    </row>
    <row r="95" spans="1:8" x14ac:dyDescent="0.25">
      <c r="B95" s="126" t="s">
        <v>114</v>
      </c>
      <c r="C95" s="8" t="s">
        <v>182</v>
      </c>
      <c r="D95" s="88">
        <f t="shared" si="8"/>
        <v>1</v>
      </c>
      <c r="E95" s="88">
        <f t="shared" si="8"/>
        <v>1</v>
      </c>
      <c r="F95" s="88">
        <f t="shared" si="8"/>
        <v>1</v>
      </c>
      <c r="G95" s="88">
        <f t="shared" si="8"/>
        <v>1</v>
      </c>
      <c r="H95" s="88">
        <f t="shared" si="8"/>
        <v>1</v>
      </c>
    </row>
    <row r="96" spans="1:8" x14ac:dyDescent="0.25">
      <c r="B96" s="127"/>
      <c r="C96" s="8" t="s">
        <v>183</v>
      </c>
      <c r="D96" s="88">
        <f t="shared" si="8"/>
        <v>1</v>
      </c>
      <c r="E96" s="88">
        <f t="shared" si="8"/>
        <v>1</v>
      </c>
      <c r="F96" s="88">
        <f t="shared" si="8"/>
        <v>1</v>
      </c>
      <c r="G96" s="88">
        <f t="shared" si="8"/>
        <v>1</v>
      </c>
      <c r="H96" s="88">
        <f t="shared" si="8"/>
        <v>1</v>
      </c>
    </row>
    <row r="97" spans="1:8" x14ac:dyDescent="0.25">
      <c r="B97" s="127"/>
      <c r="C97" s="8" t="s">
        <v>184</v>
      </c>
      <c r="D97" s="88">
        <f t="shared" si="8"/>
        <v>1</v>
      </c>
      <c r="E97" s="88">
        <f t="shared" si="8"/>
        <v>1</v>
      </c>
      <c r="F97" s="88">
        <f t="shared" si="8"/>
        <v>1</v>
      </c>
      <c r="G97" s="88">
        <f t="shared" si="8"/>
        <v>1</v>
      </c>
      <c r="H97" s="88">
        <f t="shared" si="8"/>
        <v>1</v>
      </c>
    </row>
    <row r="98" spans="1:8" x14ac:dyDescent="0.25">
      <c r="B98" s="126" t="s">
        <v>115</v>
      </c>
      <c r="C98" s="8" t="s">
        <v>182</v>
      </c>
      <c r="D98" s="88">
        <f t="shared" si="8"/>
        <v>1</v>
      </c>
      <c r="E98" s="88">
        <f t="shared" si="8"/>
        <v>1</v>
      </c>
      <c r="F98" s="88">
        <f t="shared" si="8"/>
        <v>1</v>
      </c>
      <c r="G98" s="88">
        <f t="shared" si="8"/>
        <v>1</v>
      </c>
      <c r="H98" s="88">
        <f t="shared" si="8"/>
        <v>1</v>
      </c>
    </row>
    <row r="99" spans="1:8" x14ac:dyDescent="0.25">
      <c r="B99" s="127"/>
      <c r="C99" s="8" t="s">
        <v>183</v>
      </c>
      <c r="D99" s="88">
        <f t="shared" ref="D99:H104" si="9">IF(D46=1,1,D46*0.9)</f>
        <v>1</v>
      </c>
      <c r="E99" s="88">
        <f t="shared" si="9"/>
        <v>1</v>
      </c>
      <c r="F99" s="88">
        <f t="shared" si="9"/>
        <v>1</v>
      </c>
      <c r="G99" s="88">
        <f t="shared" si="9"/>
        <v>1</v>
      </c>
      <c r="H99" s="88">
        <f t="shared" si="9"/>
        <v>1</v>
      </c>
    </row>
    <row r="100" spans="1:8" x14ac:dyDescent="0.25">
      <c r="B100" s="127"/>
      <c r="C100" s="8" t="s">
        <v>184</v>
      </c>
      <c r="D100" s="88">
        <f t="shared" si="9"/>
        <v>1</v>
      </c>
      <c r="E100" s="88">
        <f t="shared" si="9"/>
        <v>1</v>
      </c>
      <c r="F100" s="88">
        <f t="shared" si="9"/>
        <v>1</v>
      </c>
      <c r="G100" s="88">
        <f t="shared" si="9"/>
        <v>1</v>
      </c>
      <c r="H100" s="88">
        <f t="shared" si="9"/>
        <v>1</v>
      </c>
    </row>
    <row r="101" spans="1:8" x14ac:dyDescent="0.25">
      <c r="B101" s="126" t="s">
        <v>116</v>
      </c>
      <c r="C101" s="8" t="s">
        <v>182</v>
      </c>
      <c r="D101" s="88">
        <f t="shared" si="9"/>
        <v>1</v>
      </c>
      <c r="E101" s="88">
        <f t="shared" si="9"/>
        <v>1</v>
      </c>
      <c r="F101" s="88">
        <f t="shared" si="9"/>
        <v>1</v>
      </c>
      <c r="G101" s="88">
        <f t="shared" si="9"/>
        <v>1</v>
      </c>
      <c r="H101" s="88">
        <f t="shared" si="9"/>
        <v>1</v>
      </c>
    </row>
    <row r="102" spans="1:8" x14ac:dyDescent="0.25">
      <c r="B102" s="127"/>
      <c r="C102" s="8" t="s">
        <v>183</v>
      </c>
      <c r="D102" s="88">
        <f t="shared" si="9"/>
        <v>1</v>
      </c>
      <c r="E102" s="88">
        <f t="shared" si="9"/>
        <v>1</v>
      </c>
      <c r="F102" s="88">
        <f t="shared" si="9"/>
        <v>1</v>
      </c>
      <c r="G102" s="88">
        <f t="shared" si="9"/>
        <v>1</v>
      </c>
      <c r="H102" s="88">
        <f t="shared" si="9"/>
        <v>1</v>
      </c>
    </row>
    <row r="103" spans="1:8" x14ac:dyDescent="0.25">
      <c r="B103" s="127"/>
      <c r="C103" s="8" t="s">
        <v>184</v>
      </c>
      <c r="D103" s="88">
        <f t="shared" si="9"/>
        <v>1</v>
      </c>
      <c r="E103" s="88">
        <f t="shared" si="9"/>
        <v>1</v>
      </c>
      <c r="F103" s="88">
        <f t="shared" si="9"/>
        <v>1</v>
      </c>
      <c r="G103" s="88">
        <f t="shared" si="9"/>
        <v>1</v>
      </c>
      <c r="H103" s="88">
        <f t="shared" si="9"/>
        <v>1</v>
      </c>
    </row>
    <row r="104" spans="1:8" ht="13" x14ac:dyDescent="0.25">
      <c r="B104" s="65" t="s">
        <v>185</v>
      </c>
      <c r="C104" s="8" t="s">
        <v>184</v>
      </c>
      <c r="D104" s="88">
        <f t="shared" si="9"/>
        <v>1</v>
      </c>
      <c r="E104" s="88">
        <f t="shared" si="9"/>
        <v>1</v>
      </c>
      <c r="F104" s="88">
        <f t="shared" si="9"/>
        <v>1</v>
      </c>
      <c r="G104" s="88">
        <f t="shared" si="9"/>
        <v>1</v>
      </c>
      <c r="H104" s="88">
        <f t="shared" si="9"/>
        <v>1</v>
      </c>
    </row>
    <row r="106" spans="1:8" ht="13" x14ac:dyDescent="0.3">
      <c r="A106" s="92" t="s">
        <v>270</v>
      </c>
      <c r="B106" s="92"/>
      <c r="C106" s="92"/>
      <c r="D106" s="92"/>
      <c r="E106" s="92"/>
      <c r="F106" s="92"/>
      <c r="G106" s="92"/>
      <c r="H106" s="92"/>
    </row>
    <row r="107" spans="1:8" ht="13" x14ac:dyDescent="0.3">
      <c r="A107" s="4" t="s">
        <v>262</v>
      </c>
      <c r="B107" s="4" t="s">
        <v>181</v>
      </c>
      <c r="C107" s="4" t="s">
        <v>193</v>
      </c>
      <c r="D107" s="4" t="s">
        <v>127</v>
      </c>
      <c r="E107" s="4" t="s">
        <v>114</v>
      </c>
      <c r="F107" s="4" t="s">
        <v>115</v>
      </c>
      <c r="G107" s="4" t="s">
        <v>116</v>
      </c>
      <c r="H107" s="4" t="s">
        <v>117</v>
      </c>
    </row>
    <row r="108" spans="1:8" ht="13" x14ac:dyDescent="0.3">
      <c r="A108" s="4" t="s">
        <v>271</v>
      </c>
      <c r="B108" s="126" t="s">
        <v>118</v>
      </c>
      <c r="C108" s="8" t="s">
        <v>182</v>
      </c>
      <c r="D108" s="88">
        <f t="shared" ref="D108:H110" si="10">IF(D2=1,1,D2*1.05)</f>
        <v>1</v>
      </c>
      <c r="E108" s="88">
        <f t="shared" si="10"/>
        <v>1</v>
      </c>
      <c r="F108" s="88">
        <f t="shared" si="10"/>
        <v>1</v>
      </c>
      <c r="G108" s="88">
        <f t="shared" si="10"/>
        <v>1</v>
      </c>
      <c r="H108" s="88">
        <f t="shared" si="10"/>
        <v>1</v>
      </c>
    </row>
    <row r="109" spans="1:8" x14ac:dyDescent="0.25">
      <c r="B109" s="127"/>
      <c r="C109" s="8" t="s">
        <v>183</v>
      </c>
      <c r="D109" s="88">
        <f t="shared" si="10"/>
        <v>1</v>
      </c>
      <c r="E109" s="88">
        <f t="shared" si="10"/>
        <v>1</v>
      </c>
      <c r="F109" s="88">
        <f t="shared" si="10"/>
        <v>1</v>
      </c>
      <c r="G109" s="88">
        <f t="shared" si="10"/>
        <v>1</v>
      </c>
      <c r="H109" s="88">
        <f t="shared" si="10"/>
        <v>1</v>
      </c>
    </row>
    <row r="110" spans="1:8" x14ac:dyDescent="0.25">
      <c r="B110" s="127"/>
      <c r="C110" s="8" t="s">
        <v>184</v>
      </c>
      <c r="D110" s="88">
        <f t="shared" si="10"/>
        <v>1</v>
      </c>
      <c r="E110" s="88">
        <f t="shared" si="10"/>
        <v>1</v>
      </c>
      <c r="F110" s="88">
        <f t="shared" si="10"/>
        <v>1</v>
      </c>
      <c r="G110" s="88">
        <f t="shared" si="10"/>
        <v>1</v>
      </c>
      <c r="H110" s="88">
        <f t="shared" si="10"/>
        <v>1</v>
      </c>
    </row>
    <row r="111" spans="1:8" x14ac:dyDescent="0.25">
      <c r="B111" s="126" t="s">
        <v>127</v>
      </c>
      <c r="C111" s="8" t="s">
        <v>182</v>
      </c>
      <c r="D111" s="88">
        <v>2.56</v>
      </c>
      <c r="E111" s="88">
        <f t="shared" ref="E111:G113" si="11">IF(E58=1,1,E58*0.9)</f>
        <v>1</v>
      </c>
      <c r="F111" s="88">
        <f t="shared" si="11"/>
        <v>1</v>
      </c>
      <c r="G111" s="88">
        <f t="shared" si="11"/>
        <v>1</v>
      </c>
      <c r="H111" s="88">
        <f t="shared" ref="H111:H123" si="12">IF(H5=1,1,H5*1.05)</f>
        <v>1</v>
      </c>
    </row>
    <row r="112" spans="1:8" x14ac:dyDescent="0.25">
      <c r="B112" s="127"/>
      <c r="C112" s="8" t="s">
        <v>183</v>
      </c>
      <c r="D112" s="88">
        <v>2.56</v>
      </c>
      <c r="E112" s="88">
        <f t="shared" si="11"/>
        <v>1</v>
      </c>
      <c r="F112" s="88">
        <f t="shared" si="11"/>
        <v>1</v>
      </c>
      <c r="G112" s="88">
        <f t="shared" si="11"/>
        <v>1</v>
      </c>
      <c r="H112" s="88">
        <f t="shared" si="12"/>
        <v>1</v>
      </c>
    </row>
    <row r="113" spans="1:8" x14ac:dyDescent="0.25">
      <c r="B113" s="127"/>
      <c r="C113" s="8" t="s">
        <v>184</v>
      </c>
      <c r="D113" s="88">
        <f t="shared" ref="D113:D121" si="13">IF(D60=1,1,D60*0.9)</f>
        <v>1</v>
      </c>
      <c r="E113" s="88">
        <f t="shared" si="11"/>
        <v>1</v>
      </c>
      <c r="F113" s="88">
        <f t="shared" si="11"/>
        <v>1</v>
      </c>
      <c r="G113" s="88">
        <f t="shared" si="11"/>
        <v>1</v>
      </c>
      <c r="H113" s="88">
        <f t="shared" si="12"/>
        <v>1</v>
      </c>
    </row>
    <row r="114" spans="1:8" x14ac:dyDescent="0.25">
      <c r="B114" s="126" t="s">
        <v>114</v>
      </c>
      <c r="C114" s="8" t="s">
        <v>182</v>
      </c>
      <c r="D114" s="88">
        <f t="shared" si="13"/>
        <v>1</v>
      </c>
      <c r="E114" s="88">
        <v>3.09</v>
      </c>
      <c r="F114" s="88">
        <f t="shared" ref="F114:G116" si="14">IF(F61=1,1,F61*0.9)</f>
        <v>1</v>
      </c>
      <c r="G114" s="88">
        <f t="shared" si="14"/>
        <v>1</v>
      </c>
      <c r="H114" s="88">
        <f t="shared" si="12"/>
        <v>1</v>
      </c>
    </row>
    <row r="115" spans="1:8" x14ac:dyDescent="0.25">
      <c r="B115" s="127"/>
      <c r="C115" s="8" t="s">
        <v>183</v>
      </c>
      <c r="D115" s="88">
        <f t="shared" si="13"/>
        <v>1</v>
      </c>
      <c r="E115" s="88">
        <v>3.09</v>
      </c>
      <c r="F115" s="88">
        <f t="shared" si="14"/>
        <v>1</v>
      </c>
      <c r="G115" s="88">
        <f t="shared" si="14"/>
        <v>1</v>
      </c>
      <c r="H115" s="88">
        <f t="shared" si="12"/>
        <v>1</v>
      </c>
    </row>
    <row r="116" spans="1:8" x14ac:dyDescent="0.25">
      <c r="B116" s="127"/>
      <c r="C116" s="8" t="s">
        <v>184</v>
      </c>
      <c r="D116" s="88">
        <f t="shared" si="13"/>
        <v>1</v>
      </c>
      <c r="E116" s="88">
        <f t="shared" ref="E116:E121" si="15">IF(E63=1,1,E63*0.9)</f>
        <v>1</v>
      </c>
      <c r="F116" s="88">
        <f t="shared" si="14"/>
        <v>1</v>
      </c>
      <c r="G116" s="88">
        <f t="shared" si="14"/>
        <v>1</v>
      </c>
      <c r="H116" s="88">
        <f t="shared" si="12"/>
        <v>1</v>
      </c>
    </row>
    <row r="117" spans="1:8" x14ac:dyDescent="0.25">
      <c r="B117" s="126" t="s">
        <v>115</v>
      </c>
      <c r="C117" s="8" t="s">
        <v>182</v>
      </c>
      <c r="D117" s="88">
        <f t="shared" si="13"/>
        <v>1</v>
      </c>
      <c r="E117" s="88">
        <f t="shared" si="15"/>
        <v>1</v>
      </c>
      <c r="F117" s="88">
        <v>2.4500000000000002</v>
      </c>
      <c r="G117" s="88">
        <f>IF(G64=1,1,G64*0.9)</f>
        <v>1</v>
      </c>
      <c r="H117" s="88">
        <f t="shared" si="12"/>
        <v>1</v>
      </c>
    </row>
    <row r="118" spans="1:8" x14ac:dyDescent="0.25">
      <c r="B118" s="127"/>
      <c r="C118" s="8" t="s">
        <v>183</v>
      </c>
      <c r="D118" s="88">
        <f t="shared" si="13"/>
        <v>1</v>
      </c>
      <c r="E118" s="88">
        <f t="shared" si="15"/>
        <v>1</v>
      </c>
      <c r="F118" s="88">
        <v>2.4500000000000002</v>
      </c>
      <c r="G118" s="88">
        <f>IF(G65=1,1,G65*0.9)</f>
        <v>1</v>
      </c>
      <c r="H118" s="88">
        <f t="shared" si="12"/>
        <v>1</v>
      </c>
    </row>
    <row r="119" spans="1:8" x14ac:dyDescent="0.25">
      <c r="B119" s="127"/>
      <c r="C119" s="8" t="s">
        <v>184</v>
      </c>
      <c r="D119" s="88">
        <f t="shared" si="13"/>
        <v>1</v>
      </c>
      <c r="E119" s="88">
        <f t="shared" si="15"/>
        <v>1</v>
      </c>
      <c r="F119" s="88">
        <f>IF(F66=1,1,F66*0.9)</f>
        <v>1</v>
      </c>
      <c r="G119" s="88">
        <f>IF(G66=1,1,G66*0.9)</f>
        <v>1</v>
      </c>
      <c r="H119" s="88">
        <f t="shared" si="12"/>
        <v>1</v>
      </c>
    </row>
    <row r="120" spans="1:8" x14ac:dyDescent="0.25">
      <c r="B120" s="126" t="s">
        <v>116</v>
      </c>
      <c r="C120" s="8" t="s">
        <v>182</v>
      </c>
      <c r="D120" s="88">
        <f t="shared" si="13"/>
        <v>1</v>
      </c>
      <c r="E120" s="88">
        <f t="shared" si="15"/>
        <v>1</v>
      </c>
      <c r="F120" s="88">
        <f>IF(F67=1,1,F67*0.9)</f>
        <v>1</v>
      </c>
      <c r="G120" s="88">
        <v>2.4500000000000002</v>
      </c>
      <c r="H120" s="88">
        <f t="shared" si="12"/>
        <v>1</v>
      </c>
    </row>
    <row r="121" spans="1:8" x14ac:dyDescent="0.25">
      <c r="B121" s="127"/>
      <c r="C121" s="8" t="s">
        <v>183</v>
      </c>
      <c r="D121" s="88">
        <f t="shared" si="13"/>
        <v>1</v>
      </c>
      <c r="E121" s="88">
        <f t="shared" si="15"/>
        <v>1</v>
      </c>
      <c r="F121" s="88">
        <f>IF(F68=1,1,F68*0.9)</f>
        <v>1</v>
      </c>
      <c r="G121" s="88">
        <v>2.4500000000000002</v>
      </c>
      <c r="H121" s="88">
        <f t="shared" si="12"/>
        <v>1</v>
      </c>
    </row>
    <row r="122" spans="1:8" x14ac:dyDescent="0.25">
      <c r="B122" s="127"/>
      <c r="C122" s="8" t="s">
        <v>184</v>
      </c>
      <c r="D122" s="88">
        <f t="shared" ref="D122:G123" si="16">IF(D16=1,1,D16*1.05)</f>
        <v>1</v>
      </c>
      <c r="E122" s="88">
        <f t="shared" si="16"/>
        <v>1</v>
      </c>
      <c r="F122" s="88">
        <f t="shared" si="16"/>
        <v>1</v>
      </c>
      <c r="G122" s="88">
        <f t="shared" si="16"/>
        <v>1</v>
      </c>
      <c r="H122" s="88">
        <f t="shared" si="12"/>
        <v>1</v>
      </c>
    </row>
    <row r="123" spans="1:8" ht="13" x14ac:dyDescent="0.25">
      <c r="B123" s="65" t="s">
        <v>185</v>
      </c>
      <c r="C123" s="8" t="s">
        <v>184</v>
      </c>
      <c r="D123" s="88">
        <f t="shared" si="16"/>
        <v>1.1025</v>
      </c>
      <c r="E123" s="88">
        <f t="shared" si="16"/>
        <v>1.1025</v>
      </c>
      <c r="F123" s="88">
        <f t="shared" si="16"/>
        <v>1.1025</v>
      </c>
      <c r="G123" s="88">
        <f t="shared" si="16"/>
        <v>1.1025</v>
      </c>
      <c r="H123" s="88">
        <f t="shared" si="12"/>
        <v>1</v>
      </c>
    </row>
    <row r="124" spans="1:8" x14ac:dyDescent="0.25">
      <c r="D124" s="86"/>
      <c r="E124" s="86"/>
      <c r="F124" s="86"/>
      <c r="G124" s="86"/>
      <c r="H124" s="86"/>
    </row>
    <row r="125" spans="1:8" ht="13" x14ac:dyDescent="0.3">
      <c r="A125" s="4" t="s">
        <v>272</v>
      </c>
      <c r="B125" s="126" t="s">
        <v>118</v>
      </c>
      <c r="C125" s="8" t="s">
        <v>182</v>
      </c>
      <c r="D125" s="88">
        <f t="shared" ref="D125:H134" si="17">IF(D19=1,1,D19*1.05)</f>
        <v>1</v>
      </c>
      <c r="E125" s="88">
        <f t="shared" si="17"/>
        <v>1</v>
      </c>
      <c r="F125" s="88">
        <f t="shared" si="17"/>
        <v>1</v>
      </c>
      <c r="G125" s="88">
        <f t="shared" si="17"/>
        <v>1</v>
      </c>
      <c r="H125" s="88">
        <f t="shared" si="17"/>
        <v>1</v>
      </c>
    </row>
    <row r="126" spans="1:8" x14ac:dyDescent="0.25">
      <c r="B126" s="127"/>
      <c r="C126" s="8" t="s">
        <v>183</v>
      </c>
      <c r="D126" s="88">
        <f t="shared" si="17"/>
        <v>1</v>
      </c>
      <c r="E126" s="88">
        <f t="shared" si="17"/>
        <v>1</v>
      </c>
      <c r="F126" s="88">
        <f t="shared" si="17"/>
        <v>1</v>
      </c>
      <c r="G126" s="88">
        <f t="shared" si="17"/>
        <v>1</v>
      </c>
      <c r="H126" s="88">
        <f t="shared" si="17"/>
        <v>1</v>
      </c>
    </row>
    <row r="127" spans="1:8" x14ac:dyDescent="0.25">
      <c r="B127" s="127"/>
      <c r="C127" s="8" t="s">
        <v>184</v>
      </c>
      <c r="D127" s="88">
        <f t="shared" si="17"/>
        <v>1</v>
      </c>
      <c r="E127" s="88">
        <f t="shared" si="17"/>
        <v>1</v>
      </c>
      <c r="F127" s="88">
        <f t="shared" si="17"/>
        <v>1</v>
      </c>
      <c r="G127" s="88">
        <f t="shared" si="17"/>
        <v>1</v>
      </c>
      <c r="H127" s="88">
        <f t="shared" si="17"/>
        <v>1</v>
      </c>
    </row>
    <row r="128" spans="1:8" x14ac:dyDescent="0.25">
      <c r="B128" s="126" t="s">
        <v>127</v>
      </c>
      <c r="C128" s="8" t="s">
        <v>182</v>
      </c>
      <c r="D128" s="88">
        <f t="shared" si="17"/>
        <v>1</v>
      </c>
      <c r="E128" s="88">
        <f t="shared" si="17"/>
        <v>1</v>
      </c>
      <c r="F128" s="88">
        <f t="shared" si="17"/>
        <v>1</v>
      </c>
      <c r="G128" s="88">
        <f t="shared" si="17"/>
        <v>1</v>
      </c>
      <c r="H128" s="88">
        <f t="shared" si="17"/>
        <v>1</v>
      </c>
    </row>
    <row r="129" spans="1:8" x14ac:dyDescent="0.25">
      <c r="B129" s="127"/>
      <c r="C129" s="8" t="s">
        <v>183</v>
      </c>
      <c r="D129" s="88">
        <f t="shared" si="17"/>
        <v>1</v>
      </c>
      <c r="E129" s="88">
        <f t="shared" si="17"/>
        <v>1</v>
      </c>
      <c r="F129" s="88">
        <f t="shared" si="17"/>
        <v>1</v>
      </c>
      <c r="G129" s="88">
        <f t="shared" si="17"/>
        <v>1</v>
      </c>
      <c r="H129" s="88">
        <f t="shared" si="17"/>
        <v>1</v>
      </c>
    </row>
    <row r="130" spans="1:8" x14ac:dyDescent="0.25">
      <c r="B130" s="127"/>
      <c r="C130" s="8" t="s">
        <v>184</v>
      </c>
      <c r="D130" s="88">
        <f t="shared" si="17"/>
        <v>1</v>
      </c>
      <c r="E130" s="88">
        <f t="shared" si="17"/>
        <v>1</v>
      </c>
      <c r="F130" s="88">
        <f t="shared" si="17"/>
        <v>1</v>
      </c>
      <c r="G130" s="88">
        <f t="shared" si="17"/>
        <v>1</v>
      </c>
      <c r="H130" s="88">
        <f t="shared" si="17"/>
        <v>1</v>
      </c>
    </row>
    <row r="131" spans="1:8" x14ac:dyDescent="0.25">
      <c r="B131" s="126" t="s">
        <v>114</v>
      </c>
      <c r="C131" s="8" t="s">
        <v>182</v>
      </c>
      <c r="D131" s="88">
        <f t="shared" si="17"/>
        <v>1</v>
      </c>
      <c r="E131" s="88">
        <f t="shared" si="17"/>
        <v>1</v>
      </c>
      <c r="F131" s="88">
        <f t="shared" si="17"/>
        <v>1</v>
      </c>
      <c r="G131" s="88">
        <f t="shared" si="17"/>
        <v>1</v>
      </c>
      <c r="H131" s="88">
        <f t="shared" si="17"/>
        <v>1</v>
      </c>
    </row>
    <row r="132" spans="1:8" x14ac:dyDescent="0.25">
      <c r="B132" s="127"/>
      <c r="C132" s="8" t="s">
        <v>183</v>
      </c>
      <c r="D132" s="88">
        <f t="shared" si="17"/>
        <v>1</v>
      </c>
      <c r="E132" s="88">
        <f t="shared" si="17"/>
        <v>1</v>
      </c>
      <c r="F132" s="88">
        <f t="shared" si="17"/>
        <v>1</v>
      </c>
      <c r="G132" s="88">
        <f t="shared" si="17"/>
        <v>1</v>
      </c>
      <c r="H132" s="88">
        <f t="shared" si="17"/>
        <v>1</v>
      </c>
    </row>
    <row r="133" spans="1:8" x14ac:dyDescent="0.25">
      <c r="B133" s="127"/>
      <c r="C133" s="8" t="s">
        <v>184</v>
      </c>
      <c r="D133" s="88">
        <f t="shared" si="17"/>
        <v>1</v>
      </c>
      <c r="E133" s="88">
        <f t="shared" si="17"/>
        <v>1</v>
      </c>
      <c r="F133" s="88">
        <f t="shared" si="17"/>
        <v>1</v>
      </c>
      <c r="G133" s="88">
        <f t="shared" si="17"/>
        <v>1</v>
      </c>
      <c r="H133" s="88">
        <f t="shared" si="17"/>
        <v>1</v>
      </c>
    </row>
    <row r="134" spans="1:8" x14ac:dyDescent="0.25">
      <c r="B134" s="126" t="s">
        <v>115</v>
      </c>
      <c r="C134" s="8" t="s">
        <v>182</v>
      </c>
      <c r="D134" s="88">
        <f t="shared" si="17"/>
        <v>1</v>
      </c>
      <c r="E134" s="88">
        <f t="shared" si="17"/>
        <v>1</v>
      </c>
      <c r="F134" s="88">
        <f t="shared" si="17"/>
        <v>1</v>
      </c>
      <c r="G134" s="88">
        <f t="shared" si="17"/>
        <v>1</v>
      </c>
      <c r="H134" s="88">
        <f t="shared" si="17"/>
        <v>1</v>
      </c>
    </row>
    <row r="135" spans="1:8" x14ac:dyDescent="0.25">
      <c r="B135" s="127"/>
      <c r="C135" s="8" t="s">
        <v>183</v>
      </c>
      <c r="D135" s="88">
        <f t="shared" ref="D135:H140" si="18">IF(D29=1,1,D29*1.05)</f>
        <v>1</v>
      </c>
      <c r="E135" s="88">
        <f t="shared" si="18"/>
        <v>1</v>
      </c>
      <c r="F135" s="88">
        <f t="shared" si="18"/>
        <v>1</v>
      </c>
      <c r="G135" s="88">
        <f t="shared" si="18"/>
        <v>1</v>
      </c>
      <c r="H135" s="88">
        <f t="shared" si="18"/>
        <v>1</v>
      </c>
    </row>
    <row r="136" spans="1:8" x14ac:dyDescent="0.25">
      <c r="B136" s="127"/>
      <c r="C136" s="8" t="s">
        <v>184</v>
      </c>
      <c r="D136" s="88">
        <f t="shared" si="18"/>
        <v>1</v>
      </c>
      <c r="E136" s="88">
        <f t="shared" si="18"/>
        <v>1</v>
      </c>
      <c r="F136" s="88">
        <f t="shared" si="18"/>
        <v>1</v>
      </c>
      <c r="G136" s="88">
        <f t="shared" si="18"/>
        <v>1</v>
      </c>
      <c r="H136" s="88">
        <f t="shared" si="18"/>
        <v>1</v>
      </c>
    </row>
    <row r="137" spans="1:8" x14ac:dyDescent="0.25">
      <c r="B137" s="126" t="s">
        <v>116</v>
      </c>
      <c r="C137" s="8" t="s">
        <v>182</v>
      </c>
      <c r="D137" s="88">
        <f t="shared" si="18"/>
        <v>1</v>
      </c>
      <c r="E137" s="88">
        <f t="shared" si="18"/>
        <v>1</v>
      </c>
      <c r="F137" s="88">
        <f t="shared" si="18"/>
        <v>1</v>
      </c>
      <c r="G137" s="88">
        <f t="shared" si="18"/>
        <v>1</v>
      </c>
      <c r="H137" s="88">
        <f t="shared" si="18"/>
        <v>1</v>
      </c>
    </row>
    <row r="138" spans="1:8" x14ac:dyDescent="0.25">
      <c r="B138" s="127"/>
      <c r="C138" s="8" t="s">
        <v>183</v>
      </c>
      <c r="D138" s="88">
        <f t="shared" si="18"/>
        <v>1</v>
      </c>
      <c r="E138" s="88">
        <f t="shared" si="18"/>
        <v>1</v>
      </c>
      <c r="F138" s="88">
        <f t="shared" si="18"/>
        <v>1</v>
      </c>
      <c r="G138" s="88">
        <f t="shared" si="18"/>
        <v>1</v>
      </c>
      <c r="H138" s="88">
        <f t="shared" si="18"/>
        <v>1</v>
      </c>
    </row>
    <row r="139" spans="1:8" x14ac:dyDescent="0.25">
      <c r="B139" s="127"/>
      <c r="C139" s="8" t="s">
        <v>184</v>
      </c>
      <c r="D139" s="88">
        <f t="shared" si="18"/>
        <v>1</v>
      </c>
      <c r="E139" s="88">
        <f t="shared" si="18"/>
        <v>1</v>
      </c>
      <c r="F139" s="88">
        <f t="shared" si="18"/>
        <v>1</v>
      </c>
      <c r="G139" s="88">
        <f t="shared" si="18"/>
        <v>1</v>
      </c>
      <c r="H139" s="88">
        <f t="shared" si="18"/>
        <v>1</v>
      </c>
    </row>
    <row r="140" spans="1:8" ht="13" x14ac:dyDescent="0.25">
      <c r="B140" s="65" t="s">
        <v>185</v>
      </c>
      <c r="C140" s="8" t="s">
        <v>184</v>
      </c>
      <c r="D140" s="88">
        <f t="shared" si="18"/>
        <v>1</v>
      </c>
      <c r="E140" s="88">
        <f t="shared" si="18"/>
        <v>1</v>
      </c>
      <c r="F140" s="88">
        <f t="shared" si="18"/>
        <v>1</v>
      </c>
      <c r="G140" s="88">
        <f t="shared" si="18"/>
        <v>1</v>
      </c>
      <c r="H140" s="88">
        <f t="shared" si="18"/>
        <v>1</v>
      </c>
    </row>
    <row r="141" spans="1:8" x14ac:dyDescent="0.25">
      <c r="D141" s="86"/>
      <c r="E141" s="86"/>
      <c r="F141" s="86"/>
      <c r="G141" s="86"/>
      <c r="H141" s="86"/>
    </row>
    <row r="142" spans="1:8" ht="13" x14ac:dyDescent="0.3">
      <c r="A142" s="66" t="s">
        <v>273</v>
      </c>
      <c r="B142" s="126" t="s">
        <v>118</v>
      </c>
      <c r="C142" s="8" t="s">
        <v>182</v>
      </c>
      <c r="D142" s="88">
        <f t="shared" ref="D142:H151" si="19">IF(D36=1,1,D36*1.05)</f>
        <v>1</v>
      </c>
      <c r="E142" s="88">
        <f t="shared" si="19"/>
        <v>1</v>
      </c>
      <c r="F142" s="88">
        <f t="shared" si="19"/>
        <v>1</v>
      </c>
      <c r="G142" s="88">
        <f t="shared" si="19"/>
        <v>1</v>
      </c>
      <c r="H142" s="88">
        <f t="shared" si="19"/>
        <v>1</v>
      </c>
    </row>
    <row r="143" spans="1:8" x14ac:dyDescent="0.25">
      <c r="B143" s="127"/>
      <c r="C143" s="8" t="s">
        <v>183</v>
      </c>
      <c r="D143" s="88">
        <f t="shared" si="19"/>
        <v>1</v>
      </c>
      <c r="E143" s="88">
        <f t="shared" si="19"/>
        <v>1</v>
      </c>
      <c r="F143" s="88">
        <f t="shared" si="19"/>
        <v>1</v>
      </c>
      <c r="G143" s="88">
        <f t="shared" si="19"/>
        <v>1</v>
      </c>
      <c r="H143" s="88">
        <f t="shared" si="19"/>
        <v>1</v>
      </c>
    </row>
    <row r="144" spans="1:8" x14ac:dyDescent="0.25">
      <c r="B144" s="127"/>
      <c r="C144" s="8" t="s">
        <v>184</v>
      </c>
      <c r="D144" s="88">
        <f t="shared" si="19"/>
        <v>1</v>
      </c>
      <c r="E144" s="88">
        <f t="shared" si="19"/>
        <v>1</v>
      </c>
      <c r="F144" s="88">
        <f t="shared" si="19"/>
        <v>1</v>
      </c>
      <c r="G144" s="88">
        <f t="shared" si="19"/>
        <v>1</v>
      </c>
      <c r="H144" s="88">
        <f t="shared" si="19"/>
        <v>1</v>
      </c>
    </row>
    <row r="145" spans="2:8" x14ac:dyDescent="0.25">
      <c r="B145" s="126" t="s">
        <v>127</v>
      </c>
      <c r="C145" s="8" t="s">
        <v>182</v>
      </c>
      <c r="D145" s="88">
        <f t="shared" si="19"/>
        <v>1</v>
      </c>
      <c r="E145" s="88">
        <f t="shared" si="19"/>
        <v>1</v>
      </c>
      <c r="F145" s="88">
        <f t="shared" si="19"/>
        <v>1</v>
      </c>
      <c r="G145" s="88">
        <f t="shared" si="19"/>
        <v>1</v>
      </c>
      <c r="H145" s="88">
        <f t="shared" si="19"/>
        <v>1</v>
      </c>
    </row>
    <row r="146" spans="2:8" x14ac:dyDescent="0.25">
      <c r="B146" s="127"/>
      <c r="C146" s="8" t="s">
        <v>183</v>
      </c>
      <c r="D146" s="88">
        <f t="shared" si="19"/>
        <v>1</v>
      </c>
      <c r="E146" s="88">
        <f t="shared" si="19"/>
        <v>1</v>
      </c>
      <c r="F146" s="88">
        <f t="shared" si="19"/>
        <v>1</v>
      </c>
      <c r="G146" s="88">
        <f t="shared" si="19"/>
        <v>1</v>
      </c>
      <c r="H146" s="88">
        <f t="shared" si="19"/>
        <v>1</v>
      </c>
    </row>
    <row r="147" spans="2:8" x14ac:dyDescent="0.25">
      <c r="B147" s="127"/>
      <c r="C147" s="8" t="s">
        <v>184</v>
      </c>
      <c r="D147" s="88">
        <f t="shared" si="19"/>
        <v>1</v>
      </c>
      <c r="E147" s="88">
        <f t="shared" si="19"/>
        <v>1</v>
      </c>
      <c r="F147" s="88">
        <f t="shared" si="19"/>
        <v>1</v>
      </c>
      <c r="G147" s="88">
        <f t="shared" si="19"/>
        <v>1</v>
      </c>
      <c r="H147" s="88">
        <f t="shared" si="19"/>
        <v>1</v>
      </c>
    </row>
    <row r="148" spans="2:8" x14ac:dyDescent="0.25">
      <c r="B148" s="126" t="s">
        <v>114</v>
      </c>
      <c r="C148" s="8" t="s">
        <v>182</v>
      </c>
      <c r="D148" s="88">
        <f t="shared" si="19"/>
        <v>1</v>
      </c>
      <c r="E148" s="88">
        <f t="shared" si="19"/>
        <v>1</v>
      </c>
      <c r="F148" s="88">
        <f t="shared" si="19"/>
        <v>1</v>
      </c>
      <c r="G148" s="88">
        <f t="shared" si="19"/>
        <v>1</v>
      </c>
      <c r="H148" s="88">
        <f t="shared" si="19"/>
        <v>1</v>
      </c>
    </row>
    <row r="149" spans="2:8" x14ac:dyDescent="0.25">
      <c r="B149" s="127"/>
      <c r="C149" s="8" t="s">
        <v>183</v>
      </c>
      <c r="D149" s="88">
        <f t="shared" si="19"/>
        <v>1</v>
      </c>
      <c r="E149" s="88">
        <f t="shared" si="19"/>
        <v>1</v>
      </c>
      <c r="F149" s="88">
        <f t="shared" si="19"/>
        <v>1</v>
      </c>
      <c r="G149" s="88">
        <f t="shared" si="19"/>
        <v>1</v>
      </c>
      <c r="H149" s="88">
        <f t="shared" si="19"/>
        <v>1</v>
      </c>
    </row>
    <row r="150" spans="2:8" x14ac:dyDescent="0.25">
      <c r="B150" s="127"/>
      <c r="C150" s="8" t="s">
        <v>184</v>
      </c>
      <c r="D150" s="88">
        <f t="shared" si="19"/>
        <v>1</v>
      </c>
      <c r="E150" s="88">
        <f t="shared" si="19"/>
        <v>1</v>
      </c>
      <c r="F150" s="88">
        <f t="shared" si="19"/>
        <v>1</v>
      </c>
      <c r="G150" s="88">
        <f t="shared" si="19"/>
        <v>1</v>
      </c>
      <c r="H150" s="88">
        <f t="shared" si="19"/>
        <v>1</v>
      </c>
    </row>
    <row r="151" spans="2:8" x14ac:dyDescent="0.25">
      <c r="B151" s="126" t="s">
        <v>115</v>
      </c>
      <c r="C151" s="8" t="s">
        <v>182</v>
      </c>
      <c r="D151" s="88">
        <f t="shared" si="19"/>
        <v>1</v>
      </c>
      <c r="E151" s="88">
        <f t="shared" si="19"/>
        <v>1</v>
      </c>
      <c r="F151" s="88">
        <f t="shared" si="19"/>
        <v>1</v>
      </c>
      <c r="G151" s="88">
        <f t="shared" si="19"/>
        <v>1</v>
      </c>
      <c r="H151" s="88">
        <f t="shared" si="19"/>
        <v>1</v>
      </c>
    </row>
    <row r="152" spans="2:8" x14ac:dyDescent="0.25">
      <c r="B152" s="127"/>
      <c r="C152" s="8" t="s">
        <v>183</v>
      </c>
      <c r="D152" s="88">
        <f t="shared" ref="D152:H157" si="20">IF(D46=1,1,D46*1.05)</f>
        <v>1</v>
      </c>
      <c r="E152" s="88">
        <f t="shared" si="20"/>
        <v>1</v>
      </c>
      <c r="F152" s="88">
        <f t="shared" si="20"/>
        <v>1</v>
      </c>
      <c r="G152" s="88">
        <f t="shared" si="20"/>
        <v>1</v>
      </c>
      <c r="H152" s="88">
        <f t="shared" si="20"/>
        <v>1</v>
      </c>
    </row>
    <row r="153" spans="2:8" x14ac:dyDescent="0.25">
      <c r="B153" s="127"/>
      <c r="C153" s="8" t="s">
        <v>184</v>
      </c>
      <c r="D153" s="88">
        <f t="shared" si="20"/>
        <v>1</v>
      </c>
      <c r="E153" s="88">
        <f t="shared" si="20"/>
        <v>1</v>
      </c>
      <c r="F153" s="88">
        <f t="shared" si="20"/>
        <v>1</v>
      </c>
      <c r="G153" s="88">
        <f t="shared" si="20"/>
        <v>1</v>
      </c>
      <c r="H153" s="88">
        <f t="shared" si="20"/>
        <v>1</v>
      </c>
    </row>
    <row r="154" spans="2:8" x14ac:dyDescent="0.25">
      <c r="B154" s="126" t="s">
        <v>116</v>
      </c>
      <c r="C154" s="8" t="s">
        <v>182</v>
      </c>
      <c r="D154" s="88">
        <f t="shared" si="20"/>
        <v>1</v>
      </c>
      <c r="E154" s="88">
        <f t="shared" si="20"/>
        <v>1</v>
      </c>
      <c r="F154" s="88">
        <f t="shared" si="20"/>
        <v>1</v>
      </c>
      <c r="G154" s="88">
        <f t="shared" si="20"/>
        <v>1</v>
      </c>
      <c r="H154" s="88">
        <f t="shared" si="20"/>
        <v>1</v>
      </c>
    </row>
    <row r="155" spans="2:8" x14ac:dyDescent="0.25">
      <c r="B155" s="127"/>
      <c r="C155" s="8" t="s">
        <v>183</v>
      </c>
      <c r="D155" s="88">
        <f t="shared" si="20"/>
        <v>1</v>
      </c>
      <c r="E155" s="88">
        <f t="shared" si="20"/>
        <v>1</v>
      </c>
      <c r="F155" s="88">
        <f t="shared" si="20"/>
        <v>1</v>
      </c>
      <c r="G155" s="88">
        <f t="shared" si="20"/>
        <v>1</v>
      </c>
      <c r="H155" s="88">
        <f t="shared" si="20"/>
        <v>1</v>
      </c>
    </row>
    <row r="156" spans="2:8" x14ac:dyDescent="0.25">
      <c r="B156" s="127"/>
      <c r="C156" s="8" t="s">
        <v>184</v>
      </c>
      <c r="D156" s="88">
        <f t="shared" si="20"/>
        <v>1</v>
      </c>
      <c r="E156" s="88">
        <f t="shared" si="20"/>
        <v>1</v>
      </c>
      <c r="F156" s="88">
        <f t="shared" si="20"/>
        <v>1</v>
      </c>
      <c r="G156" s="88">
        <f t="shared" si="20"/>
        <v>1</v>
      </c>
      <c r="H156" s="88">
        <f t="shared" si="20"/>
        <v>1</v>
      </c>
    </row>
    <row r="157" spans="2:8" ht="13" x14ac:dyDescent="0.25">
      <c r="B157" s="65" t="s">
        <v>185</v>
      </c>
      <c r="C157" s="8" t="s">
        <v>184</v>
      </c>
      <c r="D157" s="88">
        <f t="shared" si="20"/>
        <v>1</v>
      </c>
      <c r="E157" s="88">
        <f t="shared" si="20"/>
        <v>1</v>
      </c>
      <c r="F157" s="88">
        <f t="shared" si="20"/>
        <v>1</v>
      </c>
      <c r="G157" s="88">
        <f t="shared" si="20"/>
        <v>1</v>
      </c>
      <c r="H157" s="88">
        <f t="shared" si="20"/>
        <v>1</v>
      </c>
    </row>
  </sheetData>
  <sheetProtection algorithmName="SHA-512" hashValue="rrJ9HPreFwZDl9jy6EojL9dE/Fh6LK/7Nz3X4RFlM441uAS86uSi75SkQx9VYlYnee/+gezvylBZGlIxOTRmeQ==" saltValue="7QeJKk1xwNW4fuTYU078Cg==" spinCount="100000" sheet="1" objects="1" scenarios="1" selectLockedCells="1"/>
  <mergeCells count="45">
    <mergeCell ref="B5:B7"/>
    <mergeCell ref="B36:B38"/>
    <mergeCell ref="B92:B94"/>
    <mergeCell ref="B114:B116"/>
    <mergeCell ref="B45:B47"/>
    <mergeCell ref="B22:B24"/>
    <mergeCell ref="B11:B13"/>
    <mergeCell ref="B8:B10"/>
    <mergeCell ref="B78:B80"/>
    <mergeCell ref="B108:B110"/>
    <mergeCell ref="B55:B57"/>
    <mergeCell ref="B84:B86"/>
    <mergeCell ref="B89:B91"/>
    <mergeCell ref="B154:B156"/>
    <mergeCell ref="B64:B66"/>
    <mergeCell ref="B95:B97"/>
    <mergeCell ref="B25:B27"/>
    <mergeCell ref="B125:B127"/>
    <mergeCell ref="B131:B133"/>
    <mergeCell ref="B31:B33"/>
    <mergeCell ref="B75:B77"/>
    <mergeCell ref="B81:B83"/>
    <mergeCell ref="B72:B74"/>
    <mergeCell ref="B134:B136"/>
    <mergeCell ref="B151:B153"/>
    <mergeCell ref="B148:B150"/>
    <mergeCell ref="B137:B139"/>
    <mergeCell ref="B128:B130"/>
    <mergeCell ref="B142:B144"/>
    <mergeCell ref="B2:B4"/>
    <mergeCell ref="B117:B119"/>
    <mergeCell ref="B111:B113"/>
    <mergeCell ref="B42:B44"/>
    <mergeCell ref="B145:B147"/>
    <mergeCell ref="B58:B60"/>
    <mergeCell ref="B101:B103"/>
    <mergeCell ref="B67:B69"/>
    <mergeCell ref="B61:B63"/>
    <mergeCell ref="B39:B41"/>
    <mergeCell ref="B48:B50"/>
    <mergeCell ref="B120:B122"/>
    <mergeCell ref="B14:B16"/>
    <mergeCell ref="B98:B100"/>
    <mergeCell ref="B19:B21"/>
    <mergeCell ref="B28:B30"/>
  </mergeCells>
  <pageMargins left="0.7" right="0.7" top="0.75" bottom="0.75" header="0.3" footer="0.3"/>
  <legacyDrawing r:id="rId1"/>
</worksheet>
</file>

<file path=xl/worksheets/sheet2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600-000000000000}">
  <sheetPr codeName="Sheet24">
    <tabColor theme="0" tint="-0.249977111117893"/>
  </sheetPr>
  <dimension ref="A1:G70"/>
  <sheetViews>
    <sheetView zoomScale="70" zoomScaleNormal="70" workbookViewId="0">
      <selection activeCell="C16" sqref="C16"/>
    </sheetView>
  </sheetViews>
  <sheetFormatPr defaultColWidth="12.7265625" defaultRowHeight="12.5" x14ac:dyDescent="0.25"/>
  <cols>
    <col min="1" max="1" width="44.81640625" style="104" customWidth="1"/>
    <col min="2" max="2" width="44.453125" style="104" customWidth="1"/>
    <col min="3" max="3" width="17.7265625" style="104" customWidth="1"/>
    <col min="4" max="4" width="17.54296875" style="104" customWidth="1"/>
    <col min="5" max="5" width="17.26953125" style="104" customWidth="1"/>
    <col min="6" max="6" width="15" style="104" customWidth="1"/>
    <col min="7" max="7" width="13.7265625" style="104" customWidth="1"/>
    <col min="8" max="16384" width="12.7265625" style="104"/>
  </cols>
  <sheetData>
    <row r="1" spans="1:7" s="119" customFormat="1" ht="14.25" customHeight="1" x14ac:dyDescent="0.3">
      <c r="A1" s="118" t="s">
        <v>264</v>
      </c>
    </row>
    <row r="2" spans="1:7" ht="14.25" customHeight="1" x14ac:dyDescent="0.3">
      <c r="A2" s="120" t="s">
        <v>6</v>
      </c>
      <c r="B2" s="105"/>
      <c r="C2" s="103" t="s">
        <v>127</v>
      </c>
      <c r="D2" s="103" t="s">
        <v>114</v>
      </c>
      <c r="E2" s="103" t="s">
        <v>115</v>
      </c>
      <c r="F2" s="103" t="s">
        <v>116</v>
      </c>
      <c r="G2" s="103" t="s">
        <v>117</v>
      </c>
    </row>
    <row r="3" spans="1:7" ht="14.25" customHeight="1" x14ac:dyDescent="0.25">
      <c r="B3" s="115" t="s">
        <v>274</v>
      </c>
      <c r="C3" s="116" t="s">
        <v>10</v>
      </c>
      <c r="D3" s="116">
        <v>45</v>
      </c>
      <c r="E3" s="116">
        <v>361.6</v>
      </c>
      <c r="F3" s="116">
        <v>174.7</v>
      </c>
      <c r="G3" s="116">
        <v>174.7</v>
      </c>
    </row>
    <row r="4" spans="1:7" ht="14.25" customHeight="1" x14ac:dyDescent="0.3">
      <c r="A4" s="103"/>
      <c r="B4" s="115" t="s">
        <v>275</v>
      </c>
      <c r="C4" s="116">
        <v>1.0249999999999999</v>
      </c>
      <c r="D4" s="116">
        <v>1.0249999999999999</v>
      </c>
      <c r="E4" s="116">
        <v>1.0249999999999999</v>
      </c>
      <c r="F4" s="116">
        <v>1.0249999999999999</v>
      </c>
      <c r="G4" s="116">
        <v>1.0249999999999999</v>
      </c>
    </row>
    <row r="5" spans="1:7" ht="14.25" customHeight="1" x14ac:dyDescent="0.3">
      <c r="A5" s="121" t="s">
        <v>276</v>
      </c>
    </row>
    <row r="6" spans="1:7" ht="14.25" customHeight="1" x14ac:dyDescent="0.25">
      <c r="B6" s="115" t="s">
        <v>221</v>
      </c>
      <c r="C6" s="116">
        <v>1</v>
      </c>
      <c r="D6" s="116">
        <v>1</v>
      </c>
      <c r="E6" s="116">
        <v>0.89</v>
      </c>
      <c r="F6" s="116">
        <v>0.89</v>
      </c>
      <c r="G6" s="116">
        <v>1</v>
      </c>
    </row>
    <row r="7" spans="1:7" ht="14.25" customHeight="1" x14ac:dyDescent="0.25">
      <c r="B7" s="115" t="s">
        <v>214</v>
      </c>
      <c r="C7" s="116">
        <v>1</v>
      </c>
      <c r="D7" s="116">
        <v>1</v>
      </c>
      <c r="E7" s="116">
        <v>0.88</v>
      </c>
      <c r="F7" s="116">
        <v>0.88</v>
      </c>
      <c r="G7" s="116">
        <v>1</v>
      </c>
    </row>
    <row r="8" spans="1:7" ht="14.25" customHeight="1" x14ac:dyDescent="0.25">
      <c r="B8" s="115" t="s">
        <v>199</v>
      </c>
      <c r="C8" s="116">
        <v>1</v>
      </c>
      <c r="D8" s="116">
        <v>1</v>
      </c>
      <c r="E8" s="116">
        <v>1</v>
      </c>
      <c r="F8" s="116">
        <v>0.80800000000000005</v>
      </c>
      <c r="G8" s="116">
        <v>0.80800000000000005</v>
      </c>
    </row>
    <row r="9" spans="1:7" ht="14.25" customHeight="1" x14ac:dyDescent="0.25">
      <c r="B9" s="115" t="s">
        <v>234</v>
      </c>
      <c r="C9" s="116">
        <v>1</v>
      </c>
      <c r="D9" s="116">
        <v>1</v>
      </c>
      <c r="E9" s="116">
        <v>0.88</v>
      </c>
      <c r="F9" s="116">
        <v>0.88</v>
      </c>
      <c r="G9" s="116">
        <v>1</v>
      </c>
    </row>
    <row r="10" spans="1:7" ht="14.25" customHeight="1" x14ac:dyDescent="0.25">
      <c r="B10" s="115" t="s">
        <v>229</v>
      </c>
      <c r="C10" s="116">
        <v>1</v>
      </c>
      <c r="D10" s="116">
        <v>1</v>
      </c>
      <c r="E10" s="116">
        <v>1</v>
      </c>
      <c r="F10" s="116">
        <v>1</v>
      </c>
      <c r="G10" s="116">
        <v>1</v>
      </c>
    </row>
    <row r="11" spans="1:7" ht="14.25" customHeight="1" x14ac:dyDescent="0.25">
      <c r="B11" s="115"/>
      <c r="C11" s="115"/>
      <c r="D11" s="115"/>
      <c r="E11" s="115"/>
      <c r="F11" s="115"/>
      <c r="G11" s="115"/>
    </row>
    <row r="12" spans="1:7" s="119" customFormat="1" ht="14.25" customHeight="1" x14ac:dyDescent="0.3">
      <c r="A12" s="118" t="s">
        <v>280</v>
      </c>
    </row>
    <row r="13" spans="1:7" ht="14.25" customHeight="1" x14ac:dyDescent="0.3">
      <c r="A13" s="121"/>
      <c r="B13" s="115" t="s">
        <v>213</v>
      </c>
      <c r="C13" s="116">
        <v>1</v>
      </c>
      <c r="D13" s="116">
        <v>1.39</v>
      </c>
      <c r="E13" s="116">
        <v>1</v>
      </c>
      <c r="F13" s="116">
        <v>1</v>
      </c>
      <c r="G13" s="116">
        <v>1</v>
      </c>
    </row>
    <row r="14" spans="1:7" ht="14.25" customHeight="1" x14ac:dyDescent="0.3">
      <c r="A14" s="121"/>
      <c r="B14" s="112"/>
    </row>
    <row r="15" spans="1:7" s="119" customFormat="1" ht="14.25" customHeight="1" x14ac:dyDescent="0.3">
      <c r="A15" s="118" t="s">
        <v>277</v>
      </c>
    </row>
    <row r="16" spans="1:7" ht="14.25" customHeight="1" x14ac:dyDescent="0.3">
      <c r="A16" s="120" t="s">
        <v>283</v>
      </c>
      <c r="B16" s="115" t="s">
        <v>278</v>
      </c>
      <c r="C16" s="116">
        <v>1.024</v>
      </c>
      <c r="D16" s="116">
        <v>1.024</v>
      </c>
      <c r="E16" s="116">
        <v>1.024</v>
      </c>
      <c r="F16" s="116">
        <v>1.024</v>
      </c>
      <c r="G16" s="116">
        <v>1.024</v>
      </c>
    </row>
    <row r="17" spans="1:7" ht="14.25" customHeight="1" x14ac:dyDescent="0.3">
      <c r="A17" s="103"/>
      <c r="B17" s="115" t="s">
        <v>281</v>
      </c>
      <c r="C17" s="116">
        <v>1.024</v>
      </c>
      <c r="D17" s="116">
        <v>1.024</v>
      </c>
      <c r="E17" s="116">
        <v>1.024</v>
      </c>
      <c r="F17" s="116">
        <v>1.024</v>
      </c>
      <c r="G17" s="116">
        <v>1.024</v>
      </c>
    </row>
    <row r="18" spans="1:7" ht="14.25" customHeight="1" x14ac:dyDescent="0.3">
      <c r="A18" s="120" t="s">
        <v>139</v>
      </c>
      <c r="B18" s="115" t="s">
        <v>279</v>
      </c>
      <c r="C18" s="116">
        <v>1</v>
      </c>
      <c r="D18" s="116">
        <v>1</v>
      </c>
      <c r="E18" s="116">
        <v>1</v>
      </c>
      <c r="F18" s="116">
        <v>1</v>
      </c>
      <c r="G18" s="116">
        <v>1</v>
      </c>
    </row>
    <row r="19" spans="1:7" ht="14.25" customHeight="1" x14ac:dyDescent="0.25"/>
    <row r="20" spans="1:7" s="119" customFormat="1" ht="14.25" customHeight="1" x14ac:dyDescent="0.3">
      <c r="A20" s="118" t="s">
        <v>282</v>
      </c>
    </row>
    <row r="21" spans="1:7" s="121" customFormat="1" ht="14.25" customHeight="1" x14ac:dyDescent="0.3">
      <c r="C21" s="122" t="s">
        <v>87</v>
      </c>
      <c r="D21" s="122" t="s">
        <v>88</v>
      </c>
      <c r="E21" s="122" t="s">
        <v>89</v>
      </c>
      <c r="F21" s="122" t="s">
        <v>90</v>
      </c>
    </row>
    <row r="22" spans="1:7" x14ac:dyDescent="0.25">
      <c r="B22" s="115" t="s">
        <v>201</v>
      </c>
      <c r="C22" s="116">
        <v>1.52</v>
      </c>
      <c r="D22" s="116">
        <v>1</v>
      </c>
      <c r="E22" s="116">
        <v>1</v>
      </c>
      <c r="F22" s="116">
        <v>1</v>
      </c>
    </row>
    <row r="24" spans="1:7" s="117" customFormat="1" ht="13" x14ac:dyDescent="0.3">
      <c r="A24" s="117" t="s">
        <v>266</v>
      </c>
    </row>
    <row r="25" spans="1:7" ht="13" x14ac:dyDescent="0.3">
      <c r="A25" s="118" t="s">
        <v>264</v>
      </c>
      <c r="B25" s="119"/>
      <c r="C25" s="119"/>
      <c r="D25" s="119"/>
      <c r="E25" s="119"/>
      <c r="F25" s="119"/>
      <c r="G25" s="119"/>
    </row>
    <row r="26" spans="1:7" ht="13" x14ac:dyDescent="0.3">
      <c r="A26" s="120" t="s">
        <v>6</v>
      </c>
      <c r="B26" s="105"/>
      <c r="C26" s="103" t="s">
        <v>127</v>
      </c>
      <c r="D26" s="103" t="s">
        <v>114</v>
      </c>
      <c r="E26" s="103" t="s">
        <v>115</v>
      </c>
      <c r="F26" s="103" t="s">
        <v>116</v>
      </c>
      <c r="G26" s="103" t="s">
        <v>117</v>
      </c>
    </row>
    <row r="27" spans="1:7" x14ac:dyDescent="0.25">
      <c r="B27" s="115" t="s">
        <v>284</v>
      </c>
      <c r="C27" s="116" t="s">
        <v>10</v>
      </c>
      <c r="D27" s="116">
        <f t="shared" ref="D27:G27" si="0">D3*0.9</f>
        <v>40.5</v>
      </c>
      <c r="E27" s="116">
        <f t="shared" si="0"/>
        <v>325.44000000000005</v>
      </c>
      <c r="F27" s="116">
        <f t="shared" si="0"/>
        <v>157.22999999999999</v>
      </c>
      <c r="G27" s="116">
        <f t="shared" si="0"/>
        <v>157.22999999999999</v>
      </c>
    </row>
    <row r="28" spans="1:7" ht="13" x14ac:dyDescent="0.3">
      <c r="A28" s="103"/>
      <c r="B28" s="115" t="s">
        <v>285</v>
      </c>
      <c r="C28" s="116">
        <v>1.014</v>
      </c>
      <c r="D28" s="116">
        <v>1.014</v>
      </c>
      <c r="E28" s="116">
        <v>1.014</v>
      </c>
      <c r="F28" s="116">
        <v>1.014</v>
      </c>
      <c r="G28" s="116">
        <v>1.014</v>
      </c>
    </row>
    <row r="29" spans="1:7" ht="13" x14ac:dyDescent="0.3">
      <c r="A29" s="121" t="s">
        <v>286</v>
      </c>
    </row>
    <row r="30" spans="1:7" x14ac:dyDescent="0.25">
      <c r="B30" s="115" t="s">
        <v>287</v>
      </c>
      <c r="C30" s="116">
        <f>IF(C6=1,1,C6*0.9)</f>
        <v>1</v>
      </c>
      <c r="D30" s="116">
        <f t="shared" ref="D30:G30" si="1">IF(D6=1,1,D6*0.9)</f>
        <v>1</v>
      </c>
      <c r="E30" s="116">
        <f>E6*0.9</f>
        <v>0.80100000000000005</v>
      </c>
      <c r="F30" s="116">
        <f>F6*0.9</f>
        <v>0.80100000000000005</v>
      </c>
      <c r="G30" s="116">
        <f t="shared" si="1"/>
        <v>1</v>
      </c>
    </row>
    <row r="31" spans="1:7" x14ac:dyDescent="0.25">
      <c r="B31" s="115" t="s">
        <v>288</v>
      </c>
      <c r="C31" s="116">
        <f>IF(C7=1,1,C7*0.9)</f>
        <v>1</v>
      </c>
      <c r="D31" s="116">
        <f>IF(D7=1,1,D7*0.9)</f>
        <v>1</v>
      </c>
      <c r="E31" s="116">
        <v>0.85</v>
      </c>
      <c r="F31" s="116">
        <v>0.85</v>
      </c>
      <c r="G31" s="116">
        <f>IF(G7=1,1,G7*0.9)</f>
        <v>1</v>
      </c>
    </row>
    <row r="32" spans="1:7" x14ac:dyDescent="0.25">
      <c r="B32" s="115" t="s">
        <v>29</v>
      </c>
      <c r="C32" s="116">
        <f>IF(C8=1,1,C8*0.9)</f>
        <v>1</v>
      </c>
      <c r="D32" s="116">
        <f>IF(D8=1,1,D8*0.9)</f>
        <v>1</v>
      </c>
      <c r="E32" s="116">
        <v>1</v>
      </c>
      <c r="F32" s="90">
        <v>0.39500000000000002</v>
      </c>
      <c r="G32" s="90">
        <v>0.39500000000000002</v>
      </c>
    </row>
    <row r="33" spans="1:7" x14ac:dyDescent="0.25">
      <c r="B33" s="115" t="s">
        <v>310</v>
      </c>
      <c r="C33" s="116">
        <f t="shared" ref="C33:G33" si="2">IF(C9=1,1,C9*0.9)</f>
        <v>1</v>
      </c>
      <c r="D33" s="116">
        <f t="shared" si="2"/>
        <v>1</v>
      </c>
      <c r="E33" s="116">
        <v>0.85</v>
      </c>
      <c r="F33" s="116">
        <v>0.85</v>
      </c>
      <c r="G33" s="116">
        <f t="shared" si="2"/>
        <v>1</v>
      </c>
    </row>
    <row r="34" spans="1:7" x14ac:dyDescent="0.25">
      <c r="B34" s="115" t="s">
        <v>289</v>
      </c>
      <c r="C34" s="116">
        <f>IF(C10=1,1,C10*0.9)</f>
        <v>1</v>
      </c>
      <c r="D34" s="116">
        <f>IF(D10=1,1,D10*0.9)</f>
        <v>1</v>
      </c>
      <c r="E34" s="116">
        <f>IF(E10=1,1,E10*0.9)</f>
        <v>1</v>
      </c>
      <c r="F34" s="116">
        <f>IF(F10=1,1,F10*0.9)</f>
        <v>1</v>
      </c>
      <c r="G34" s="116">
        <f>IF(G10=1,1,G10*0.9)</f>
        <v>1</v>
      </c>
    </row>
    <row r="35" spans="1:7" x14ac:dyDescent="0.25">
      <c r="B35" s="115"/>
      <c r="C35" s="115"/>
      <c r="D35" s="115"/>
      <c r="E35" s="115"/>
      <c r="F35" s="115"/>
      <c r="G35" s="115"/>
    </row>
    <row r="36" spans="1:7" ht="13" x14ac:dyDescent="0.3">
      <c r="A36" s="118" t="s">
        <v>290</v>
      </c>
      <c r="B36" s="119"/>
      <c r="C36" s="119"/>
      <c r="D36" s="119"/>
      <c r="E36" s="119"/>
      <c r="F36" s="119"/>
      <c r="G36" s="119"/>
    </row>
    <row r="37" spans="1:7" ht="13" x14ac:dyDescent="0.3">
      <c r="A37" s="121"/>
      <c r="B37" s="115" t="s">
        <v>291</v>
      </c>
      <c r="C37" s="116">
        <v>1</v>
      </c>
      <c r="D37" s="116">
        <v>1.1100000000000001</v>
      </c>
      <c r="E37" s="116">
        <v>1</v>
      </c>
      <c r="F37" s="116">
        <v>1</v>
      </c>
      <c r="G37" s="116">
        <v>1</v>
      </c>
    </row>
    <row r="38" spans="1:7" ht="13" x14ac:dyDescent="0.3">
      <c r="A38" s="121"/>
      <c r="B38" s="112"/>
    </row>
    <row r="39" spans="1:7" ht="13" x14ac:dyDescent="0.3">
      <c r="A39" s="118" t="s">
        <v>277</v>
      </c>
      <c r="B39" s="119"/>
      <c r="C39" s="119"/>
      <c r="D39" s="119"/>
      <c r="E39" s="119"/>
      <c r="F39" s="119"/>
      <c r="G39" s="119"/>
    </row>
    <row r="40" spans="1:7" ht="13" x14ac:dyDescent="0.3">
      <c r="A40" s="120" t="s">
        <v>283</v>
      </c>
      <c r="B40" s="115" t="s">
        <v>292</v>
      </c>
      <c r="C40" s="116">
        <v>1.016</v>
      </c>
      <c r="D40" s="116">
        <v>1.016</v>
      </c>
      <c r="E40" s="116">
        <v>1.016</v>
      </c>
      <c r="F40" s="116">
        <v>1.016</v>
      </c>
      <c r="G40" s="116">
        <v>1.016</v>
      </c>
    </row>
    <row r="41" spans="1:7" ht="13" x14ac:dyDescent="0.3">
      <c r="A41" s="103"/>
      <c r="B41" s="115" t="s">
        <v>293</v>
      </c>
      <c r="C41" s="116">
        <v>1.016</v>
      </c>
      <c r="D41" s="116">
        <v>1.016</v>
      </c>
      <c r="E41" s="116">
        <v>1.016</v>
      </c>
      <c r="F41" s="116">
        <v>1.016</v>
      </c>
      <c r="G41" s="116">
        <v>1.016</v>
      </c>
    </row>
    <row r="42" spans="1:7" ht="13" x14ac:dyDescent="0.3">
      <c r="A42" s="120" t="s">
        <v>139</v>
      </c>
      <c r="B42" s="115" t="s">
        <v>294</v>
      </c>
      <c r="C42" s="116">
        <f t="shared" ref="C42:G42" si="3">IF(C18=1,1,C18*0.9)</f>
        <v>1</v>
      </c>
      <c r="D42" s="116">
        <f t="shared" si="3"/>
        <v>1</v>
      </c>
      <c r="E42" s="116">
        <f t="shared" si="3"/>
        <v>1</v>
      </c>
      <c r="F42" s="116">
        <f t="shared" si="3"/>
        <v>1</v>
      </c>
      <c r="G42" s="116">
        <f t="shared" si="3"/>
        <v>1</v>
      </c>
    </row>
    <row r="44" spans="1:7" ht="13" x14ac:dyDescent="0.3">
      <c r="A44" s="118" t="s">
        <v>295</v>
      </c>
      <c r="B44" s="119"/>
      <c r="C44" s="119"/>
      <c r="D44" s="119"/>
      <c r="E44" s="119"/>
      <c r="F44" s="119"/>
      <c r="G44" s="119"/>
    </row>
    <row r="45" spans="1:7" ht="13" x14ac:dyDescent="0.3">
      <c r="A45" s="121"/>
      <c r="B45" s="121"/>
      <c r="C45" s="122" t="s">
        <v>87</v>
      </c>
      <c r="D45" s="122" t="s">
        <v>88</v>
      </c>
      <c r="E45" s="122" t="s">
        <v>89</v>
      </c>
      <c r="F45" s="122" t="s">
        <v>90</v>
      </c>
      <c r="G45" s="121"/>
    </row>
    <row r="46" spans="1:7" x14ac:dyDescent="0.25">
      <c r="B46" s="115" t="s">
        <v>296</v>
      </c>
      <c r="C46" s="116">
        <f>C22*0.9</f>
        <v>1.3680000000000001</v>
      </c>
      <c r="D46" s="116">
        <v>1</v>
      </c>
      <c r="E46" s="116">
        <v>1</v>
      </c>
      <c r="F46" s="116">
        <v>1</v>
      </c>
    </row>
    <row r="48" spans="1:7" s="117" customFormat="1" ht="13" x14ac:dyDescent="0.3">
      <c r="A48" s="117" t="s">
        <v>270</v>
      </c>
    </row>
    <row r="49" spans="1:7" ht="13" x14ac:dyDescent="0.3">
      <c r="A49" s="118" t="s">
        <v>264</v>
      </c>
      <c r="B49" s="119"/>
      <c r="C49" s="119"/>
      <c r="D49" s="119"/>
      <c r="E49" s="119"/>
      <c r="F49" s="119"/>
      <c r="G49" s="119"/>
    </row>
    <row r="50" spans="1:7" ht="13" x14ac:dyDescent="0.3">
      <c r="A50" s="120" t="s">
        <v>6</v>
      </c>
      <c r="B50" s="105"/>
      <c r="C50" s="103" t="s">
        <v>127</v>
      </c>
      <c r="D50" s="103" t="s">
        <v>114</v>
      </c>
      <c r="E50" s="103" t="s">
        <v>115</v>
      </c>
      <c r="F50" s="103" t="s">
        <v>116</v>
      </c>
      <c r="G50" s="103" t="s">
        <v>117</v>
      </c>
    </row>
    <row r="51" spans="1:7" x14ac:dyDescent="0.25">
      <c r="B51" s="115" t="s">
        <v>297</v>
      </c>
      <c r="C51" s="116" t="s">
        <v>10</v>
      </c>
      <c r="D51" s="116">
        <f t="shared" ref="D51:G51" si="4">D3*1.05</f>
        <v>47.25</v>
      </c>
      <c r="E51" s="116">
        <f t="shared" si="4"/>
        <v>379.68000000000006</v>
      </c>
      <c r="F51" s="116">
        <f t="shared" si="4"/>
        <v>183.435</v>
      </c>
      <c r="G51" s="116">
        <f t="shared" si="4"/>
        <v>183.435</v>
      </c>
    </row>
    <row r="52" spans="1:7" ht="13" x14ac:dyDescent="0.3">
      <c r="A52" s="103"/>
      <c r="B52" s="115" t="s">
        <v>298</v>
      </c>
      <c r="C52" s="116">
        <v>1.0349999999999999</v>
      </c>
      <c r="D52" s="116">
        <v>1.0349999999999999</v>
      </c>
      <c r="E52" s="116">
        <v>1.0349999999999999</v>
      </c>
      <c r="F52" s="116">
        <v>1.0349999999999999</v>
      </c>
      <c r="G52" s="116">
        <v>1.0349999999999999</v>
      </c>
    </row>
    <row r="53" spans="1:7" ht="13" x14ac:dyDescent="0.3">
      <c r="A53" s="121" t="s">
        <v>299</v>
      </c>
    </row>
    <row r="54" spans="1:7" x14ac:dyDescent="0.25">
      <c r="B54" s="115" t="s">
        <v>300</v>
      </c>
      <c r="C54" s="116">
        <f>IF(C6=1,1,C6*1.1)</f>
        <v>1</v>
      </c>
      <c r="D54" s="116">
        <f t="shared" ref="D54:G54" si="5">IF(D6=1,1,D6*1.1)</f>
        <v>1</v>
      </c>
      <c r="E54" s="116">
        <f>E6*1.05</f>
        <v>0.93450000000000011</v>
      </c>
      <c r="F54" s="116">
        <f>F6*1.05</f>
        <v>0.93450000000000011</v>
      </c>
      <c r="G54" s="116">
        <f t="shared" si="5"/>
        <v>1</v>
      </c>
    </row>
    <row r="55" spans="1:7" x14ac:dyDescent="0.25">
      <c r="B55" s="115" t="s">
        <v>301</v>
      </c>
      <c r="C55" s="116">
        <f>IF(C7=1,1,C7*1.1)</f>
        <v>1</v>
      </c>
      <c r="D55" s="116">
        <f>IF(D7=1,1,D7*1.1)</f>
        <v>1</v>
      </c>
      <c r="E55" s="116">
        <v>0.91</v>
      </c>
      <c r="F55" s="116">
        <v>0.91</v>
      </c>
      <c r="G55" s="116">
        <f>IF(G7=1,1,G7*1.1)</f>
        <v>1</v>
      </c>
    </row>
    <row r="56" spans="1:7" x14ac:dyDescent="0.25">
      <c r="B56" s="115" t="s">
        <v>30</v>
      </c>
      <c r="C56" s="116">
        <f>IF(C8=1,1,C8*1.1)</f>
        <v>1</v>
      </c>
      <c r="D56" s="116">
        <f>IF(D8=1,1,D8*1.1)</f>
        <v>1</v>
      </c>
      <c r="E56" s="90">
        <v>1</v>
      </c>
      <c r="F56" s="90">
        <v>0.95599999999999996</v>
      </c>
      <c r="G56" s="90">
        <v>0.95599999999999996</v>
      </c>
    </row>
    <row r="57" spans="1:7" x14ac:dyDescent="0.25">
      <c r="B57" s="115" t="s">
        <v>311</v>
      </c>
      <c r="C57" s="116">
        <f t="shared" ref="C57:G58" si="6">IF(C9=1,1,C9*1.1)</f>
        <v>1</v>
      </c>
      <c r="D57" s="116">
        <f t="shared" si="6"/>
        <v>1</v>
      </c>
      <c r="E57" s="116">
        <v>0.91</v>
      </c>
      <c r="F57" s="116">
        <v>0.91</v>
      </c>
      <c r="G57" s="116">
        <f t="shared" si="6"/>
        <v>1</v>
      </c>
    </row>
    <row r="58" spans="1:7" x14ac:dyDescent="0.25">
      <c r="B58" s="115" t="s">
        <v>302</v>
      </c>
      <c r="C58" s="116">
        <f t="shared" si="6"/>
        <v>1</v>
      </c>
      <c r="D58" s="116">
        <f t="shared" si="6"/>
        <v>1</v>
      </c>
      <c r="E58" s="116">
        <f t="shared" si="6"/>
        <v>1</v>
      </c>
      <c r="F58" s="116">
        <f t="shared" si="6"/>
        <v>1</v>
      </c>
      <c r="G58" s="116">
        <f t="shared" si="6"/>
        <v>1</v>
      </c>
    </row>
    <row r="59" spans="1:7" x14ac:dyDescent="0.25">
      <c r="B59" s="115"/>
      <c r="C59" s="115"/>
      <c r="D59" s="115"/>
      <c r="E59" s="115"/>
      <c r="F59" s="115"/>
      <c r="G59" s="115"/>
    </row>
    <row r="60" spans="1:7" ht="13" x14ac:dyDescent="0.3">
      <c r="A60" s="118" t="s">
        <v>303</v>
      </c>
      <c r="B60" s="119"/>
      <c r="C60" s="119"/>
      <c r="D60" s="119"/>
      <c r="E60" s="119"/>
      <c r="F60" s="119"/>
      <c r="G60" s="119"/>
    </row>
    <row r="61" spans="1:7" ht="13" x14ac:dyDescent="0.3">
      <c r="A61" s="121"/>
      <c r="B61" s="115" t="s">
        <v>304</v>
      </c>
      <c r="C61" s="116">
        <v>1</v>
      </c>
      <c r="D61" s="116">
        <v>1.74</v>
      </c>
      <c r="E61" s="116">
        <v>1</v>
      </c>
      <c r="F61" s="116">
        <v>1</v>
      </c>
      <c r="G61" s="116">
        <v>1</v>
      </c>
    </row>
    <row r="62" spans="1:7" ht="13" x14ac:dyDescent="0.3">
      <c r="A62" s="121"/>
      <c r="B62" s="112"/>
    </row>
    <row r="63" spans="1:7" ht="13" x14ac:dyDescent="0.3">
      <c r="A63" s="118" t="s">
        <v>277</v>
      </c>
      <c r="B63" s="119"/>
      <c r="C63" s="119"/>
      <c r="D63" s="119"/>
      <c r="E63" s="119"/>
      <c r="F63" s="119"/>
      <c r="G63" s="119"/>
    </row>
    <row r="64" spans="1:7" ht="13" x14ac:dyDescent="0.3">
      <c r="A64" s="120" t="s">
        <v>283</v>
      </c>
      <c r="B64" s="115" t="s">
        <v>305</v>
      </c>
      <c r="C64" s="116">
        <v>1.0309999999999999</v>
      </c>
      <c r="D64" s="116">
        <v>1.0309999999999999</v>
      </c>
      <c r="E64" s="116">
        <v>1.0309999999999999</v>
      </c>
      <c r="F64" s="116">
        <v>1.0309999999999999</v>
      </c>
      <c r="G64" s="116">
        <v>1.0309999999999999</v>
      </c>
    </row>
    <row r="65" spans="1:7" ht="13" x14ac:dyDescent="0.3">
      <c r="A65" s="103"/>
      <c r="B65" s="115" t="s">
        <v>306</v>
      </c>
      <c r="C65" s="116">
        <v>1.0309999999999999</v>
      </c>
      <c r="D65" s="116">
        <v>1.0309999999999999</v>
      </c>
      <c r="E65" s="116">
        <v>1.0309999999999999</v>
      </c>
      <c r="F65" s="116">
        <v>1.0309999999999999</v>
      </c>
      <c r="G65" s="116">
        <v>1.0309999999999999</v>
      </c>
    </row>
    <row r="66" spans="1:7" ht="13" x14ac:dyDescent="0.3">
      <c r="A66" s="120" t="s">
        <v>139</v>
      </c>
      <c r="B66" s="115" t="s">
        <v>307</v>
      </c>
      <c r="C66" s="116">
        <f t="shared" ref="C66:G66" si="7">IF(C18=1,1,C18*1.1)</f>
        <v>1</v>
      </c>
      <c r="D66" s="116">
        <f t="shared" si="7"/>
        <v>1</v>
      </c>
      <c r="E66" s="116">
        <f t="shared" si="7"/>
        <v>1</v>
      </c>
      <c r="F66" s="116">
        <f t="shared" si="7"/>
        <v>1</v>
      </c>
      <c r="G66" s="116">
        <f t="shared" si="7"/>
        <v>1</v>
      </c>
    </row>
    <row r="68" spans="1:7" ht="13" x14ac:dyDescent="0.3">
      <c r="A68" s="118" t="s">
        <v>308</v>
      </c>
      <c r="B68" s="119"/>
      <c r="C68" s="119"/>
      <c r="D68" s="119"/>
      <c r="E68" s="119"/>
      <c r="F68" s="119"/>
      <c r="G68" s="119"/>
    </row>
    <row r="69" spans="1:7" ht="13" x14ac:dyDescent="0.3">
      <c r="A69" s="121"/>
      <c r="B69" s="121"/>
      <c r="C69" s="122" t="s">
        <v>87</v>
      </c>
      <c r="D69" s="122" t="s">
        <v>88</v>
      </c>
      <c r="E69" s="122" t="s">
        <v>89</v>
      </c>
      <c r="F69" s="122" t="s">
        <v>90</v>
      </c>
      <c r="G69" s="121"/>
    </row>
    <row r="70" spans="1:7" x14ac:dyDescent="0.25">
      <c r="B70" s="115" t="s">
        <v>309</v>
      </c>
      <c r="C70" s="116">
        <f>C22*1.1</f>
        <v>1.6720000000000002</v>
      </c>
      <c r="D70" s="116">
        <v>1</v>
      </c>
      <c r="E70" s="116">
        <v>1</v>
      </c>
      <c r="F70" s="116">
        <v>1</v>
      </c>
    </row>
  </sheetData>
  <sheetProtection algorithmName="SHA-512" hashValue="slsqIMRpdSIy8wIpW5/8yrPOJ3LezHsTCgXD5YA5+jEjxEnYU75bJOZyP+p5soxO/7VhFYmK6cXZUBtDb+5XJA==" saltValue="XwybPW2iTfaWbWJbAcq0Aw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700-000000000000}">
  <sheetPr codeName="Sheet21">
    <tabColor theme="0" tint="-0.249977111117893"/>
  </sheetPr>
  <dimension ref="A1:F49"/>
  <sheetViews>
    <sheetView topLeftCell="A31" zoomScale="70" zoomScaleNormal="70" workbookViewId="0">
      <selection activeCell="C19" sqref="C19"/>
    </sheetView>
  </sheetViews>
  <sheetFormatPr defaultColWidth="16.1796875" defaultRowHeight="15.75" customHeight="1" x14ac:dyDescent="0.25"/>
  <cols>
    <col min="1" max="1" width="52.26953125" style="104" customWidth="1"/>
    <col min="2" max="6" width="16.1796875" style="104"/>
    <col min="7" max="7" width="17.26953125" style="104" customWidth="1"/>
    <col min="8" max="8" width="16.1796875" style="104" customWidth="1"/>
    <col min="9" max="16384" width="16.1796875" style="104"/>
  </cols>
  <sheetData>
    <row r="1" spans="1:6" ht="15.75" customHeight="1" x14ac:dyDescent="0.3">
      <c r="A1" s="105" t="s">
        <v>189</v>
      </c>
      <c r="B1" s="103"/>
      <c r="C1" s="103" t="s">
        <v>69</v>
      </c>
      <c r="D1" s="103" t="s">
        <v>71</v>
      </c>
      <c r="E1" s="103" t="s">
        <v>70</v>
      </c>
      <c r="F1" s="105" t="s">
        <v>72</v>
      </c>
    </row>
    <row r="2" spans="1:6" ht="15.75" customHeight="1" x14ac:dyDescent="0.25">
      <c r="A2" s="115" t="s">
        <v>197</v>
      </c>
      <c r="B2" s="115" t="s">
        <v>312</v>
      </c>
      <c r="C2" s="116">
        <v>0.28999999999999998</v>
      </c>
      <c r="D2" s="116">
        <v>0.28999999999999998</v>
      </c>
      <c r="E2" s="116">
        <v>0</v>
      </c>
      <c r="F2" s="116">
        <v>0</v>
      </c>
    </row>
    <row r="3" spans="1:6" ht="15.75" customHeight="1" x14ac:dyDescent="0.25">
      <c r="A3" s="115"/>
      <c r="B3" s="115" t="s">
        <v>313</v>
      </c>
      <c r="C3" s="116">
        <v>1</v>
      </c>
      <c r="D3" s="116">
        <v>1</v>
      </c>
      <c r="E3" s="116">
        <v>1</v>
      </c>
      <c r="F3" s="116">
        <v>1</v>
      </c>
    </row>
    <row r="4" spans="1:6" ht="15.75" customHeight="1" x14ac:dyDescent="0.25">
      <c r="A4" s="115" t="s">
        <v>198</v>
      </c>
      <c r="B4" s="115" t="s">
        <v>312</v>
      </c>
      <c r="C4" s="116">
        <f>1-0.76</f>
        <v>0.24</v>
      </c>
      <c r="D4" s="116">
        <v>0</v>
      </c>
      <c r="E4" s="116">
        <f>1-0.76</f>
        <v>0.24</v>
      </c>
      <c r="F4" s="116">
        <v>0</v>
      </c>
    </row>
    <row r="5" spans="1:6" ht="15.75" customHeight="1" x14ac:dyDescent="0.25">
      <c r="A5" s="115"/>
      <c r="B5" s="115" t="s">
        <v>313</v>
      </c>
      <c r="C5" s="90">
        <v>1</v>
      </c>
      <c r="D5" s="90">
        <v>1</v>
      </c>
      <c r="E5" s="90">
        <v>1</v>
      </c>
      <c r="F5" s="90">
        <v>1</v>
      </c>
    </row>
    <row r="6" spans="1:6" ht="15.75" customHeight="1" x14ac:dyDescent="0.25">
      <c r="A6" s="115" t="s">
        <v>209</v>
      </c>
      <c r="B6" s="115" t="s">
        <v>312</v>
      </c>
      <c r="C6" s="116">
        <v>0.61</v>
      </c>
      <c r="D6" s="116">
        <v>0.61</v>
      </c>
      <c r="E6" s="116">
        <v>0</v>
      </c>
      <c r="F6" s="116">
        <v>0</v>
      </c>
    </row>
    <row r="7" spans="1:6" ht="15.75" customHeight="1" x14ac:dyDescent="0.25">
      <c r="A7" s="115"/>
      <c r="B7" s="115" t="s">
        <v>313</v>
      </c>
      <c r="C7" s="116">
        <v>1</v>
      </c>
      <c r="D7" s="116">
        <v>1</v>
      </c>
      <c r="E7" s="116">
        <v>1</v>
      </c>
      <c r="F7" s="116">
        <v>1</v>
      </c>
    </row>
    <row r="8" spans="1:6" ht="15.75" customHeight="1" x14ac:dyDescent="0.25">
      <c r="A8" s="115" t="s">
        <v>210</v>
      </c>
      <c r="B8" s="115" t="s">
        <v>312</v>
      </c>
      <c r="C8" s="116">
        <v>0.61</v>
      </c>
      <c r="D8" s="116">
        <v>0.61</v>
      </c>
      <c r="E8" s="116">
        <v>0</v>
      </c>
      <c r="F8" s="116">
        <v>0</v>
      </c>
    </row>
    <row r="9" spans="1:6" ht="15.75" customHeight="1" x14ac:dyDescent="0.25">
      <c r="A9" s="115"/>
      <c r="B9" s="115" t="s">
        <v>313</v>
      </c>
      <c r="C9" s="116">
        <v>1</v>
      </c>
      <c r="D9" s="116">
        <v>1</v>
      </c>
      <c r="E9" s="116">
        <v>1</v>
      </c>
      <c r="F9" s="116">
        <v>1</v>
      </c>
    </row>
    <row r="10" spans="1:6" ht="15.75" customHeight="1" x14ac:dyDescent="0.25">
      <c r="A10" s="115" t="s">
        <v>211</v>
      </c>
      <c r="B10" s="115" t="s">
        <v>312</v>
      </c>
      <c r="C10" s="116">
        <v>0.35</v>
      </c>
      <c r="D10" s="116">
        <v>0.35</v>
      </c>
      <c r="E10" s="116">
        <v>0</v>
      </c>
      <c r="F10" s="116">
        <v>0</v>
      </c>
    </row>
    <row r="11" spans="1:6" ht="15.75" customHeight="1" x14ac:dyDescent="0.25">
      <c r="A11" s="115"/>
      <c r="B11" s="115" t="s">
        <v>313</v>
      </c>
      <c r="C11" s="116">
        <v>1</v>
      </c>
      <c r="D11" s="116">
        <v>1</v>
      </c>
      <c r="E11" s="116">
        <v>0</v>
      </c>
      <c r="F11" s="116">
        <v>0</v>
      </c>
    </row>
    <row r="12" spans="1:6" ht="15.75" customHeight="1" x14ac:dyDescent="0.25">
      <c r="A12" s="115" t="s">
        <v>215</v>
      </c>
      <c r="B12" s="115" t="s">
        <v>312</v>
      </c>
      <c r="C12" s="116">
        <v>0.35</v>
      </c>
      <c r="D12" s="116">
        <v>0.35</v>
      </c>
      <c r="E12" s="116">
        <v>0</v>
      </c>
      <c r="F12" s="116">
        <v>0</v>
      </c>
    </row>
    <row r="13" spans="1:6" ht="15.75" customHeight="1" x14ac:dyDescent="0.25">
      <c r="A13" s="115"/>
      <c r="B13" s="115" t="s">
        <v>313</v>
      </c>
      <c r="C13" s="116">
        <v>1</v>
      </c>
      <c r="D13" s="116">
        <v>1</v>
      </c>
      <c r="E13" s="116">
        <v>0</v>
      </c>
      <c r="F13" s="116">
        <v>0</v>
      </c>
    </row>
    <row r="14" spans="1:6" ht="15.75" customHeight="1" x14ac:dyDescent="0.25">
      <c r="A14" s="115" t="s">
        <v>219</v>
      </c>
      <c r="B14" s="115" t="s">
        <v>312</v>
      </c>
      <c r="C14" s="116">
        <f>1-0.9*0.39</f>
        <v>0.64900000000000002</v>
      </c>
      <c r="D14" s="116">
        <f>1-0.9*0.39</f>
        <v>0.64900000000000002</v>
      </c>
      <c r="E14" s="116">
        <v>0</v>
      </c>
      <c r="F14" s="116">
        <v>0</v>
      </c>
    </row>
    <row r="15" spans="1:6" ht="15.75" customHeight="1" x14ac:dyDescent="0.25">
      <c r="A15" s="115"/>
      <c r="B15" s="115" t="s">
        <v>313</v>
      </c>
      <c r="C15" s="116">
        <v>1</v>
      </c>
      <c r="D15" s="116">
        <v>1</v>
      </c>
      <c r="E15" s="116">
        <v>1</v>
      </c>
      <c r="F15" s="116">
        <v>1</v>
      </c>
    </row>
    <row r="17" spans="1:6" s="117" customFormat="1" ht="15.75" customHeight="1" x14ac:dyDescent="0.3">
      <c r="A17" s="117" t="s">
        <v>266</v>
      </c>
    </row>
    <row r="18" spans="1:6" ht="15.75" customHeight="1" x14ac:dyDescent="0.3">
      <c r="A18" s="105" t="s">
        <v>189</v>
      </c>
      <c r="B18" s="103"/>
      <c r="C18" s="103" t="s">
        <v>69</v>
      </c>
      <c r="D18" s="103" t="s">
        <v>71</v>
      </c>
      <c r="E18" s="103" t="s">
        <v>70</v>
      </c>
      <c r="F18" s="105" t="s">
        <v>72</v>
      </c>
    </row>
    <row r="19" spans="1:6" ht="15.75" customHeight="1" x14ac:dyDescent="0.25">
      <c r="A19" s="115" t="s">
        <v>197</v>
      </c>
      <c r="B19" s="115" t="s">
        <v>312</v>
      </c>
      <c r="C19" s="116">
        <f>1-0.94</f>
        <v>6.0000000000000053E-2</v>
      </c>
      <c r="D19" s="116">
        <f>1-0.94</f>
        <v>6.0000000000000053E-2</v>
      </c>
      <c r="E19" s="116">
        <f t="shared" ref="E19:F19" si="0">E2*0.9</f>
        <v>0</v>
      </c>
      <c r="F19" s="116">
        <f t="shared" si="0"/>
        <v>0</v>
      </c>
    </row>
    <row r="20" spans="1:6" ht="15.75" customHeight="1" x14ac:dyDescent="0.25">
      <c r="A20" s="115"/>
      <c r="B20" s="115" t="s">
        <v>313</v>
      </c>
      <c r="C20" s="116">
        <v>1</v>
      </c>
      <c r="D20" s="116">
        <v>1</v>
      </c>
      <c r="E20" s="116">
        <v>1</v>
      </c>
      <c r="F20" s="116">
        <v>1</v>
      </c>
    </row>
    <row r="21" spans="1:6" ht="15.75" customHeight="1" x14ac:dyDescent="0.25">
      <c r="A21" s="115" t="s">
        <v>198</v>
      </c>
      <c r="B21" s="115" t="s">
        <v>312</v>
      </c>
      <c r="C21" s="90">
        <f>1-0.97</f>
        <v>3.0000000000000027E-2</v>
      </c>
      <c r="D21" s="90">
        <v>0</v>
      </c>
      <c r="E21" s="90">
        <f>1-0.97</f>
        <v>3.0000000000000027E-2</v>
      </c>
      <c r="F21" s="90">
        <v>0</v>
      </c>
    </row>
    <row r="22" spans="1:6" ht="15.75" customHeight="1" x14ac:dyDescent="0.25">
      <c r="A22" s="115"/>
      <c r="B22" s="115" t="s">
        <v>313</v>
      </c>
      <c r="C22" s="90">
        <v>1</v>
      </c>
      <c r="D22" s="90">
        <v>1</v>
      </c>
      <c r="E22" s="90">
        <v>1</v>
      </c>
      <c r="F22" s="90">
        <v>1</v>
      </c>
    </row>
    <row r="23" spans="1:6" ht="15.75" customHeight="1" x14ac:dyDescent="0.25">
      <c r="A23" s="115" t="s">
        <v>209</v>
      </c>
      <c r="B23" s="115" t="s">
        <v>312</v>
      </c>
      <c r="C23" s="116">
        <f>1-0.86</f>
        <v>0.14000000000000001</v>
      </c>
      <c r="D23" s="116">
        <f>1-0.86</f>
        <v>0.14000000000000001</v>
      </c>
      <c r="E23" s="116">
        <f t="shared" ref="E23:F23" si="1">E6*0.9</f>
        <v>0</v>
      </c>
      <c r="F23" s="116">
        <f t="shared" si="1"/>
        <v>0</v>
      </c>
    </row>
    <row r="24" spans="1:6" ht="15.75" customHeight="1" x14ac:dyDescent="0.25">
      <c r="A24" s="115"/>
      <c r="B24" s="115" t="s">
        <v>313</v>
      </c>
      <c r="C24" s="116">
        <v>1</v>
      </c>
      <c r="D24" s="116">
        <v>1</v>
      </c>
      <c r="E24" s="116">
        <v>1</v>
      </c>
      <c r="F24" s="116">
        <v>1</v>
      </c>
    </row>
    <row r="25" spans="1:6" ht="15.75" customHeight="1" x14ac:dyDescent="0.25">
      <c r="A25" s="115" t="s">
        <v>210</v>
      </c>
      <c r="B25" s="115" t="s">
        <v>312</v>
      </c>
      <c r="C25" s="116">
        <f>1-0.86</f>
        <v>0.14000000000000001</v>
      </c>
      <c r="D25" s="116">
        <f>1-0.86</f>
        <v>0.14000000000000001</v>
      </c>
      <c r="E25" s="116">
        <f t="shared" ref="E25:F25" si="2">E8*0.9</f>
        <v>0</v>
      </c>
      <c r="F25" s="116">
        <f t="shared" si="2"/>
        <v>0</v>
      </c>
    </row>
    <row r="26" spans="1:6" ht="15.75" customHeight="1" x14ac:dyDescent="0.25">
      <c r="A26" s="115"/>
      <c r="B26" s="115" t="s">
        <v>313</v>
      </c>
      <c r="C26" s="116">
        <v>1</v>
      </c>
      <c r="D26" s="116">
        <v>1</v>
      </c>
      <c r="E26" s="116">
        <v>1</v>
      </c>
      <c r="F26" s="116">
        <v>1</v>
      </c>
    </row>
    <row r="27" spans="1:6" ht="15.75" customHeight="1" x14ac:dyDescent="0.25">
      <c r="A27" s="115" t="s">
        <v>211</v>
      </c>
      <c r="B27" s="115" t="s">
        <v>312</v>
      </c>
      <c r="C27" s="116">
        <f>1-0.77</f>
        <v>0.22999999999999998</v>
      </c>
      <c r="D27" s="116">
        <f>1-0.77</f>
        <v>0.22999999999999998</v>
      </c>
      <c r="E27" s="116">
        <f t="shared" ref="E27:F27" si="3">E12*0.9</f>
        <v>0</v>
      </c>
      <c r="F27" s="116">
        <f t="shared" si="3"/>
        <v>0</v>
      </c>
    </row>
    <row r="28" spans="1:6" ht="15.75" customHeight="1" x14ac:dyDescent="0.25">
      <c r="A28" s="115"/>
      <c r="B28" s="115" t="s">
        <v>313</v>
      </c>
      <c r="C28" s="116">
        <v>1</v>
      </c>
      <c r="D28" s="116">
        <v>1</v>
      </c>
      <c r="E28" s="116">
        <v>1</v>
      </c>
      <c r="F28" s="116">
        <v>1</v>
      </c>
    </row>
    <row r="29" spans="1:6" ht="15.75" customHeight="1" x14ac:dyDescent="0.25">
      <c r="A29" s="115" t="s">
        <v>215</v>
      </c>
      <c r="B29" s="115" t="s">
        <v>312</v>
      </c>
      <c r="C29" s="116">
        <f>1-0.77</f>
        <v>0.22999999999999998</v>
      </c>
      <c r="D29" s="116">
        <f>1-0.77</f>
        <v>0.22999999999999998</v>
      </c>
      <c r="E29" s="116">
        <f t="shared" ref="E29:F29" si="4">E12*0.9</f>
        <v>0</v>
      </c>
      <c r="F29" s="116">
        <f t="shared" si="4"/>
        <v>0</v>
      </c>
    </row>
    <row r="30" spans="1:6" ht="15.75" customHeight="1" x14ac:dyDescent="0.25">
      <c r="A30" s="115"/>
      <c r="B30" s="115" t="s">
        <v>313</v>
      </c>
      <c r="C30" s="116">
        <v>1</v>
      </c>
      <c r="D30" s="116">
        <v>1</v>
      </c>
      <c r="E30" s="116">
        <v>1</v>
      </c>
      <c r="F30" s="116">
        <v>1</v>
      </c>
    </row>
    <row r="31" spans="1:6" ht="15.75" customHeight="1" x14ac:dyDescent="0.25">
      <c r="A31" s="115" t="s">
        <v>219</v>
      </c>
      <c r="B31" s="115" t="s">
        <v>312</v>
      </c>
      <c r="C31" s="116">
        <f>1-0.96*0.86</f>
        <v>0.1744</v>
      </c>
      <c r="D31" s="116">
        <f>1-0.96*0.86</f>
        <v>0.1744</v>
      </c>
      <c r="E31" s="116">
        <f t="shared" ref="E31:F31" si="5">E14*0.9</f>
        <v>0</v>
      </c>
      <c r="F31" s="116">
        <f t="shared" si="5"/>
        <v>0</v>
      </c>
    </row>
    <row r="32" spans="1:6" ht="15.75" customHeight="1" x14ac:dyDescent="0.25">
      <c r="A32" s="115"/>
      <c r="B32" s="115" t="s">
        <v>313</v>
      </c>
      <c r="C32" s="116">
        <v>1</v>
      </c>
      <c r="D32" s="116">
        <v>1</v>
      </c>
      <c r="E32" s="116">
        <v>1</v>
      </c>
      <c r="F32" s="116">
        <v>1</v>
      </c>
    </row>
    <row r="34" spans="1:6" s="117" customFormat="1" ht="15.75" customHeight="1" x14ac:dyDescent="0.3">
      <c r="A34" s="117" t="s">
        <v>270</v>
      </c>
    </row>
    <row r="35" spans="1:6" ht="15.75" customHeight="1" x14ac:dyDescent="0.3">
      <c r="A35" s="105" t="s">
        <v>189</v>
      </c>
      <c r="B35" s="103"/>
      <c r="C35" s="103" t="s">
        <v>69</v>
      </c>
      <c r="D35" s="103" t="s">
        <v>71</v>
      </c>
      <c r="E35" s="103" t="s">
        <v>70</v>
      </c>
      <c r="F35" s="105" t="s">
        <v>72</v>
      </c>
    </row>
    <row r="36" spans="1:6" ht="15.75" customHeight="1" x14ac:dyDescent="0.25">
      <c r="A36" s="115" t="s">
        <v>197</v>
      </c>
      <c r="B36" s="115" t="s">
        <v>312</v>
      </c>
      <c r="C36" s="116">
        <f>1-0.54</f>
        <v>0.45999999999999996</v>
      </c>
      <c r="D36" s="116">
        <f>1-0.54</f>
        <v>0.45999999999999996</v>
      </c>
      <c r="E36" s="116">
        <f t="shared" ref="E36:F36" si="6">E2*1.1</f>
        <v>0</v>
      </c>
      <c r="F36" s="116">
        <f t="shared" si="6"/>
        <v>0</v>
      </c>
    </row>
    <row r="37" spans="1:6" ht="15.75" customHeight="1" x14ac:dyDescent="0.25">
      <c r="A37" s="115"/>
      <c r="B37" s="115" t="s">
        <v>313</v>
      </c>
      <c r="C37" s="116">
        <v>1</v>
      </c>
      <c r="D37" s="116">
        <v>1</v>
      </c>
      <c r="E37" s="116">
        <v>1</v>
      </c>
      <c r="F37" s="116">
        <v>1</v>
      </c>
    </row>
    <row r="38" spans="1:6" ht="15.75" customHeight="1" x14ac:dyDescent="0.25">
      <c r="A38" s="115" t="s">
        <v>198</v>
      </c>
      <c r="B38" s="115" t="s">
        <v>312</v>
      </c>
      <c r="C38" s="90">
        <f>1-0.6</f>
        <v>0.4</v>
      </c>
      <c r="D38" s="90">
        <v>0</v>
      </c>
      <c r="E38" s="90">
        <f>1-0.6</f>
        <v>0.4</v>
      </c>
      <c r="F38" s="90">
        <v>0</v>
      </c>
    </row>
    <row r="39" spans="1:6" ht="15.75" customHeight="1" x14ac:dyDescent="0.25">
      <c r="A39" s="115"/>
      <c r="B39" s="115" t="s">
        <v>313</v>
      </c>
      <c r="C39" s="90">
        <v>1</v>
      </c>
      <c r="D39" s="90">
        <v>1</v>
      </c>
      <c r="E39" s="90">
        <v>1</v>
      </c>
      <c r="F39" s="90">
        <v>1</v>
      </c>
    </row>
    <row r="40" spans="1:6" ht="15.75" customHeight="1" x14ac:dyDescent="0.25">
      <c r="A40" s="115" t="s">
        <v>209</v>
      </c>
      <c r="B40" s="115" t="s">
        <v>312</v>
      </c>
      <c r="C40" s="116">
        <f>1-0.17</f>
        <v>0.83</v>
      </c>
      <c r="D40" s="116">
        <f>1-0.17</f>
        <v>0.83</v>
      </c>
      <c r="E40" s="116">
        <f t="shared" ref="E40:F40" si="7">E6*1.1</f>
        <v>0</v>
      </c>
      <c r="F40" s="116">
        <f t="shared" si="7"/>
        <v>0</v>
      </c>
    </row>
    <row r="41" spans="1:6" ht="15.75" customHeight="1" x14ac:dyDescent="0.25">
      <c r="A41" s="115"/>
      <c r="B41" s="115" t="s">
        <v>313</v>
      </c>
      <c r="C41" s="116">
        <v>1</v>
      </c>
      <c r="D41" s="116">
        <v>1</v>
      </c>
      <c r="E41" s="116">
        <v>1</v>
      </c>
      <c r="F41" s="116">
        <v>1</v>
      </c>
    </row>
    <row r="42" spans="1:6" ht="15.75" customHeight="1" x14ac:dyDescent="0.25">
      <c r="A42" s="115" t="s">
        <v>210</v>
      </c>
      <c r="B42" s="115" t="s">
        <v>312</v>
      </c>
      <c r="C42" s="116">
        <f>1-0.17</f>
        <v>0.83</v>
      </c>
      <c r="D42" s="116">
        <f>1-0.17</f>
        <v>0.83</v>
      </c>
      <c r="E42" s="116">
        <f t="shared" ref="E42:F42" si="8">E8*1.1</f>
        <v>0</v>
      </c>
      <c r="F42" s="116">
        <f t="shared" si="8"/>
        <v>0</v>
      </c>
    </row>
    <row r="43" spans="1:6" ht="15.75" customHeight="1" x14ac:dyDescent="0.25">
      <c r="A43" s="115"/>
      <c r="B43" s="115" t="s">
        <v>313</v>
      </c>
      <c r="C43" s="116">
        <v>1</v>
      </c>
      <c r="D43" s="116">
        <v>1</v>
      </c>
      <c r="E43" s="116">
        <v>1</v>
      </c>
      <c r="F43" s="116">
        <v>1</v>
      </c>
    </row>
    <row r="44" spans="1:6" ht="15.75" customHeight="1" x14ac:dyDescent="0.25">
      <c r="A44" s="115" t="s">
        <v>211</v>
      </c>
      <c r="B44" s="115" t="s">
        <v>312</v>
      </c>
      <c r="C44" s="116">
        <f>1-0.55</f>
        <v>0.44999999999999996</v>
      </c>
      <c r="D44" s="116">
        <f>1-0.55</f>
        <v>0.44999999999999996</v>
      </c>
      <c r="E44" s="116">
        <f t="shared" ref="E44:F44" si="9">E10*1.1</f>
        <v>0</v>
      </c>
      <c r="F44" s="116">
        <f t="shared" si="9"/>
        <v>0</v>
      </c>
    </row>
    <row r="45" spans="1:6" ht="15.75" customHeight="1" x14ac:dyDescent="0.25">
      <c r="A45" s="115"/>
      <c r="B45" s="115" t="s">
        <v>313</v>
      </c>
      <c r="C45" s="116">
        <v>1</v>
      </c>
      <c r="D45" s="116">
        <v>1</v>
      </c>
      <c r="E45" s="116">
        <v>1</v>
      </c>
      <c r="F45" s="116">
        <v>1</v>
      </c>
    </row>
    <row r="46" spans="1:6" ht="15.75" customHeight="1" x14ac:dyDescent="0.25">
      <c r="A46" s="115" t="s">
        <v>215</v>
      </c>
      <c r="B46" s="115" t="s">
        <v>312</v>
      </c>
      <c r="C46" s="116">
        <f>1-0.55</f>
        <v>0.44999999999999996</v>
      </c>
      <c r="D46" s="116">
        <f>1-0.55</f>
        <v>0.44999999999999996</v>
      </c>
      <c r="E46" s="116">
        <f t="shared" ref="E46:F46" si="10">E12*1.1</f>
        <v>0</v>
      </c>
      <c r="F46" s="116">
        <f t="shared" si="10"/>
        <v>0</v>
      </c>
    </row>
    <row r="47" spans="1:6" ht="15.75" customHeight="1" x14ac:dyDescent="0.25">
      <c r="A47" s="115"/>
      <c r="B47" s="115" t="s">
        <v>313</v>
      </c>
      <c r="C47" s="116">
        <v>1</v>
      </c>
      <c r="D47" s="116">
        <v>1</v>
      </c>
      <c r="E47" s="116">
        <v>1</v>
      </c>
      <c r="F47" s="116">
        <v>1</v>
      </c>
    </row>
    <row r="48" spans="1:6" ht="15.75" customHeight="1" x14ac:dyDescent="0.25">
      <c r="A48" s="115" t="s">
        <v>219</v>
      </c>
      <c r="B48" s="115" t="s">
        <v>312</v>
      </c>
      <c r="C48" s="116">
        <f>1-0.84*0.17</f>
        <v>0.85719999999999996</v>
      </c>
      <c r="D48" s="116">
        <f>1-0.84*0.17</f>
        <v>0.85719999999999996</v>
      </c>
      <c r="E48" s="116">
        <f t="shared" ref="E48:F48" si="11">E14*1.1</f>
        <v>0</v>
      </c>
      <c r="F48" s="116">
        <f t="shared" si="11"/>
        <v>0</v>
      </c>
    </row>
    <row r="49" spans="1:6" ht="15.75" customHeight="1" x14ac:dyDescent="0.25">
      <c r="A49" s="115"/>
      <c r="B49" s="115" t="s">
        <v>313</v>
      </c>
      <c r="C49" s="116">
        <v>1</v>
      </c>
      <c r="D49" s="116">
        <v>1</v>
      </c>
      <c r="E49" s="116">
        <v>1</v>
      </c>
      <c r="F49" s="116">
        <v>1</v>
      </c>
    </row>
  </sheetData>
  <sheetProtection algorithmName="SHA-512" hashValue="b5cgymqjJ86Scnv2f/h88KzOHOMa11Lki6pyewv87ROSPhugVd9qPX0VNcvVUa5QnwNAaNtnFckDv+deT+PPHA==" saltValue="ygXnQ650qa5jGScFS0WW3g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400-000000000000}">
  <sheetPr codeName="Sheet22">
    <tabColor theme="0" tint="-0.249977111117893"/>
  </sheetPr>
  <dimension ref="A1:F79"/>
  <sheetViews>
    <sheetView zoomScale="85" zoomScaleNormal="85" workbookViewId="0">
      <selection activeCell="C31" sqref="C31"/>
    </sheetView>
  </sheetViews>
  <sheetFormatPr defaultColWidth="16.08984375" defaultRowHeight="15.75" customHeight="1" x14ac:dyDescent="0.25"/>
  <cols>
    <col min="1" max="1" width="23.90625" style="8" customWidth="1"/>
    <col min="2" max="2" width="34.08984375" style="8" customWidth="1"/>
    <col min="3" max="3" width="11.36328125" style="8" bestFit="1" customWidth="1"/>
    <col min="4" max="4" width="11.90625" style="8" customWidth="1"/>
    <col min="5" max="6" width="15" style="8" customWidth="1"/>
    <col min="7" max="8" width="16.08984375" style="8" customWidth="1"/>
    <col min="9" max="16384" width="16.08984375" style="8"/>
  </cols>
  <sheetData>
    <row r="1" spans="1:6" s="68" customFormat="1" ht="18.75" customHeight="1" x14ac:dyDescent="0.3">
      <c r="A1" s="67" t="s">
        <v>314</v>
      </c>
    </row>
    <row r="2" spans="1:6" ht="15.75" customHeight="1" x14ac:dyDescent="0.3">
      <c r="B2" s="69"/>
      <c r="C2" s="26" t="s">
        <v>72</v>
      </c>
      <c r="D2" s="70" t="s">
        <v>71</v>
      </c>
      <c r="E2" s="70" t="s">
        <v>70</v>
      </c>
      <c r="F2" s="70" t="s">
        <v>69</v>
      </c>
    </row>
    <row r="3" spans="1:6" ht="15.75" customHeight="1" x14ac:dyDescent="0.3">
      <c r="A3" s="4" t="s">
        <v>315</v>
      </c>
      <c r="B3" s="14"/>
      <c r="C3" s="71"/>
      <c r="D3" s="72"/>
      <c r="E3" s="72"/>
      <c r="F3" s="72"/>
    </row>
    <row r="4" spans="1:6" ht="15.75" customHeight="1" x14ac:dyDescent="0.25">
      <c r="B4" s="5" t="s">
        <v>55</v>
      </c>
      <c r="C4" s="89">
        <v>1</v>
      </c>
      <c r="D4" s="90">
        <v>1</v>
      </c>
      <c r="E4" s="90">
        <v>1</v>
      </c>
      <c r="F4" s="90">
        <v>1</v>
      </c>
    </row>
    <row r="5" spans="1:6" ht="15.75" customHeight="1" x14ac:dyDescent="0.25">
      <c r="B5" s="5" t="s">
        <v>56</v>
      </c>
      <c r="C5" s="89">
        <v>1</v>
      </c>
      <c r="D5" s="90">
        <v>1.41</v>
      </c>
      <c r="E5" s="90">
        <v>1.49</v>
      </c>
      <c r="F5" s="90">
        <v>3.03</v>
      </c>
    </row>
    <row r="6" spans="1:6" ht="15.75" customHeight="1" x14ac:dyDescent="0.25">
      <c r="B6" s="5" t="s">
        <v>57</v>
      </c>
      <c r="C6" s="89">
        <v>1</v>
      </c>
      <c r="D6" s="90">
        <v>1.18</v>
      </c>
      <c r="E6" s="90">
        <v>1.1000000000000001</v>
      </c>
      <c r="F6" s="90">
        <v>1.77</v>
      </c>
    </row>
    <row r="7" spans="1:6" ht="15.75" customHeight="1" x14ac:dyDescent="0.25">
      <c r="B7" s="5" t="s">
        <v>58</v>
      </c>
      <c r="C7" s="89">
        <v>1</v>
      </c>
      <c r="D7" s="90">
        <v>1</v>
      </c>
      <c r="E7" s="90">
        <v>1</v>
      </c>
      <c r="F7" s="90">
        <v>1</v>
      </c>
    </row>
    <row r="8" spans="1:6" ht="15.75" customHeight="1" x14ac:dyDescent="0.25">
      <c r="C8" s="73"/>
      <c r="D8" s="64"/>
      <c r="E8" s="64"/>
      <c r="F8" s="64"/>
    </row>
    <row r="9" spans="1:6" ht="15.75" customHeight="1" x14ac:dyDescent="0.3">
      <c r="A9" s="4" t="s">
        <v>320</v>
      </c>
      <c r="C9" s="89">
        <v>1</v>
      </c>
      <c r="D9" s="90">
        <v>1.53</v>
      </c>
      <c r="E9" s="90">
        <v>1.32</v>
      </c>
      <c r="F9" s="90">
        <v>1.53</v>
      </c>
    </row>
    <row r="10" spans="1:6" ht="15.75" customHeight="1" x14ac:dyDescent="0.25">
      <c r="C10" s="73"/>
      <c r="D10" s="64"/>
      <c r="E10" s="64"/>
      <c r="F10" s="64"/>
    </row>
    <row r="11" spans="1:6" s="68" customFormat="1" ht="15" customHeight="1" x14ac:dyDescent="0.3">
      <c r="A11" s="67" t="s">
        <v>316</v>
      </c>
      <c r="C11" s="74"/>
      <c r="D11" s="75"/>
      <c r="E11" s="75"/>
      <c r="F11" s="75"/>
    </row>
    <row r="12" spans="1:6" ht="15.75" customHeight="1" x14ac:dyDescent="0.3">
      <c r="A12" s="4" t="s">
        <v>317</v>
      </c>
      <c r="C12" s="73"/>
      <c r="D12" s="64"/>
      <c r="E12" s="64"/>
      <c r="F12" s="64"/>
    </row>
    <row r="13" spans="1:6" ht="15.75" customHeight="1" x14ac:dyDescent="0.25">
      <c r="B13" s="11" t="s">
        <v>318</v>
      </c>
      <c r="C13" s="89">
        <v>1</v>
      </c>
      <c r="D13" s="90">
        <v>5</v>
      </c>
      <c r="E13" s="90">
        <v>6.4</v>
      </c>
      <c r="F13" s="90">
        <v>46.5</v>
      </c>
    </row>
    <row r="14" spans="1:6" ht="15.75" customHeight="1" x14ac:dyDescent="0.25">
      <c r="B14" s="11" t="s">
        <v>137</v>
      </c>
      <c r="C14" s="89">
        <v>1</v>
      </c>
      <c r="D14" s="90">
        <v>2.52</v>
      </c>
      <c r="E14" s="90">
        <v>1.96</v>
      </c>
      <c r="F14" s="90">
        <v>4.1900000000000004</v>
      </c>
    </row>
    <row r="15" spans="1:6" ht="15.75" customHeight="1" x14ac:dyDescent="0.25">
      <c r="B15" s="11" t="s">
        <v>138</v>
      </c>
      <c r="C15" s="89">
        <v>1</v>
      </c>
      <c r="D15" s="90">
        <v>2.52</v>
      </c>
      <c r="E15" s="90">
        <v>1.96</v>
      </c>
      <c r="F15" s="90">
        <v>4.1900000000000004</v>
      </c>
    </row>
    <row r="16" spans="1:6" ht="15.75" customHeight="1" x14ac:dyDescent="0.3">
      <c r="A16" s="4"/>
      <c r="B16" s="11"/>
      <c r="C16" s="76"/>
      <c r="D16" s="64"/>
      <c r="E16" s="64"/>
      <c r="F16" s="64"/>
    </row>
    <row r="17" spans="1:6" ht="15.75" customHeight="1" x14ac:dyDescent="0.3">
      <c r="A17" s="4" t="s">
        <v>319</v>
      </c>
      <c r="B17" s="14"/>
      <c r="C17" s="77"/>
      <c r="D17" s="78"/>
      <c r="E17" s="78"/>
      <c r="F17" s="78"/>
    </row>
    <row r="18" spans="1:6" ht="15.75" customHeight="1" x14ac:dyDescent="0.25">
      <c r="B18" s="5" t="s">
        <v>96</v>
      </c>
      <c r="C18" s="89">
        <v>1</v>
      </c>
      <c r="D18" s="90">
        <v>1</v>
      </c>
      <c r="E18" s="90">
        <v>1</v>
      </c>
      <c r="F18" s="90">
        <v>1</v>
      </c>
    </row>
    <row r="19" spans="1:6" ht="15.75" customHeight="1" x14ac:dyDescent="0.25">
      <c r="B19" s="5" t="s">
        <v>97</v>
      </c>
      <c r="C19" s="89">
        <v>1</v>
      </c>
      <c r="D19" s="90">
        <v>2.0699999999999998</v>
      </c>
      <c r="E19" s="90">
        <v>3.39</v>
      </c>
      <c r="F19" s="90">
        <v>11.89</v>
      </c>
    </row>
    <row r="20" spans="1:6" ht="15.75" customHeight="1" x14ac:dyDescent="0.25">
      <c r="B20" s="5" t="s">
        <v>98</v>
      </c>
      <c r="C20" s="89">
        <v>1</v>
      </c>
      <c r="D20" s="90">
        <v>2.0699999999999998</v>
      </c>
      <c r="E20" s="90">
        <v>3.39</v>
      </c>
      <c r="F20" s="90">
        <v>11.89</v>
      </c>
    </row>
    <row r="21" spans="1:6" ht="15.75" customHeight="1" x14ac:dyDescent="0.25">
      <c r="B21" s="5" t="s">
        <v>99</v>
      </c>
      <c r="C21" s="89">
        <v>1</v>
      </c>
      <c r="D21" s="90">
        <v>2.0699999999999998</v>
      </c>
      <c r="E21" s="90">
        <v>3.39</v>
      </c>
      <c r="F21" s="90">
        <v>11.89</v>
      </c>
    </row>
    <row r="22" spans="1:6" ht="15.75" customHeight="1" x14ac:dyDescent="0.25">
      <c r="B22" s="5" t="s">
        <v>100</v>
      </c>
      <c r="C22" s="89">
        <v>1</v>
      </c>
      <c r="D22" s="90">
        <v>1</v>
      </c>
      <c r="E22" s="90">
        <v>999.99</v>
      </c>
      <c r="F22" s="90">
        <v>999.99</v>
      </c>
    </row>
    <row r="23" spans="1:6" ht="15.75" customHeight="1" x14ac:dyDescent="0.25">
      <c r="B23" s="5" t="s">
        <v>101</v>
      </c>
      <c r="C23" s="89">
        <v>1</v>
      </c>
      <c r="D23" s="90">
        <v>1</v>
      </c>
      <c r="E23" s="90">
        <v>1</v>
      </c>
      <c r="F23" s="90">
        <v>1</v>
      </c>
    </row>
    <row r="24" spans="1:6" ht="15.75" customHeight="1" x14ac:dyDescent="0.25">
      <c r="B24" s="5" t="s">
        <v>102</v>
      </c>
      <c r="C24" s="89">
        <v>1</v>
      </c>
      <c r="D24" s="90">
        <v>1</v>
      </c>
      <c r="E24" s="90">
        <v>1</v>
      </c>
      <c r="F24" s="90">
        <v>1</v>
      </c>
    </row>
    <row r="25" spans="1:6" ht="15.75" customHeight="1" x14ac:dyDescent="0.25">
      <c r="B25" s="5" t="s">
        <v>103</v>
      </c>
      <c r="C25" s="89">
        <v>1</v>
      </c>
      <c r="D25" s="90">
        <v>1</v>
      </c>
      <c r="E25" s="90">
        <v>1</v>
      </c>
      <c r="F25" s="90">
        <v>1</v>
      </c>
    </row>
    <row r="26" spans="1:6" ht="15.75" customHeight="1" x14ac:dyDescent="0.25">
      <c r="B26" s="11"/>
    </row>
    <row r="27" spans="1:6" ht="15.75" customHeight="1" x14ac:dyDescent="0.3">
      <c r="A27" s="92" t="s">
        <v>266</v>
      </c>
      <c r="B27" s="93"/>
      <c r="C27" s="94"/>
      <c r="D27" s="95"/>
      <c r="E27" s="95"/>
      <c r="F27" s="95"/>
    </row>
    <row r="28" spans="1:6" s="68" customFormat="1" ht="18.75" customHeight="1" x14ac:dyDescent="0.3">
      <c r="A28" s="67" t="s">
        <v>314</v>
      </c>
    </row>
    <row r="29" spans="1:6" ht="15.75" customHeight="1" x14ac:dyDescent="0.3">
      <c r="B29" s="69"/>
      <c r="C29" s="26" t="s">
        <v>72</v>
      </c>
      <c r="D29" s="70" t="s">
        <v>71</v>
      </c>
      <c r="E29" s="70" t="s">
        <v>70</v>
      </c>
      <c r="F29" s="70" t="s">
        <v>69</v>
      </c>
    </row>
    <row r="30" spans="1:6" ht="15.75" customHeight="1" x14ac:dyDescent="0.3">
      <c r="A30" s="4" t="s">
        <v>321</v>
      </c>
      <c r="B30" s="14"/>
      <c r="C30" s="71"/>
      <c r="D30" s="72"/>
      <c r="E30" s="72"/>
      <c r="F30" s="72"/>
    </row>
    <row r="31" spans="1:6" ht="15.75" customHeight="1" x14ac:dyDescent="0.25">
      <c r="B31" s="5" t="s">
        <v>55</v>
      </c>
      <c r="C31" s="91">
        <f t="shared" ref="C31:F34" si="0">IF(C4=1,1,C4*0.9)</f>
        <v>1</v>
      </c>
      <c r="D31" s="91">
        <f t="shared" si="0"/>
        <v>1</v>
      </c>
      <c r="E31" s="91">
        <f t="shared" si="0"/>
        <v>1</v>
      </c>
      <c r="F31" s="91">
        <f t="shared" si="0"/>
        <v>1</v>
      </c>
    </row>
    <row r="32" spans="1:6" ht="15.75" customHeight="1" x14ac:dyDescent="0.25">
      <c r="B32" s="5" t="s">
        <v>56</v>
      </c>
      <c r="C32" s="91">
        <f t="shared" si="0"/>
        <v>1</v>
      </c>
      <c r="D32" s="91">
        <f t="shared" si="0"/>
        <v>1.2689999999999999</v>
      </c>
      <c r="E32" s="91">
        <f t="shared" si="0"/>
        <v>1.341</v>
      </c>
      <c r="F32" s="91">
        <f t="shared" si="0"/>
        <v>2.7269999999999999</v>
      </c>
    </row>
    <row r="33" spans="1:6" ht="15.75" customHeight="1" x14ac:dyDescent="0.25">
      <c r="B33" s="5" t="s">
        <v>57</v>
      </c>
      <c r="C33" s="91">
        <f t="shared" si="0"/>
        <v>1</v>
      </c>
      <c r="D33" s="91">
        <f t="shared" si="0"/>
        <v>1.0620000000000001</v>
      </c>
      <c r="E33" s="91">
        <f t="shared" si="0"/>
        <v>0.9900000000000001</v>
      </c>
      <c r="F33" s="91">
        <f t="shared" si="0"/>
        <v>1.593</v>
      </c>
    </row>
    <row r="34" spans="1:6" ht="15.75" customHeight="1" x14ac:dyDescent="0.25">
      <c r="B34" s="5" t="s">
        <v>58</v>
      </c>
      <c r="C34" s="91">
        <f t="shared" si="0"/>
        <v>1</v>
      </c>
      <c r="D34" s="91">
        <f t="shared" si="0"/>
        <v>1</v>
      </c>
      <c r="E34" s="91">
        <f t="shared" si="0"/>
        <v>1</v>
      </c>
      <c r="F34" s="91">
        <f t="shared" si="0"/>
        <v>1</v>
      </c>
    </row>
    <row r="35" spans="1:6" ht="15.75" customHeight="1" x14ac:dyDescent="0.25">
      <c r="C35" s="73"/>
      <c r="D35" s="64"/>
      <c r="E35" s="64"/>
      <c r="F35" s="64"/>
    </row>
    <row r="36" spans="1:6" ht="15.75" customHeight="1" x14ac:dyDescent="0.3">
      <c r="A36" s="4" t="s">
        <v>333</v>
      </c>
      <c r="C36" s="91">
        <f>IF(C9=1,1,C9*0.9)</f>
        <v>1</v>
      </c>
      <c r="D36" s="91">
        <f>IF(D9=1,1,D9*0.9)</f>
        <v>1.377</v>
      </c>
      <c r="E36" s="91">
        <f>IF(E9=1,1,E9*0.9)</f>
        <v>1.1880000000000002</v>
      </c>
      <c r="F36" s="91">
        <f>IF(F9=1,1,F9*0.9)</f>
        <v>1.377</v>
      </c>
    </row>
    <row r="38" spans="1:6" ht="15.75" customHeight="1" x14ac:dyDescent="0.3">
      <c r="A38" s="67" t="s">
        <v>316</v>
      </c>
      <c r="B38" s="68"/>
      <c r="C38" s="74"/>
      <c r="D38" s="75"/>
      <c r="E38" s="75"/>
      <c r="F38" s="75"/>
    </row>
    <row r="39" spans="1:6" ht="15.75" customHeight="1" x14ac:dyDescent="0.3">
      <c r="A39" s="4" t="s">
        <v>322</v>
      </c>
      <c r="C39" s="73"/>
      <c r="D39" s="64"/>
      <c r="E39" s="64"/>
      <c r="F39" s="64"/>
    </row>
    <row r="40" spans="1:6" ht="15.75" customHeight="1" x14ac:dyDescent="0.25">
      <c r="B40" s="11" t="s">
        <v>327</v>
      </c>
      <c r="C40" s="91">
        <f t="shared" ref="C40:F42" si="1">IF(C13=1,1,C13*0.9)</f>
        <v>1</v>
      </c>
      <c r="D40" s="91">
        <f t="shared" si="1"/>
        <v>4.5</v>
      </c>
      <c r="E40" s="91">
        <f t="shared" si="1"/>
        <v>5.7600000000000007</v>
      </c>
      <c r="F40" s="91">
        <f t="shared" si="1"/>
        <v>41.85</v>
      </c>
    </row>
    <row r="41" spans="1:6" ht="15.75" customHeight="1" x14ac:dyDescent="0.25">
      <c r="B41" s="11" t="s">
        <v>328</v>
      </c>
      <c r="C41" s="91">
        <f t="shared" si="1"/>
        <v>1</v>
      </c>
      <c r="D41" s="91">
        <f t="shared" si="1"/>
        <v>2.2680000000000002</v>
      </c>
      <c r="E41" s="91">
        <f t="shared" si="1"/>
        <v>1.764</v>
      </c>
      <c r="F41" s="91">
        <f t="shared" si="1"/>
        <v>3.7710000000000004</v>
      </c>
    </row>
    <row r="42" spans="1:6" ht="15.75" customHeight="1" x14ac:dyDescent="0.25">
      <c r="B42" s="11" t="s">
        <v>329</v>
      </c>
      <c r="C42" s="91">
        <f t="shared" si="1"/>
        <v>1</v>
      </c>
      <c r="D42" s="91">
        <f t="shared" si="1"/>
        <v>2.2680000000000002</v>
      </c>
      <c r="E42" s="91">
        <f t="shared" si="1"/>
        <v>1.764</v>
      </c>
      <c r="F42" s="91">
        <f t="shared" si="1"/>
        <v>3.7710000000000004</v>
      </c>
    </row>
    <row r="43" spans="1:6" ht="15.75" customHeight="1" x14ac:dyDescent="0.3">
      <c r="A43" s="4"/>
      <c r="B43" s="11"/>
      <c r="C43" s="76"/>
      <c r="D43" s="64"/>
      <c r="E43" s="64"/>
      <c r="F43" s="64"/>
    </row>
    <row r="44" spans="1:6" ht="15.75" customHeight="1" x14ac:dyDescent="0.3">
      <c r="A44" s="4" t="s">
        <v>323</v>
      </c>
      <c r="B44" s="14"/>
      <c r="C44" s="77"/>
      <c r="D44" s="78"/>
      <c r="E44" s="78"/>
      <c r="F44" s="78"/>
    </row>
    <row r="45" spans="1:6" ht="15.75" customHeight="1" x14ac:dyDescent="0.25">
      <c r="B45" s="5" t="s">
        <v>96</v>
      </c>
      <c r="C45" s="91">
        <f t="shared" ref="C45:F52" si="2">IF(C18=1,1,C18*0.9)</f>
        <v>1</v>
      </c>
      <c r="D45" s="91">
        <f t="shared" si="2"/>
        <v>1</v>
      </c>
      <c r="E45" s="91">
        <f t="shared" si="2"/>
        <v>1</v>
      </c>
      <c r="F45" s="91">
        <f t="shared" si="2"/>
        <v>1</v>
      </c>
    </row>
    <row r="46" spans="1:6" ht="15.75" customHeight="1" x14ac:dyDescent="0.25">
      <c r="B46" s="5" t="s">
        <v>97</v>
      </c>
      <c r="C46" s="91">
        <f t="shared" si="2"/>
        <v>1</v>
      </c>
      <c r="D46" s="91">
        <f t="shared" si="2"/>
        <v>1.863</v>
      </c>
      <c r="E46" s="91">
        <f t="shared" si="2"/>
        <v>3.0510000000000002</v>
      </c>
      <c r="F46" s="91">
        <f t="shared" si="2"/>
        <v>10.701000000000001</v>
      </c>
    </row>
    <row r="47" spans="1:6" ht="15.75" customHeight="1" x14ac:dyDescent="0.25">
      <c r="B47" s="5" t="s">
        <v>98</v>
      </c>
      <c r="C47" s="91">
        <f t="shared" si="2"/>
        <v>1</v>
      </c>
      <c r="D47" s="91">
        <f t="shared" si="2"/>
        <v>1.863</v>
      </c>
      <c r="E47" s="91">
        <f t="shared" si="2"/>
        <v>3.0510000000000002</v>
      </c>
      <c r="F47" s="91">
        <f t="shared" si="2"/>
        <v>10.701000000000001</v>
      </c>
    </row>
    <row r="48" spans="1:6" ht="15.75" customHeight="1" x14ac:dyDescent="0.25">
      <c r="B48" s="5" t="s">
        <v>99</v>
      </c>
      <c r="C48" s="91">
        <f t="shared" si="2"/>
        <v>1</v>
      </c>
      <c r="D48" s="91">
        <f t="shared" si="2"/>
        <v>1.863</v>
      </c>
      <c r="E48" s="91">
        <f t="shared" si="2"/>
        <v>3.0510000000000002</v>
      </c>
      <c r="F48" s="91">
        <f t="shared" si="2"/>
        <v>10.701000000000001</v>
      </c>
    </row>
    <row r="49" spans="1:6" ht="15.75" customHeight="1" x14ac:dyDescent="0.25">
      <c r="B49" s="5" t="s">
        <v>100</v>
      </c>
      <c r="C49" s="91">
        <f t="shared" si="2"/>
        <v>1</v>
      </c>
      <c r="D49" s="91">
        <f t="shared" si="2"/>
        <v>1</v>
      </c>
      <c r="E49" s="91">
        <f t="shared" si="2"/>
        <v>899.99099999999999</v>
      </c>
      <c r="F49" s="91">
        <f t="shared" si="2"/>
        <v>899.99099999999999</v>
      </c>
    </row>
    <row r="50" spans="1:6" ht="15.75" customHeight="1" x14ac:dyDescent="0.25">
      <c r="B50" s="5" t="s">
        <v>101</v>
      </c>
      <c r="C50" s="91">
        <f t="shared" si="2"/>
        <v>1</v>
      </c>
      <c r="D50" s="91">
        <f t="shared" si="2"/>
        <v>1</v>
      </c>
      <c r="E50" s="91">
        <f t="shared" si="2"/>
        <v>1</v>
      </c>
      <c r="F50" s="91">
        <f t="shared" si="2"/>
        <v>1</v>
      </c>
    </row>
    <row r="51" spans="1:6" ht="15.75" customHeight="1" x14ac:dyDescent="0.25">
      <c r="B51" s="5" t="s">
        <v>102</v>
      </c>
      <c r="C51" s="91">
        <f t="shared" si="2"/>
        <v>1</v>
      </c>
      <c r="D51" s="91">
        <f t="shared" si="2"/>
        <v>1</v>
      </c>
      <c r="E51" s="91">
        <f t="shared" si="2"/>
        <v>1</v>
      </c>
      <c r="F51" s="91">
        <f t="shared" si="2"/>
        <v>1</v>
      </c>
    </row>
    <row r="52" spans="1:6" ht="15.75" customHeight="1" x14ac:dyDescent="0.25">
      <c r="B52" s="5" t="s">
        <v>103</v>
      </c>
      <c r="C52" s="91">
        <f t="shared" si="2"/>
        <v>1</v>
      </c>
      <c r="D52" s="91">
        <f t="shared" si="2"/>
        <v>1</v>
      </c>
      <c r="E52" s="91">
        <f t="shared" si="2"/>
        <v>1</v>
      </c>
      <c r="F52" s="91">
        <f t="shared" si="2"/>
        <v>1</v>
      </c>
    </row>
    <row r="54" spans="1:6" ht="15.75" customHeight="1" x14ac:dyDescent="0.3">
      <c r="A54" s="92" t="s">
        <v>270</v>
      </c>
      <c r="B54" s="93"/>
      <c r="C54" s="94"/>
      <c r="D54" s="95"/>
      <c r="E54" s="95"/>
      <c r="F54" s="95"/>
    </row>
    <row r="55" spans="1:6" s="68" customFormat="1" ht="18.75" customHeight="1" x14ac:dyDescent="0.3">
      <c r="A55" s="67" t="s">
        <v>314</v>
      </c>
    </row>
    <row r="56" spans="1:6" ht="15.75" customHeight="1" x14ac:dyDescent="0.3">
      <c r="B56" s="69"/>
      <c r="C56" s="26" t="s">
        <v>72</v>
      </c>
      <c r="D56" s="70" t="s">
        <v>71</v>
      </c>
      <c r="E56" s="70" t="s">
        <v>70</v>
      </c>
      <c r="F56" s="70" t="s">
        <v>69</v>
      </c>
    </row>
    <row r="57" spans="1:6" ht="15.75" customHeight="1" x14ac:dyDescent="0.3">
      <c r="A57" s="4" t="s">
        <v>324</v>
      </c>
      <c r="B57" s="14"/>
      <c r="C57" s="71"/>
      <c r="D57" s="72"/>
      <c r="E57" s="72"/>
      <c r="F57" s="72"/>
    </row>
    <row r="58" spans="1:6" ht="15.75" customHeight="1" x14ac:dyDescent="0.25">
      <c r="B58" s="5" t="s">
        <v>55</v>
      </c>
      <c r="C58" s="91">
        <f t="shared" ref="C58:F61" si="3">IF(C4=1,1,C4*1.1)</f>
        <v>1</v>
      </c>
      <c r="D58" s="91">
        <f t="shared" si="3"/>
        <v>1</v>
      </c>
      <c r="E58" s="91">
        <f t="shared" si="3"/>
        <v>1</v>
      </c>
      <c r="F58" s="91">
        <f t="shared" si="3"/>
        <v>1</v>
      </c>
    </row>
    <row r="59" spans="1:6" ht="15.75" customHeight="1" x14ac:dyDescent="0.25">
      <c r="B59" s="5" t="s">
        <v>56</v>
      </c>
      <c r="C59" s="91">
        <f t="shared" si="3"/>
        <v>1</v>
      </c>
      <c r="D59" s="91">
        <f t="shared" si="3"/>
        <v>1.5509999999999999</v>
      </c>
      <c r="E59" s="91">
        <f t="shared" si="3"/>
        <v>1.639</v>
      </c>
      <c r="F59" s="91">
        <f t="shared" si="3"/>
        <v>3.3330000000000002</v>
      </c>
    </row>
    <row r="60" spans="1:6" ht="15.75" customHeight="1" x14ac:dyDescent="0.25">
      <c r="B60" s="5" t="s">
        <v>57</v>
      </c>
      <c r="C60" s="91">
        <f t="shared" si="3"/>
        <v>1</v>
      </c>
      <c r="D60" s="91">
        <f t="shared" si="3"/>
        <v>1.298</v>
      </c>
      <c r="E60" s="91">
        <f t="shared" si="3"/>
        <v>1.2100000000000002</v>
      </c>
      <c r="F60" s="91">
        <f t="shared" si="3"/>
        <v>1.9470000000000003</v>
      </c>
    </row>
    <row r="61" spans="1:6" ht="15.75" customHeight="1" x14ac:dyDescent="0.25">
      <c r="B61" s="5" t="s">
        <v>58</v>
      </c>
      <c r="C61" s="91">
        <f t="shared" si="3"/>
        <v>1</v>
      </c>
      <c r="D61" s="91">
        <f t="shared" si="3"/>
        <v>1</v>
      </c>
      <c r="E61" s="91">
        <f t="shared" si="3"/>
        <v>1</v>
      </c>
      <c r="F61" s="91">
        <f t="shared" si="3"/>
        <v>1</v>
      </c>
    </row>
    <row r="62" spans="1:6" ht="15.75" customHeight="1" x14ac:dyDescent="0.25">
      <c r="C62" s="73"/>
      <c r="D62" s="64"/>
      <c r="E62" s="64"/>
      <c r="F62" s="64"/>
    </row>
    <row r="63" spans="1:6" ht="15.75" customHeight="1" x14ac:dyDescent="0.3">
      <c r="A63" s="4" t="s">
        <v>334</v>
      </c>
      <c r="C63" s="91">
        <f>IF(C9=1,1,C9*1.1)</f>
        <v>1</v>
      </c>
      <c r="D63" s="91">
        <f>IF(D9=1,1,D9*1.1)</f>
        <v>1.6830000000000003</v>
      </c>
      <c r="E63" s="91">
        <f>IF(E9=1,1,E9*1.1)</f>
        <v>1.4520000000000002</v>
      </c>
      <c r="F63" s="91">
        <f>IF(F9=1,1,F9*1.1)</f>
        <v>1.6830000000000003</v>
      </c>
    </row>
    <row r="65" spans="1:6" ht="15.75" customHeight="1" x14ac:dyDescent="0.3">
      <c r="A65" s="67" t="s">
        <v>316</v>
      </c>
      <c r="B65" s="68"/>
      <c r="C65" s="74"/>
      <c r="D65" s="75"/>
      <c r="E65" s="75"/>
      <c r="F65" s="75"/>
    </row>
    <row r="66" spans="1:6" ht="15.75" customHeight="1" x14ac:dyDescent="0.3">
      <c r="A66" s="4" t="s">
        <v>325</v>
      </c>
      <c r="C66" s="73"/>
      <c r="D66" s="64"/>
      <c r="E66" s="64"/>
      <c r="F66" s="64"/>
    </row>
    <row r="67" spans="1:6" ht="15.75" customHeight="1" x14ac:dyDescent="0.25">
      <c r="B67" s="11" t="s">
        <v>330</v>
      </c>
      <c r="C67" s="91">
        <f t="shared" ref="C67:F69" si="4">IF(C13=1,1,C13*1.1)</f>
        <v>1</v>
      </c>
      <c r="D67" s="91">
        <f t="shared" si="4"/>
        <v>5.5</v>
      </c>
      <c r="E67" s="91">
        <f t="shared" si="4"/>
        <v>7.0400000000000009</v>
      </c>
      <c r="F67" s="91">
        <f t="shared" si="4"/>
        <v>51.150000000000006</v>
      </c>
    </row>
    <row r="68" spans="1:6" ht="15.75" customHeight="1" x14ac:dyDescent="0.25">
      <c r="B68" s="11" t="s">
        <v>331</v>
      </c>
      <c r="C68" s="91">
        <f t="shared" si="4"/>
        <v>1</v>
      </c>
      <c r="D68" s="91">
        <f t="shared" si="4"/>
        <v>2.7720000000000002</v>
      </c>
      <c r="E68" s="91">
        <f t="shared" si="4"/>
        <v>2.1560000000000001</v>
      </c>
      <c r="F68" s="91">
        <f t="shared" si="4"/>
        <v>4.6090000000000009</v>
      </c>
    </row>
    <row r="69" spans="1:6" ht="15.75" customHeight="1" x14ac:dyDescent="0.25">
      <c r="B69" s="11" t="s">
        <v>332</v>
      </c>
      <c r="C69" s="91">
        <f t="shared" si="4"/>
        <v>1</v>
      </c>
      <c r="D69" s="91">
        <f t="shared" si="4"/>
        <v>2.7720000000000002</v>
      </c>
      <c r="E69" s="91">
        <f t="shared" si="4"/>
        <v>2.1560000000000001</v>
      </c>
      <c r="F69" s="91">
        <f t="shared" si="4"/>
        <v>4.6090000000000009</v>
      </c>
    </row>
    <row r="70" spans="1:6" ht="15.75" customHeight="1" x14ac:dyDescent="0.3">
      <c r="A70" s="4"/>
      <c r="B70" s="11"/>
      <c r="C70" s="76"/>
      <c r="D70" s="64"/>
      <c r="E70" s="64"/>
      <c r="F70" s="64"/>
    </row>
    <row r="71" spans="1:6" ht="15.75" customHeight="1" x14ac:dyDescent="0.3">
      <c r="A71" s="4" t="s">
        <v>326</v>
      </c>
      <c r="B71" s="14"/>
      <c r="C71" s="77"/>
      <c r="D71" s="78"/>
      <c r="E71" s="78"/>
      <c r="F71" s="78"/>
    </row>
    <row r="72" spans="1:6" ht="15.75" customHeight="1" x14ac:dyDescent="0.25">
      <c r="B72" s="5" t="s">
        <v>96</v>
      </c>
      <c r="C72" s="91">
        <f t="shared" ref="C72:F79" si="5">IF(C18=1,1,C18*1.1)</f>
        <v>1</v>
      </c>
      <c r="D72" s="91">
        <f t="shared" si="5"/>
        <v>1</v>
      </c>
      <c r="E72" s="91">
        <f t="shared" si="5"/>
        <v>1</v>
      </c>
      <c r="F72" s="91">
        <f t="shared" si="5"/>
        <v>1</v>
      </c>
    </row>
    <row r="73" spans="1:6" ht="15.75" customHeight="1" x14ac:dyDescent="0.25">
      <c r="B73" s="5" t="s">
        <v>97</v>
      </c>
      <c r="C73" s="91">
        <f t="shared" si="5"/>
        <v>1</v>
      </c>
      <c r="D73" s="91">
        <f t="shared" si="5"/>
        <v>2.2770000000000001</v>
      </c>
      <c r="E73" s="91">
        <f t="shared" si="5"/>
        <v>3.7290000000000005</v>
      </c>
      <c r="F73" s="91">
        <f t="shared" si="5"/>
        <v>13.079000000000002</v>
      </c>
    </row>
    <row r="74" spans="1:6" ht="15.75" customHeight="1" x14ac:dyDescent="0.25">
      <c r="B74" s="5" t="s">
        <v>98</v>
      </c>
      <c r="C74" s="91">
        <f t="shared" si="5"/>
        <v>1</v>
      </c>
      <c r="D74" s="91">
        <f t="shared" si="5"/>
        <v>2.2770000000000001</v>
      </c>
      <c r="E74" s="91">
        <f t="shared" si="5"/>
        <v>3.7290000000000005</v>
      </c>
      <c r="F74" s="91">
        <f t="shared" si="5"/>
        <v>13.079000000000002</v>
      </c>
    </row>
    <row r="75" spans="1:6" ht="15.75" customHeight="1" x14ac:dyDescent="0.25">
      <c r="B75" s="5" t="s">
        <v>99</v>
      </c>
      <c r="C75" s="91">
        <f t="shared" si="5"/>
        <v>1</v>
      </c>
      <c r="D75" s="91">
        <f t="shared" si="5"/>
        <v>2.2770000000000001</v>
      </c>
      <c r="E75" s="91">
        <f t="shared" si="5"/>
        <v>3.7290000000000005</v>
      </c>
      <c r="F75" s="91">
        <f t="shared" si="5"/>
        <v>13.079000000000002</v>
      </c>
    </row>
    <row r="76" spans="1:6" ht="15.75" customHeight="1" x14ac:dyDescent="0.25">
      <c r="B76" s="5" t="s">
        <v>100</v>
      </c>
      <c r="C76" s="91">
        <f t="shared" si="5"/>
        <v>1</v>
      </c>
      <c r="D76" s="91">
        <f t="shared" si="5"/>
        <v>1</v>
      </c>
      <c r="E76" s="91">
        <f t="shared" si="5"/>
        <v>1099.989</v>
      </c>
      <c r="F76" s="91">
        <f t="shared" si="5"/>
        <v>1099.989</v>
      </c>
    </row>
    <row r="77" spans="1:6" ht="15.75" customHeight="1" x14ac:dyDescent="0.25">
      <c r="B77" s="5" t="s">
        <v>101</v>
      </c>
      <c r="C77" s="91">
        <f t="shared" si="5"/>
        <v>1</v>
      </c>
      <c r="D77" s="91">
        <f t="shared" si="5"/>
        <v>1</v>
      </c>
      <c r="E77" s="91">
        <f t="shared" si="5"/>
        <v>1</v>
      </c>
      <c r="F77" s="91">
        <f t="shared" si="5"/>
        <v>1</v>
      </c>
    </row>
    <row r="78" spans="1:6" ht="15.75" customHeight="1" x14ac:dyDescent="0.25">
      <c r="B78" s="5" t="s">
        <v>102</v>
      </c>
      <c r="C78" s="91">
        <f t="shared" si="5"/>
        <v>1</v>
      </c>
      <c r="D78" s="91">
        <f t="shared" si="5"/>
        <v>1</v>
      </c>
      <c r="E78" s="91">
        <f t="shared" si="5"/>
        <v>1</v>
      </c>
      <c r="F78" s="91">
        <f t="shared" si="5"/>
        <v>1</v>
      </c>
    </row>
    <row r="79" spans="1:6" ht="15.75" customHeight="1" x14ac:dyDescent="0.25">
      <c r="B79" s="5" t="s">
        <v>103</v>
      </c>
      <c r="C79" s="91">
        <f t="shared" si="5"/>
        <v>1</v>
      </c>
      <c r="D79" s="91">
        <f t="shared" si="5"/>
        <v>1</v>
      </c>
      <c r="E79" s="91">
        <f t="shared" si="5"/>
        <v>1</v>
      </c>
      <c r="F79" s="91">
        <f t="shared" si="5"/>
        <v>1</v>
      </c>
    </row>
  </sheetData>
  <sheetProtection algorithmName="SHA-512" hashValue="SG+XWegbkJstzQeyKyv9n6hEyzzGWgRvDpnJGcCIQ5/5qhst6nGtaUdIPplUFfToVKkRWz5WNo/R4jUjBheFgg==" saltValue="Ddwo7u8HriPHXjokMkE5ew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500-000000000000}">
  <sheetPr codeName="Sheet23">
    <tabColor theme="0" tint="-0.249977111117893"/>
  </sheetPr>
  <dimension ref="A1:P328"/>
  <sheetViews>
    <sheetView topLeftCell="A19" zoomScaleNormal="100" workbookViewId="0">
      <selection activeCell="D30" sqref="D30"/>
    </sheetView>
  </sheetViews>
  <sheetFormatPr defaultColWidth="12.6328125" defaultRowHeight="12.5" x14ac:dyDescent="0.25"/>
  <cols>
    <col min="1" max="1" width="27.36328125" style="8" customWidth="1"/>
    <col min="2" max="2" width="26.90625" style="8" customWidth="1"/>
    <col min="3" max="3" width="18.36328125" style="8" customWidth="1"/>
    <col min="4" max="8" width="14.6328125" style="8" customWidth="1"/>
    <col min="9" max="12" width="15.36328125" style="8" bestFit="1" customWidth="1"/>
    <col min="13" max="16" width="16.90625" style="8" bestFit="1" customWidth="1"/>
    <col min="17" max="18" width="12.6328125" style="8" customWidth="1"/>
    <col min="19" max="16384" width="12.6328125" style="8"/>
  </cols>
  <sheetData>
    <row r="1" spans="1:16" s="68" customFormat="1" ht="13" x14ac:dyDescent="0.3">
      <c r="A1" s="67" t="s">
        <v>335</v>
      </c>
    </row>
    <row r="2" spans="1:16" ht="13" x14ac:dyDescent="0.3">
      <c r="A2" s="39" t="s">
        <v>256</v>
      </c>
      <c r="B2" s="1" t="s">
        <v>336</v>
      </c>
      <c r="C2" s="1" t="s">
        <v>337</v>
      </c>
      <c r="D2" s="70" t="s">
        <v>127</v>
      </c>
      <c r="E2" s="70" t="s">
        <v>114</v>
      </c>
      <c r="F2" s="70" t="s">
        <v>115</v>
      </c>
      <c r="G2" s="70" t="s">
        <v>116</v>
      </c>
      <c r="H2" s="70" t="s">
        <v>117</v>
      </c>
      <c r="I2" s="79"/>
      <c r="J2" s="79"/>
      <c r="K2" s="79"/>
      <c r="L2" s="79"/>
      <c r="M2" s="79"/>
      <c r="N2" s="79"/>
      <c r="O2" s="79"/>
      <c r="P2" s="79"/>
    </row>
    <row r="3" spans="1:16" ht="13" x14ac:dyDescent="0.3">
      <c r="A3" s="4"/>
      <c r="B3" s="8" t="s">
        <v>105</v>
      </c>
      <c r="C3" s="3" t="s">
        <v>9</v>
      </c>
      <c r="D3" s="89">
        <v>1</v>
      </c>
      <c r="E3" s="89">
        <v>1</v>
      </c>
      <c r="F3" s="89">
        <v>1</v>
      </c>
      <c r="G3" s="89">
        <v>1</v>
      </c>
      <c r="H3" s="89">
        <v>1</v>
      </c>
      <c r="I3" s="39"/>
      <c r="J3" s="39"/>
      <c r="K3" s="39"/>
      <c r="L3" s="39"/>
      <c r="M3" s="39"/>
      <c r="N3" s="39"/>
      <c r="O3" s="39"/>
      <c r="P3" s="39"/>
    </row>
    <row r="4" spans="1:16" x14ac:dyDescent="0.25">
      <c r="C4" s="3" t="s">
        <v>338</v>
      </c>
      <c r="D4" s="90">
        <v>1</v>
      </c>
      <c r="E4" s="90">
        <v>1.67</v>
      </c>
      <c r="F4" s="90">
        <v>1.67</v>
      </c>
      <c r="G4" s="90">
        <v>1.67</v>
      </c>
      <c r="H4" s="90">
        <v>1.67</v>
      </c>
      <c r="I4" s="39"/>
      <c r="J4" s="39"/>
      <c r="K4" s="39"/>
      <c r="L4" s="39"/>
      <c r="M4" s="39"/>
      <c r="N4" s="39"/>
      <c r="O4" s="39"/>
      <c r="P4" s="39"/>
    </row>
    <row r="5" spans="1:16" x14ac:dyDescent="0.25">
      <c r="C5" s="3" t="s">
        <v>339</v>
      </c>
      <c r="D5" s="90">
        <v>1</v>
      </c>
      <c r="E5" s="90">
        <v>2.38</v>
      </c>
      <c r="F5" s="90">
        <v>2.38</v>
      </c>
      <c r="G5" s="90">
        <v>2.38</v>
      </c>
      <c r="H5" s="90">
        <v>2.38</v>
      </c>
      <c r="I5" s="39"/>
      <c r="J5" s="39"/>
      <c r="K5" s="39"/>
      <c r="L5" s="39"/>
      <c r="M5" s="39"/>
      <c r="N5" s="39"/>
      <c r="O5" s="39"/>
      <c r="P5" s="39"/>
    </row>
    <row r="6" spans="1:16" x14ac:dyDescent="0.25">
      <c r="C6" s="3" t="s">
        <v>340</v>
      </c>
      <c r="D6" s="90">
        <v>1</v>
      </c>
      <c r="E6" s="90">
        <v>6.33</v>
      </c>
      <c r="F6" s="90">
        <v>6.33</v>
      </c>
      <c r="G6" s="90">
        <v>6.33</v>
      </c>
      <c r="H6" s="90">
        <v>6.33</v>
      </c>
      <c r="I6" s="39"/>
      <c r="J6" s="39"/>
      <c r="K6" s="39"/>
      <c r="L6" s="39"/>
      <c r="M6" s="39"/>
      <c r="N6" s="39"/>
      <c r="O6" s="39"/>
      <c r="P6" s="39"/>
    </row>
    <row r="7" spans="1:16" x14ac:dyDescent="0.25">
      <c r="B7" s="8" t="s">
        <v>106</v>
      </c>
      <c r="C7" s="3" t="s">
        <v>9</v>
      </c>
      <c r="D7" s="89">
        <v>1</v>
      </c>
      <c r="E7" s="89">
        <v>1</v>
      </c>
      <c r="F7" s="89">
        <v>1</v>
      </c>
      <c r="G7" s="89">
        <v>1</v>
      </c>
      <c r="H7" s="89">
        <v>1</v>
      </c>
      <c r="I7" s="39"/>
      <c r="J7" s="39"/>
      <c r="K7" s="39"/>
      <c r="L7" s="39"/>
      <c r="M7" s="39"/>
      <c r="N7" s="39"/>
      <c r="O7" s="39"/>
      <c r="P7" s="39"/>
    </row>
    <row r="8" spans="1:16" x14ac:dyDescent="0.25">
      <c r="C8" s="3" t="s">
        <v>338</v>
      </c>
      <c r="D8" s="90">
        <v>1</v>
      </c>
      <c r="E8" s="90">
        <v>1.55</v>
      </c>
      <c r="F8" s="90">
        <v>1.55</v>
      </c>
      <c r="G8" s="90">
        <v>1.55</v>
      </c>
      <c r="H8" s="90">
        <v>1.55</v>
      </c>
      <c r="I8" s="39"/>
      <c r="J8" s="39"/>
      <c r="K8" s="39"/>
      <c r="L8" s="39"/>
      <c r="M8" s="39"/>
      <c r="N8" s="39"/>
      <c r="O8" s="39"/>
      <c r="P8" s="39"/>
    </row>
    <row r="9" spans="1:16" x14ac:dyDescent="0.25">
      <c r="C9" s="3" t="s">
        <v>339</v>
      </c>
      <c r="D9" s="90">
        <v>1</v>
      </c>
      <c r="E9" s="90">
        <v>2.1800000000000002</v>
      </c>
      <c r="F9" s="90">
        <v>2.1800000000000002</v>
      </c>
      <c r="G9" s="90">
        <v>2.1800000000000002</v>
      </c>
      <c r="H9" s="90">
        <v>2.1800000000000002</v>
      </c>
      <c r="I9" s="39"/>
      <c r="J9" s="39"/>
      <c r="K9" s="39"/>
      <c r="L9" s="39"/>
      <c r="M9" s="39"/>
      <c r="N9" s="39"/>
      <c r="O9" s="39"/>
      <c r="P9" s="39"/>
    </row>
    <row r="10" spans="1:16" x14ac:dyDescent="0.25">
      <c r="C10" s="3" t="s">
        <v>340</v>
      </c>
      <c r="D10" s="90">
        <v>1</v>
      </c>
      <c r="E10" s="90">
        <v>6.39</v>
      </c>
      <c r="F10" s="90">
        <v>6.39</v>
      </c>
      <c r="G10" s="90">
        <v>6.39</v>
      </c>
      <c r="H10" s="90">
        <v>6.39</v>
      </c>
      <c r="I10" s="39"/>
      <c r="J10" s="39"/>
      <c r="K10" s="39"/>
      <c r="L10" s="39"/>
      <c r="M10" s="39"/>
      <c r="N10" s="39"/>
      <c r="O10" s="39"/>
      <c r="P10" s="39"/>
    </row>
    <row r="11" spans="1:16" x14ac:dyDescent="0.25">
      <c r="B11" s="8" t="s">
        <v>108</v>
      </c>
      <c r="C11" s="3" t="s">
        <v>9</v>
      </c>
      <c r="D11" s="89">
        <v>1</v>
      </c>
      <c r="E11" s="89">
        <v>1</v>
      </c>
      <c r="F11" s="89">
        <v>1</v>
      </c>
      <c r="G11" s="89">
        <v>1</v>
      </c>
      <c r="H11" s="89">
        <v>1</v>
      </c>
      <c r="I11" s="39"/>
      <c r="J11" s="39"/>
      <c r="K11" s="39"/>
      <c r="L11" s="39"/>
      <c r="M11" s="39"/>
      <c r="N11" s="39"/>
      <c r="O11" s="39"/>
      <c r="P11" s="39"/>
    </row>
    <row r="12" spans="1:16" x14ac:dyDescent="0.25">
      <c r="C12" s="3" t="s">
        <v>338</v>
      </c>
      <c r="D12" s="90">
        <v>1</v>
      </c>
      <c r="E12" s="90">
        <v>1</v>
      </c>
      <c r="F12" s="90">
        <v>1</v>
      </c>
      <c r="G12" s="90">
        <v>1</v>
      </c>
      <c r="H12" s="90">
        <v>1</v>
      </c>
      <c r="I12" s="39"/>
      <c r="J12" s="39"/>
      <c r="K12" s="39"/>
      <c r="L12" s="39"/>
      <c r="M12" s="39"/>
      <c r="N12" s="39"/>
      <c r="O12" s="39"/>
      <c r="P12" s="39"/>
    </row>
    <row r="13" spans="1:16" x14ac:dyDescent="0.25">
      <c r="C13" s="3" t="s">
        <v>339</v>
      </c>
      <c r="D13" s="90">
        <v>1</v>
      </c>
      <c r="E13" s="90">
        <v>2.79</v>
      </c>
      <c r="F13" s="90">
        <v>2.79</v>
      </c>
      <c r="G13" s="90">
        <v>2.79</v>
      </c>
      <c r="H13" s="90">
        <v>2.79</v>
      </c>
      <c r="I13" s="39"/>
      <c r="J13" s="39"/>
      <c r="K13" s="39"/>
      <c r="L13" s="39"/>
      <c r="M13" s="39"/>
      <c r="N13" s="39"/>
      <c r="O13" s="39"/>
      <c r="P13" s="39"/>
    </row>
    <row r="14" spans="1:16" x14ac:dyDescent="0.25">
      <c r="C14" s="3" t="s">
        <v>340</v>
      </c>
      <c r="D14" s="90">
        <v>1</v>
      </c>
      <c r="E14" s="90">
        <v>6.01</v>
      </c>
      <c r="F14" s="90">
        <v>6.01</v>
      </c>
      <c r="G14" s="90">
        <v>6.01</v>
      </c>
      <c r="H14" s="90">
        <v>6.01</v>
      </c>
      <c r="I14" s="39"/>
      <c r="J14" s="39"/>
      <c r="K14" s="39"/>
      <c r="L14" s="39"/>
      <c r="M14" s="39"/>
      <c r="N14" s="39"/>
      <c r="O14" s="39"/>
      <c r="P14" s="39"/>
    </row>
    <row r="15" spans="1:16" x14ac:dyDescent="0.25">
      <c r="B15" s="8" t="s">
        <v>109</v>
      </c>
      <c r="C15" s="3" t="s">
        <v>9</v>
      </c>
      <c r="D15" s="89">
        <v>1</v>
      </c>
      <c r="E15" s="89">
        <v>1</v>
      </c>
      <c r="F15" s="89">
        <v>1</v>
      </c>
      <c r="G15" s="89">
        <v>1</v>
      </c>
      <c r="H15" s="89">
        <v>1</v>
      </c>
      <c r="I15" s="39"/>
      <c r="J15" s="39"/>
      <c r="K15" s="39"/>
      <c r="L15" s="39"/>
      <c r="M15" s="39"/>
      <c r="N15" s="39"/>
      <c r="O15" s="39"/>
      <c r="P15" s="39"/>
    </row>
    <row r="16" spans="1:16" x14ac:dyDescent="0.25">
      <c r="C16" s="3" t="s">
        <v>338</v>
      </c>
      <c r="D16" s="90">
        <v>1</v>
      </c>
      <c r="E16" s="90">
        <v>1</v>
      </c>
      <c r="F16" s="90">
        <v>1</v>
      </c>
      <c r="G16" s="90">
        <v>1</v>
      </c>
      <c r="H16" s="90">
        <v>1</v>
      </c>
      <c r="I16" s="39"/>
      <c r="J16" s="39"/>
      <c r="K16" s="39"/>
      <c r="L16" s="39"/>
      <c r="M16" s="39"/>
      <c r="N16" s="39"/>
      <c r="O16" s="39"/>
      <c r="P16" s="39"/>
    </row>
    <row r="17" spans="1:16" x14ac:dyDescent="0.25">
      <c r="C17" s="3" t="s">
        <v>339</v>
      </c>
      <c r="D17" s="90">
        <v>1</v>
      </c>
      <c r="E17" s="90">
        <v>1</v>
      </c>
      <c r="F17" s="90">
        <v>1</v>
      </c>
      <c r="G17" s="90">
        <v>1</v>
      </c>
      <c r="H17" s="90">
        <v>1</v>
      </c>
      <c r="I17" s="39"/>
      <c r="J17" s="39"/>
      <c r="K17" s="39"/>
      <c r="L17" s="39"/>
      <c r="M17" s="39"/>
      <c r="N17" s="39"/>
      <c r="O17" s="39"/>
      <c r="P17" s="39"/>
    </row>
    <row r="18" spans="1:16" ht="14" customHeight="1" x14ac:dyDescent="0.25">
      <c r="C18" s="3" t="s">
        <v>340</v>
      </c>
      <c r="D18" s="90">
        <v>1</v>
      </c>
      <c r="E18" s="90">
        <v>1</v>
      </c>
      <c r="F18" s="90">
        <v>1</v>
      </c>
      <c r="G18" s="90">
        <v>1</v>
      </c>
      <c r="H18" s="90">
        <v>1</v>
      </c>
      <c r="I18" s="39"/>
      <c r="J18" s="39"/>
      <c r="K18" s="39"/>
      <c r="L18" s="39"/>
      <c r="M18" s="39"/>
      <c r="N18" s="39"/>
      <c r="O18" s="39"/>
      <c r="P18" s="39"/>
    </row>
    <row r="19" spans="1:16" x14ac:dyDescent="0.25">
      <c r="B19" s="8" t="s">
        <v>107</v>
      </c>
      <c r="C19" s="3" t="s">
        <v>9</v>
      </c>
      <c r="D19" s="89">
        <v>1</v>
      </c>
      <c r="E19" s="89">
        <v>1</v>
      </c>
      <c r="F19" s="89">
        <v>1</v>
      </c>
      <c r="G19" s="89">
        <v>1</v>
      </c>
      <c r="H19" s="89">
        <v>1</v>
      </c>
      <c r="I19" s="39"/>
      <c r="J19" s="39"/>
      <c r="K19" s="39"/>
      <c r="L19" s="39"/>
      <c r="M19" s="39"/>
      <c r="N19" s="39"/>
      <c r="O19" s="39"/>
      <c r="P19" s="39"/>
    </row>
    <row r="20" spans="1:16" x14ac:dyDescent="0.25">
      <c r="C20" s="3" t="s">
        <v>338</v>
      </c>
      <c r="D20" s="90">
        <v>1</v>
      </c>
      <c r="E20" s="90">
        <v>1</v>
      </c>
      <c r="F20" s="90">
        <v>1</v>
      </c>
      <c r="G20" s="90">
        <v>1</v>
      </c>
      <c r="H20" s="90">
        <v>1</v>
      </c>
      <c r="I20" s="39"/>
      <c r="J20" s="39"/>
      <c r="K20" s="39"/>
      <c r="L20" s="39"/>
      <c r="M20" s="39"/>
      <c r="N20" s="39"/>
      <c r="O20" s="39"/>
      <c r="P20" s="39"/>
    </row>
    <row r="21" spans="1:16" x14ac:dyDescent="0.25">
      <c r="C21" s="3" t="s">
        <v>339</v>
      </c>
      <c r="D21" s="90">
        <v>1</v>
      </c>
      <c r="E21" s="90">
        <v>1.86</v>
      </c>
      <c r="F21" s="90">
        <v>1.86</v>
      </c>
      <c r="G21" s="90">
        <v>1.86</v>
      </c>
      <c r="H21" s="90">
        <v>1.86</v>
      </c>
      <c r="I21" s="39"/>
      <c r="J21" s="39"/>
      <c r="K21" s="39"/>
      <c r="L21" s="39"/>
      <c r="M21" s="39"/>
      <c r="N21" s="39"/>
      <c r="O21" s="39"/>
      <c r="P21" s="39"/>
    </row>
    <row r="22" spans="1:16" x14ac:dyDescent="0.25">
      <c r="C22" s="3" t="s">
        <v>340</v>
      </c>
      <c r="D22" s="90">
        <v>1</v>
      </c>
      <c r="E22" s="90">
        <v>3.01</v>
      </c>
      <c r="F22" s="90">
        <v>3.01</v>
      </c>
      <c r="G22" s="90">
        <v>3.01</v>
      </c>
      <c r="H22" s="90">
        <v>3.01</v>
      </c>
      <c r="I22" s="39"/>
      <c r="J22" s="39"/>
      <c r="K22" s="39"/>
      <c r="L22" s="39"/>
      <c r="M22" s="39"/>
      <c r="N22" s="39"/>
      <c r="O22" s="39"/>
      <c r="P22" s="39"/>
    </row>
    <row r="23" spans="1:16" x14ac:dyDescent="0.25">
      <c r="B23" s="8" t="s">
        <v>113</v>
      </c>
      <c r="C23" s="3" t="s">
        <v>9</v>
      </c>
      <c r="D23" s="89">
        <v>1</v>
      </c>
      <c r="E23" s="89">
        <v>1</v>
      </c>
      <c r="F23" s="89">
        <v>1</v>
      </c>
      <c r="G23" s="89">
        <v>1</v>
      </c>
      <c r="H23" s="89">
        <v>1</v>
      </c>
      <c r="I23" s="39"/>
      <c r="J23" s="39"/>
      <c r="K23" s="39"/>
      <c r="L23" s="39"/>
      <c r="M23" s="39"/>
      <c r="N23" s="39"/>
      <c r="O23" s="39"/>
      <c r="P23" s="39"/>
    </row>
    <row r="24" spans="1:16" x14ac:dyDescent="0.25">
      <c r="C24" s="3" t="s">
        <v>338</v>
      </c>
      <c r="D24" s="90">
        <v>1</v>
      </c>
      <c r="E24" s="90">
        <v>1</v>
      </c>
      <c r="F24" s="90">
        <v>1</v>
      </c>
      <c r="G24" s="90">
        <v>1</v>
      </c>
      <c r="H24" s="90">
        <v>1</v>
      </c>
      <c r="I24" s="39"/>
      <c r="J24" s="39"/>
      <c r="K24" s="39"/>
      <c r="L24" s="39"/>
      <c r="M24" s="39"/>
      <c r="N24" s="39"/>
      <c r="O24" s="39"/>
      <c r="P24" s="39"/>
    </row>
    <row r="25" spans="1:16" x14ac:dyDescent="0.25">
      <c r="C25" s="3" t="s">
        <v>339</v>
      </c>
      <c r="D25" s="90">
        <v>1</v>
      </c>
      <c r="E25" s="90">
        <v>1.86</v>
      </c>
      <c r="F25" s="90">
        <v>1.86</v>
      </c>
      <c r="G25" s="90">
        <v>1.86</v>
      </c>
      <c r="H25" s="90">
        <v>1.86</v>
      </c>
      <c r="I25" s="39"/>
      <c r="J25" s="39"/>
      <c r="K25" s="39"/>
      <c r="L25" s="39"/>
      <c r="M25" s="39"/>
      <c r="N25" s="39"/>
      <c r="O25" s="39"/>
      <c r="P25" s="39"/>
    </row>
    <row r="26" spans="1:16" x14ac:dyDescent="0.25">
      <c r="C26" s="3" t="s">
        <v>340</v>
      </c>
      <c r="D26" s="90">
        <v>1</v>
      </c>
      <c r="E26" s="90">
        <v>3.01</v>
      </c>
      <c r="F26" s="90">
        <v>3.01</v>
      </c>
      <c r="G26" s="90">
        <v>3.01</v>
      </c>
      <c r="H26" s="90">
        <v>3.01</v>
      </c>
      <c r="I26" s="39"/>
      <c r="J26" s="39"/>
      <c r="K26" s="39"/>
      <c r="L26" s="39"/>
      <c r="M26" s="39"/>
      <c r="N26" s="39"/>
      <c r="O26" s="39"/>
      <c r="P26" s="39"/>
    </row>
    <row r="28" spans="1:16" s="68" customFormat="1" ht="13" x14ac:dyDescent="0.3">
      <c r="A28" s="67" t="s">
        <v>349</v>
      </c>
    </row>
    <row r="29" spans="1:16" ht="13" x14ac:dyDescent="0.3">
      <c r="A29" s="39" t="s">
        <v>283</v>
      </c>
      <c r="B29" s="4" t="s">
        <v>336</v>
      </c>
      <c r="C29" s="4" t="s">
        <v>341</v>
      </c>
      <c r="D29" s="70" t="s">
        <v>127</v>
      </c>
      <c r="E29" s="70" t="s">
        <v>114</v>
      </c>
      <c r="F29" s="70" t="s">
        <v>115</v>
      </c>
      <c r="G29" s="70" t="s">
        <v>116</v>
      </c>
      <c r="H29" s="70" t="s">
        <v>117</v>
      </c>
      <c r="I29" s="79"/>
      <c r="J29" s="79"/>
      <c r="K29" s="79"/>
      <c r="L29" s="79"/>
      <c r="M29" s="79"/>
      <c r="N29" s="79"/>
      <c r="O29" s="79"/>
      <c r="P29" s="79"/>
    </row>
    <row r="30" spans="1:16" ht="13" x14ac:dyDescent="0.3">
      <c r="A30" s="4"/>
      <c r="B30" s="8" t="s">
        <v>105</v>
      </c>
      <c r="C30" s="3" t="s">
        <v>9</v>
      </c>
      <c r="D30" s="89">
        <v>1</v>
      </c>
      <c r="E30" s="89">
        <v>1</v>
      </c>
      <c r="F30" s="89">
        <v>1</v>
      </c>
      <c r="G30" s="89">
        <v>1</v>
      </c>
      <c r="H30" s="89">
        <v>1</v>
      </c>
      <c r="I30" s="80"/>
      <c r="J30" s="39"/>
      <c r="K30" s="39"/>
      <c r="L30" s="39"/>
      <c r="M30" s="39"/>
      <c r="N30" s="39"/>
      <c r="O30" s="39"/>
      <c r="P30" s="39"/>
    </row>
    <row r="31" spans="1:16" x14ac:dyDescent="0.25">
      <c r="C31" s="3" t="s">
        <v>338</v>
      </c>
      <c r="D31" s="90">
        <v>1</v>
      </c>
      <c r="E31" s="90">
        <v>1.6</v>
      </c>
      <c r="F31" s="90">
        <v>1.6</v>
      </c>
      <c r="G31" s="90">
        <v>1.6</v>
      </c>
      <c r="H31" s="90">
        <v>1.6</v>
      </c>
      <c r="I31" s="39"/>
      <c r="J31" s="39"/>
      <c r="K31" s="39"/>
      <c r="L31" s="39"/>
      <c r="M31" s="39"/>
      <c r="N31" s="39"/>
      <c r="O31" s="39"/>
      <c r="P31" s="39"/>
    </row>
    <row r="32" spans="1:16" x14ac:dyDescent="0.25">
      <c r="C32" s="3" t="s">
        <v>238</v>
      </c>
      <c r="D32" s="90">
        <v>1</v>
      </c>
      <c r="E32" s="90">
        <v>3.41</v>
      </c>
      <c r="F32" s="90">
        <v>3.41</v>
      </c>
      <c r="G32" s="90">
        <v>3.41</v>
      </c>
      <c r="H32" s="90">
        <v>3.41</v>
      </c>
      <c r="I32" s="39"/>
      <c r="J32" s="39"/>
      <c r="K32" s="39"/>
      <c r="L32" s="39"/>
      <c r="M32" s="39"/>
      <c r="N32" s="39"/>
      <c r="O32" s="39"/>
      <c r="P32" s="39"/>
    </row>
    <row r="33" spans="2:16" x14ac:dyDescent="0.25">
      <c r="C33" s="3" t="s">
        <v>237</v>
      </c>
      <c r="D33" s="90">
        <v>1</v>
      </c>
      <c r="E33" s="90">
        <v>12.33</v>
      </c>
      <c r="F33" s="90">
        <v>12.33</v>
      </c>
      <c r="G33" s="90">
        <v>12.33</v>
      </c>
      <c r="H33" s="90">
        <v>12.33</v>
      </c>
      <c r="I33" s="39"/>
      <c r="J33" s="39"/>
      <c r="K33" s="39"/>
      <c r="L33" s="39"/>
      <c r="M33" s="39"/>
      <c r="N33" s="39"/>
      <c r="O33" s="39"/>
      <c r="P33" s="39"/>
    </row>
    <row r="34" spans="2:16" x14ac:dyDescent="0.25">
      <c r="B34" s="8" t="s">
        <v>106</v>
      </c>
      <c r="C34" s="3" t="s">
        <v>9</v>
      </c>
      <c r="D34" s="89">
        <v>1</v>
      </c>
      <c r="E34" s="89">
        <v>1</v>
      </c>
      <c r="F34" s="89">
        <v>1</v>
      </c>
      <c r="G34" s="89">
        <v>1</v>
      </c>
      <c r="H34" s="89">
        <v>1</v>
      </c>
      <c r="I34" s="39"/>
      <c r="J34" s="39"/>
      <c r="K34" s="39"/>
      <c r="L34" s="39"/>
      <c r="M34" s="39"/>
      <c r="N34" s="39"/>
      <c r="O34" s="39"/>
      <c r="P34" s="39"/>
    </row>
    <row r="35" spans="2:16" x14ac:dyDescent="0.25">
      <c r="C35" s="3" t="s">
        <v>338</v>
      </c>
      <c r="D35" s="90">
        <v>1</v>
      </c>
      <c r="E35" s="90">
        <v>1.92</v>
      </c>
      <c r="F35" s="90">
        <v>1.92</v>
      </c>
      <c r="G35" s="90">
        <v>1.92</v>
      </c>
      <c r="H35" s="90">
        <v>1.92</v>
      </c>
      <c r="I35" s="39"/>
      <c r="J35" s="39"/>
      <c r="K35" s="39"/>
      <c r="L35" s="39"/>
      <c r="M35" s="39"/>
      <c r="N35" s="39"/>
      <c r="O35" s="39"/>
      <c r="P35" s="39"/>
    </row>
    <row r="36" spans="2:16" x14ac:dyDescent="0.25">
      <c r="C36" s="3" t="s">
        <v>238</v>
      </c>
      <c r="D36" s="90">
        <v>1</v>
      </c>
      <c r="E36" s="90">
        <v>4.66</v>
      </c>
      <c r="F36" s="90">
        <v>4.66</v>
      </c>
      <c r="G36" s="90">
        <v>4.66</v>
      </c>
      <c r="H36" s="90">
        <v>4.66</v>
      </c>
      <c r="I36" s="39"/>
      <c r="J36" s="39"/>
      <c r="K36" s="39"/>
      <c r="L36" s="39"/>
      <c r="M36" s="39"/>
      <c r="N36" s="39"/>
      <c r="O36" s="39"/>
      <c r="P36" s="39"/>
    </row>
    <row r="37" spans="2:16" x14ac:dyDescent="0.25">
      <c r="C37" s="3" t="s">
        <v>237</v>
      </c>
      <c r="D37" s="90">
        <v>1</v>
      </c>
      <c r="E37" s="90">
        <v>9.68</v>
      </c>
      <c r="F37" s="90">
        <v>9.68</v>
      </c>
      <c r="G37" s="90">
        <v>9.68</v>
      </c>
      <c r="H37" s="90">
        <v>9.68</v>
      </c>
      <c r="I37" s="39"/>
      <c r="J37" s="39"/>
      <c r="K37" s="39"/>
      <c r="L37" s="39"/>
      <c r="M37" s="39"/>
      <c r="N37" s="39"/>
      <c r="O37" s="39"/>
      <c r="P37" s="39"/>
    </row>
    <row r="38" spans="2:16" x14ac:dyDescent="0.25">
      <c r="B38" s="8" t="s">
        <v>108</v>
      </c>
      <c r="C38" s="3" t="s">
        <v>9</v>
      </c>
      <c r="D38" s="89">
        <v>1</v>
      </c>
      <c r="E38" s="89">
        <v>1</v>
      </c>
      <c r="F38" s="89">
        <v>1</v>
      </c>
      <c r="G38" s="89">
        <v>1</v>
      </c>
      <c r="H38" s="89">
        <v>1</v>
      </c>
      <c r="I38" s="39"/>
      <c r="J38" s="39"/>
      <c r="K38" s="39"/>
      <c r="L38" s="39"/>
      <c r="M38" s="39"/>
      <c r="N38" s="39"/>
      <c r="O38" s="39"/>
      <c r="P38" s="39"/>
    </row>
    <row r="39" spans="2:16" x14ac:dyDescent="0.25">
      <c r="C39" s="3" t="s">
        <v>338</v>
      </c>
      <c r="D39" s="90">
        <v>1</v>
      </c>
      <c r="E39" s="90">
        <v>1</v>
      </c>
      <c r="F39" s="90">
        <v>1</v>
      </c>
      <c r="G39" s="90">
        <v>1</v>
      </c>
      <c r="H39" s="90">
        <v>1</v>
      </c>
      <c r="I39" s="39"/>
      <c r="J39" s="39"/>
      <c r="K39" s="39"/>
      <c r="L39" s="39"/>
      <c r="M39" s="39"/>
      <c r="N39" s="39"/>
      <c r="O39" s="39"/>
      <c r="P39" s="39"/>
    </row>
    <row r="40" spans="2:16" x14ac:dyDescent="0.25">
      <c r="C40" s="3" t="s">
        <v>238</v>
      </c>
      <c r="D40" s="90">
        <v>1</v>
      </c>
      <c r="E40" s="90">
        <v>2.58</v>
      </c>
      <c r="F40" s="90">
        <v>2.58</v>
      </c>
      <c r="G40" s="90">
        <v>2.58</v>
      </c>
      <c r="H40" s="90">
        <v>2.58</v>
      </c>
      <c r="I40" s="39"/>
      <c r="J40" s="39"/>
      <c r="K40" s="39"/>
      <c r="L40" s="39"/>
      <c r="M40" s="39"/>
      <c r="N40" s="39"/>
      <c r="O40" s="39"/>
      <c r="P40" s="39"/>
    </row>
    <row r="41" spans="2:16" x14ac:dyDescent="0.25">
      <c r="C41" s="3" t="s">
        <v>237</v>
      </c>
      <c r="D41" s="90">
        <v>1</v>
      </c>
      <c r="E41" s="90">
        <v>9.6300000000000008</v>
      </c>
      <c r="F41" s="90">
        <v>9.6300000000000008</v>
      </c>
      <c r="G41" s="90">
        <v>9.6300000000000008</v>
      </c>
      <c r="H41" s="90">
        <v>9.6300000000000008</v>
      </c>
      <c r="I41" s="39"/>
      <c r="J41" s="39"/>
      <c r="K41" s="39"/>
      <c r="L41" s="39"/>
      <c r="M41" s="39"/>
      <c r="N41" s="39"/>
      <c r="O41" s="39"/>
      <c r="P41" s="39"/>
    </row>
    <row r="42" spans="2:16" x14ac:dyDescent="0.25">
      <c r="B42" s="8" t="s">
        <v>109</v>
      </c>
      <c r="C42" s="3" t="s">
        <v>9</v>
      </c>
      <c r="D42" s="89">
        <v>1</v>
      </c>
      <c r="E42" s="89">
        <v>1</v>
      </c>
      <c r="F42" s="89">
        <v>1</v>
      </c>
      <c r="G42" s="89">
        <v>1</v>
      </c>
      <c r="H42" s="89">
        <v>1</v>
      </c>
      <c r="I42" s="39"/>
      <c r="J42" s="39"/>
      <c r="K42" s="39"/>
      <c r="L42" s="39"/>
      <c r="M42" s="39"/>
      <c r="N42" s="39"/>
      <c r="O42" s="39"/>
      <c r="P42" s="39"/>
    </row>
    <row r="43" spans="2:16" x14ac:dyDescent="0.25">
      <c r="C43" s="3" t="s">
        <v>338</v>
      </c>
      <c r="D43" s="90">
        <v>1</v>
      </c>
      <c r="E43" s="90">
        <v>1</v>
      </c>
      <c r="F43" s="90">
        <v>1</v>
      </c>
      <c r="G43" s="90">
        <v>1</v>
      </c>
      <c r="H43" s="90">
        <v>1</v>
      </c>
      <c r="I43" s="39"/>
      <c r="J43" s="39"/>
      <c r="K43" s="39"/>
      <c r="L43" s="39"/>
      <c r="M43" s="39"/>
      <c r="N43" s="39"/>
      <c r="O43" s="39"/>
      <c r="P43" s="39"/>
    </row>
    <row r="44" spans="2:16" x14ac:dyDescent="0.25">
      <c r="C44" s="3" t="s">
        <v>238</v>
      </c>
      <c r="D44" s="90">
        <v>1</v>
      </c>
      <c r="E44" s="90">
        <v>1</v>
      </c>
      <c r="F44" s="90">
        <v>1</v>
      </c>
      <c r="G44" s="90">
        <v>1</v>
      </c>
      <c r="H44" s="90">
        <v>1</v>
      </c>
      <c r="I44" s="39"/>
      <c r="J44" s="39"/>
      <c r="K44" s="39"/>
      <c r="L44" s="39"/>
      <c r="M44" s="39"/>
      <c r="N44" s="39"/>
      <c r="O44" s="39"/>
      <c r="P44" s="39"/>
    </row>
    <row r="45" spans="2:16" x14ac:dyDescent="0.25">
      <c r="C45" s="3" t="s">
        <v>237</v>
      </c>
      <c r="D45" s="90">
        <v>1</v>
      </c>
      <c r="E45" s="90">
        <v>1</v>
      </c>
      <c r="F45" s="90">
        <v>1</v>
      </c>
      <c r="G45" s="90">
        <v>1</v>
      </c>
      <c r="H45" s="90">
        <v>1</v>
      </c>
      <c r="I45" s="39"/>
      <c r="J45" s="39"/>
      <c r="K45" s="39"/>
      <c r="L45" s="39"/>
      <c r="M45" s="39"/>
      <c r="N45" s="39"/>
      <c r="O45" s="39"/>
      <c r="P45" s="39"/>
    </row>
    <row r="46" spans="2:16" x14ac:dyDescent="0.25">
      <c r="B46" s="8" t="s">
        <v>107</v>
      </c>
      <c r="C46" s="3" t="s">
        <v>9</v>
      </c>
      <c r="D46" s="89">
        <v>1</v>
      </c>
      <c r="E46" s="89">
        <v>1</v>
      </c>
      <c r="F46" s="89">
        <v>1</v>
      </c>
      <c r="G46" s="89">
        <v>1</v>
      </c>
      <c r="H46" s="89">
        <v>1</v>
      </c>
      <c r="I46" s="39"/>
      <c r="J46" s="39"/>
      <c r="K46" s="39"/>
      <c r="L46" s="39"/>
      <c r="M46" s="39"/>
      <c r="N46" s="39"/>
      <c r="O46" s="39"/>
      <c r="P46" s="39"/>
    </row>
    <row r="47" spans="2:16" x14ac:dyDescent="0.25">
      <c r="C47" s="3" t="s">
        <v>338</v>
      </c>
      <c r="D47" s="90">
        <v>1</v>
      </c>
      <c r="E47" s="90">
        <v>1.65</v>
      </c>
      <c r="F47" s="90">
        <v>1.65</v>
      </c>
      <c r="G47" s="90">
        <v>1.65</v>
      </c>
      <c r="H47" s="90">
        <v>1.65</v>
      </c>
      <c r="I47" s="39"/>
      <c r="J47" s="39"/>
      <c r="K47" s="39"/>
      <c r="L47" s="39"/>
      <c r="M47" s="39"/>
      <c r="N47" s="39"/>
      <c r="O47" s="39"/>
      <c r="P47" s="39"/>
    </row>
    <row r="48" spans="2:16" x14ac:dyDescent="0.25">
      <c r="C48" s="3" t="s">
        <v>238</v>
      </c>
      <c r="D48" s="90">
        <v>1</v>
      </c>
      <c r="E48" s="90">
        <v>2.73</v>
      </c>
      <c r="F48" s="90">
        <v>2.73</v>
      </c>
      <c r="G48" s="90">
        <v>2.73</v>
      </c>
      <c r="H48" s="90">
        <v>2.73</v>
      </c>
      <c r="I48" s="39"/>
      <c r="J48" s="39"/>
      <c r="K48" s="39"/>
      <c r="L48" s="39"/>
      <c r="M48" s="39"/>
      <c r="N48" s="39"/>
      <c r="O48" s="39"/>
      <c r="P48" s="39"/>
    </row>
    <row r="49" spans="1:16" x14ac:dyDescent="0.25">
      <c r="C49" s="3" t="s">
        <v>237</v>
      </c>
      <c r="D49" s="90">
        <v>1</v>
      </c>
      <c r="E49" s="90">
        <v>11.21</v>
      </c>
      <c r="F49" s="90">
        <v>11.21</v>
      </c>
      <c r="G49" s="90">
        <v>11.21</v>
      </c>
      <c r="H49" s="90">
        <v>11.21</v>
      </c>
      <c r="I49" s="39"/>
      <c r="J49" s="39"/>
      <c r="K49" s="39"/>
      <c r="L49" s="39"/>
      <c r="M49" s="39"/>
      <c r="N49" s="39"/>
      <c r="O49" s="39"/>
      <c r="P49" s="39"/>
    </row>
    <row r="50" spans="1:16" x14ac:dyDescent="0.25">
      <c r="B50" s="8" t="s">
        <v>113</v>
      </c>
      <c r="C50" s="3" t="s">
        <v>9</v>
      </c>
      <c r="D50" s="89">
        <v>1</v>
      </c>
      <c r="E50" s="89">
        <v>1</v>
      </c>
      <c r="F50" s="89">
        <v>1</v>
      </c>
      <c r="G50" s="89">
        <v>1</v>
      </c>
      <c r="H50" s="89">
        <v>1</v>
      </c>
      <c r="I50" s="39"/>
      <c r="J50" s="39"/>
      <c r="K50" s="39"/>
      <c r="L50" s="39"/>
      <c r="M50" s="39"/>
      <c r="N50" s="39"/>
      <c r="O50" s="39"/>
      <c r="P50" s="39"/>
    </row>
    <row r="51" spans="1:16" x14ac:dyDescent="0.25">
      <c r="C51" s="3" t="s">
        <v>338</v>
      </c>
      <c r="D51" s="90">
        <v>1</v>
      </c>
      <c r="E51" s="90">
        <v>1.65</v>
      </c>
      <c r="F51" s="90">
        <v>1.65</v>
      </c>
      <c r="G51" s="90">
        <v>1.65</v>
      </c>
      <c r="H51" s="90">
        <v>1.65</v>
      </c>
      <c r="I51" s="39"/>
      <c r="J51" s="39"/>
      <c r="K51" s="39"/>
      <c r="L51" s="39"/>
      <c r="M51" s="39"/>
      <c r="N51" s="39"/>
      <c r="O51" s="39"/>
      <c r="P51" s="39"/>
    </row>
    <row r="52" spans="1:16" x14ac:dyDescent="0.25">
      <c r="C52" s="3" t="s">
        <v>238</v>
      </c>
      <c r="D52" s="90">
        <v>1</v>
      </c>
      <c r="E52" s="90">
        <v>2.73</v>
      </c>
      <c r="F52" s="90">
        <v>2.73</v>
      </c>
      <c r="G52" s="90">
        <v>2.73</v>
      </c>
      <c r="H52" s="90">
        <v>2.73</v>
      </c>
      <c r="I52" s="39"/>
      <c r="J52" s="39"/>
      <c r="K52" s="39"/>
      <c r="L52" s="39"/>
      <c r="M52" s="39"/>
      <c r="N52" s="39"/>
      <c r="O52" s="39"/>
      <c r="P52" s="39"/>
    </row>
    <row r="53" spans="1:16" x14ac:dyDescent="0.25">
      <c r="C53" s="3" t="s">
        <v>237</v>
      </c>
      <c r="D53" s="90">
        <v>1</v>
      </c>
      <c r="E53" s="90">
        <v>11.21</v>
      </c>
      <c r="F53" s="90">
        <v>11.21</v>
      </c>
      <c r="G53" s="90">
        <v>11.21</v>
      </c>
      <c r="H53" s="90">
        <v>11.21</v>
      </c>
      <c r="I53" s="39"/>
      <c r="J53" s="39"/>
      <c r="K53" s="39"/>
      <c r="L53" s="39"/>
      <c r="M53" s="39"/>
      <c r="N53" s="39"/>
      <c r="O53" s="39"/>
      <c r="P53" s="39"/>
    </row>
    <row r="54" spans="1:16" x14ac:dyDescent="0.25">
      <c r="C54" s="3"/>
      <c r="D54" s="3"/>
    </row>
    <row r="55" spans="1:16" s="68" customFormat="1" ht="13" x14ac:dyDescent="0.3">
      <c r="A55" s="67" t="s">
        <v>342</v>
      </c>
    </row>
    <row r="56" spans="1:16" ht="26.4" customHeight="1" x14ac:dyDescent="0.3">
      <c r="A56" s="39" t="s">
        <v>139</v>
      </c>
      <c r="B56" s="4" t="s">
        <v>336</v>
      </c>
      <c r="C56" s="69" t="s">
        <v>343</v>
      </c>
      <c r="D56" s="70" t="s">
        <v>140</v>
      </c>
      <c r="E56" s="70" t="s">
        <v>141</v>
      </c>
      <c r="F56" s="70" t="s">
        <v>142</v>
      </c>
      <c r="G56" s="70" t="s">
        <v>143</v>
      </c>
      <c r="H56" s="79"/>
      <c r="M56" s="79"/>
      <c r="N56" s="79"/>
      <c r="O56" s="79"/>
      <c r="P56" s="79"/>
    </row>
    <row r="57" spans="1:16" ht="13" x14ac:dyDescent="0.3">
      <c r="A57" s="4"/>
      <c r="B57" s="8" t="s">
        <v>119</v>
      </c>
      <c r="C57" s="3" t="s">
        <v>344</v>
      </c>
      <c r="D57" s="89">
        <v>1</v>
      </c>
      <c r="E57" s="89">
        <v>1</v>
      </c>
      <c r="F57" s="89">
        <v>1</v>
      </c>
      <c r="G57" s="89">
        <v>1</v>
      </c>
      <c r="H57" s="39"/>
      <c r="M57" s="39"/>
      <c r="N57" s="39"/>
      <c r="O57" s="39"/>
      <c r="P57" s="39"/>
    </row>
    <row r="58" spans="1:16" x14ac:dyDescent="0.25">
      <c r="C58" s="3" t="s">
        <v>345</v>
      </c>
      <c r="D58" s="90">
        <v>10.675000000000001</v>
      </c>
      <c r="E58" s="90">
        <v>10.675000000000001</v>
      </c>
      <c r="F58" s="90">
        <v>10.675000000000001</v>
      </c>
      <c r="G58" s="90">
        <v>10.675000000000001</v>
      </c>
      <c r="H58" s="39"/>
      <c r="M58" s="39"/>
      <c r="N58" s="39"/>
      <c r="O58" s="39"/>
      <c r="P58" s="39"/>
    </row>
    <row r="59" spans="1:16" x14ac:dyDescent="0.25">
      <c r="B59" s="8" t="s">
        <v>120</v>
      </c>
      <c r="C59" s="3" t="s">
        <v>344</v>
      </c>
      <c r="D59" s="89">
        <v>1</v>
      </c>
      <c r="E59" s="89">
        <v>1</v>
      </c>
      <c r="F59" s="89">
        <v>1</v>
      </c>
      <c r="G59" s="89">
        <v>1</v>
      </c>
      <c r="H59" s="39"/>
      <c r="M59" s="39"/>
      <c r="N59" s="39"/>
      <c r="O59" s="39"/>
      <c r="P59" s="39"/>
    </row>
    <row r="60" spans="1:16" x14ac:dyDescent="0.25">
      <c r="C60" s="3" t="s">
        <v>345</v>
      </c>
      <c r="D60" s="90">
        <v>10.675000000000001</v>
      </c>
      <c r="E60" s="90">
        <v>10.675000000000001</v>
      </c>
      <c r="F60" s="90">
        <v>10.675000000000001</v>
      </c>
      <c r="G60" s="90">
        <v>10.675000000000001</v>
      </c>
      <c r="H60" s="39"/>
      <c r="M60" s="39"/>
      <c r="N60" s="39"/>
      <c r="O60" s="39"/>
      <c r="P60" s="39"/>
    </row>
    <row r="61" spans="1:16" x14ac:dyDescent="0.25">
      <c r="B61" s="8" t="s">
        <v>121</v>
      </c>
      <c r="C61" s="3" t="s">
        <v>344</v>
      </c>
      <c r="D61" s="89">
        <v>1</v>
      </c>
      <c r="E61" s="89">
        <v>1</v>
      </c>
      <c r="F61" s="89">
        <v>1</v>
      </c>
      <c r="G61" s="89">
        <v>1</v>
      </c>
      <c r="H61" s="39"/>
      <c r="M61" s="39"/>
      <c r="N61" s="39"/>
      <c r="O61" s="39"/>
      <c r="P61" s="39"/>
    </row>
    <row r="62" spans="1:16" x14ac:dyDescent="0.25">
      <c r="C62" s="3" t="s">
        <v>345</v>
      </c>
      <c r="D62" s="90">
        <v>10.675000000000001</v>
      </c>
      <c r="E62" s="90">
        <v>10.675000000000001</v>
      </c>
      <c r="F62" s="90">
        <v>10.675000000000001</v>
      </c>
      <c r="G62" s="90">
        <v>10.675000000000001</v>
      </c>
      <c r="H62" s="39"/>
      <c r="M62" s="39"/>
      <c r="N62" s="39"/>
      <c r="O62" s="39"/>
      <c r="P62" s="39"/>
    </row>
    <row r="63" spans="1:16" x14ac:dyDescent="0.25">
      <c r="C63" s="3"/>
      <c r="D63" s="3"/>
    </row>
    <row r="64" spans="1:16" s="68" customFormat="1" ht="13" x14ac:dyDescent="0.3">
      <c r="A64" s="67" t="s">
        <v>346</v>
      </c>
    </row>
    <row r="65" spans="1:16" ht="26.4" customHeight="1" x14ac:dyDescent="0.3">
      <c r="A65" s="39" t="s">
        <v>146</v>
      </c>
      <c r="B65" s="4" t="s">
        <v>336</v>
      </c>
      <c r="C65" s="69" t="s">
        <v>347</v>
      </c>
      <c r="D65" s="70" t="s">
        <v>127</v>
      </c>
      <c r="E65" s="70" t="s">
        <v>114</v>
      </c>
      <c r="F65" s="70" t="s">
        <v>115</v>
      </c>
      <c r="G65" s="70" t="s">
        <v>116</v>
      </c>
      <c r="H65" s="81" t="s">
        <v>117</v>
      </c>
      <c r="I65" s="79"/>
      <c r="J65" s="79"/>
      <c r="K65" s="79"/>
      <c r="L65" s="79"/>
      <c r="M65" s="79"/>
      <c r="N65" s="79"/>
      <c r="O65" s="79"/>
      <c r="P65" s="79"/>
    </row>
    <row r="66" spans="1:16" ht="13" x14ac:dyDescent="0.3">
      <c r="A66" s="82"/>
      <c r="B66" s="8" t="s">
        <v>96</v>
      </c>
      <c r="C66" s="3" t="s">
        <v>147</v>
      </c>
      <c r="D66" s="90">
        <v>1</v>
      </c>
      <c r="E66" s="89">
        <v>1</v>
      </c>
      <c r="F66" s="89">
        <v>1</v>
      </c>
      <c r="G66" s="89">
        <v>1</v>
      </c>
      <c r="H66" s="39">
        <v>1</v>
      </c>
      <c r="I66" s="39"/>
      <c r="J66" s="39"/>
      <c r="K66" s="39"/>
      <c r="L66" s="39"/>
      <c r="M66" s="39"/>
      <c r="N66" s="39"/>
      <c r="O66" s="39"/>
      <c r="P66" s="39"/>
    </row>
    <row r="67" spans="1:16" x14ac:dyDescent="0.25">
      <c r="C67" s="3" t="s">
        <v>148</v>
      </c>
      <c r="D67" s="90">
        <v>1.35</v>
      </c>
      <c r="E67" s="90">
        <v>1</v>
      </c>
      <c r="F67" s="90">
        <v>1</v>
      </c>
      <c r="G67" s="90">
        <v>1</v>
      </c>
      <c r="H67" s="39">
        <v>1</v>
      </c>
      <c r="I67" s="39"/>
      <c r="J67" s="39"/>
      <c r="K67" s="39"/>
      <c r="L67" s="39"/>
      <c r="M67" s="39"/>
      <c r="N67" s="39"/>
      <c r="O67" s="39"/>
      <c r="P67" s="39"/>
    </row>
    <row r="68" spans="1:16" x14ac:dyDescent="0.25">
      <c r="C68" s="3" t="s">
        <v>149</v>
      </c>
      <c r="D68" s="90">
        <v>1.35</v>
      </c>
      <c r="E68" s="90">
        <v>1</v>
      </c>
      <c r="F68" s="90">
        <v>1</v>
      </c>
      <c r="G68" s="90">
        <v>1</v>
      </c>
      <c r="H68" s="39">
        <v>1</v>
      </c>
      <c r="I68" s="39"/>
      <c r="J68" s="39"/>
      <c r="K68" s="39"/>
      <c r="L68" s="39"/>
      <c r="M68" s="39"/>
      <c r="N68" s="39"/>
      <c r="O68" s="39"/>
      <c r="P68" s="39"/>
    </row>
    <row r="69" spans="1:16" x14ac:dyDescent="0.25">
      <c r="C69" s="3" t="s">
        <v>150</v>
      </c>
      <c r="D69" s="90">
        <v>5.4</v>
      </c>
      <c r="E69" s="90">
        <v>1</v>
      </c>
      <c r="F69" s="90">
        <v>1</v>
      </c>
      <c r="G69" s="90">
        <v>1</v>
      </c>
      <c r="H69" s="39">
        <v>1</v>
      </c>
      <c r="I69" s="39"/>
      <c r="J69" s="39"/>
      <c r="K69" s="39"/>
      <c r="L69" s="39"/>
      <c r="M69" s="39"/>
      <c r="N69" s="39"/>
      <c r="O69" s="39"/>
      <c r="P69" s="39"/>
    </row>
    <row r="70" spans="1:16" x14ac:dyDescent="0.25">
      <c r="B70" s="8" t="s">
        <v>97</v>
      </c>
      <c r="C70" s="3" t="s">
        <v>147</v>
      </c>
      <c r="D70" s="90">
        <v>1</v>
      </c>
      <c r="E70" s="89">
        <v>1</v>
      </c>
      <c r="F70" s="89">
        <v>1</v>
      </c>
      <c r="G70" s="89">
        <v>1</v>
      </c>
      <c r="H70" s="39">
        <v>1</v>
      </c>
      <c r="I70" s="39"/>
      <c r="J70" s="39"/>
      <c r="K70" s="39"/>
      <c r="L70" s="39"/>
      <c r="M70" s="39"/>
      <c r="N70" s="39"/>
      <c r="O70" s="39"/>
      <c r="P70" s="39"/>
    </row>
    <row r="71" spans="1:16" x14ac:dyDescent="0.25">
      <c r="C71" s="3" t="s">
        <v>148</v>
      </c>
      <c r="D71" s="90">
        <v>1.35</v>
      </c>
      <c r="E71" s="90">
        <v>1</v>
      </c>
      <c r="F71" s="90">
        <v>1</v>
      </c>
      <c r="G71" s="90">
        <v>1</v>
      </c>
      <c r="H71" s="39">
        <v>1</v>
      </c>
      <c r="I71" s="39"/>
      <c r="J71" s="39"/>
      <c r="K71" s="39"/>
      <c r="L71" s="39"/>
      <c r="M71" s="39"/>
      <c r="N71" s="39"/>
      <c r="O71" s="39"/>
      <c r="P71" s="39"/>
    </row>
    <row r="72" spans="1:16" x14ac:dyDescent="0.25">
      <c r="C72" s="3" t="s">
        <v>149</v>
      </c>
      <c r="D72" s="90">
        <v>1.35</v>
      </c>
      <c r="E72" s="90">
        <v>1</v>
      </c>
      <c r="F72" s="90">
        <v>1</v>
      </c>
      <c r="G72" s="90">
        <v>1</v>
      </c>
      <c r="H72" s="39">
        <v>1</v>
      </c>
      <c r="I72" s="39"/>
      <c r="J72" s="39"/>
      <c r="K72" s="39"/>
      <c r="L72" s="39"/>
      <c r="M72" s="39"/>
      <c r="N72" s="39"/>
      <c r="O72" s="39"/>
      <c r="P72" s="39"/>
    </row>
    <row r="73" spans="1:16" x14ac:dyDescent="0.25">
      <c r="C73" s="3" t="s">
        <v>150</v>
      </c>
      <c r="D73" s="90">
        <v>5.4</v>
      </c>
      <c r="E73" s="90">
        <v>1</v>
      </c>
      <c r="F73" s="90">
        <v>1</v>
      </c>
      <c r="G73" s="90">
        <v>1</v>
      </c>
      <c r="H73" s="39">
        <v>1</v>
      </c>
      <c r="I73" s="39"/>
      <c r="J73" s="39"/>
      <c r="K73" s="39"/>
      <c r="L73" s="39"/>
      <c r="M73" s="39"/>
      <c r="N73" s="39"/>
      <c r="O73" s="39"/>
      <c r="P73" s="39"/>
    </row>
    <row r="74" spans="1:16" x14ac:dyDescent="0.25">
      <c r="B74" s="8" t="s">
        <v>98</v>
      </c>
      <c r="C74" s="3" t="s">
        <v>147</v>
      </c>
      <c r="D74" s="90">
        <v>1</v>
      </c>
      <c r="E74" s="89">
        <v>1</v>
      </c>
      <c r="F74" s="89">
        <v>1</v>
      </c>
      <c r="G74" s="89">
        <v>1</v>
      </c>
      <c r="H74" s="39">
        <v>1</v>
      </c>
      <c r="I74" s="39"/>
      <c r="J74" s="39"/>
      <c r="K74" s="39"/>
      <c r="L74" s="39"/>
      <c r="M74" s="39"/>
      <c r="N74" s="39"/>
      <c r="O74" s="39"/>
      <c r="P74" s="39"/>
    </row>
    <row r="75" spans="1:16" x14ac:dyDescent="0.25">
      <c r="C75" s="3" t="s">
        <v>148</v>
      </c>
      <c r="D75" s="90">
        <v>1.35</v>
      </c>
      <c r="E75" s="90">
        <v>1</v>
      </c>
      <c r="F75" s="90">
        <v>1</v>
      </c>
      <c r="G75" s="90">
        <v>1</v>
      </c>
      <c r="H75" s="39">
        <v>1</v>
      </c>
      <c r="I75" s="39"/>
      <c r="J75" s="39"/>
      <c r="K75" s="39"/>
      <c r="L75" s="39"/>
      <c r="M75" s="39"/>
      <c r="N75" s="39"/>
      <c r="O75" s="39"/>
      <c r="P75" s="39"/>
    </row>
    <row r="76" spans="1:16" x14ac:dyDescent="0.25">
      <c r="C76" s="3" t="s">
        <v>149</v>
      </c>
      <c r="D76" s="90">
        <v>1.35</v>
      </c>
      <c r="E76" s="90">
        <v>1</v>
      </c>
      <c r="F76" s="90">
        <v>1</v>
      </c>
      <c r="G76" s="90">
        <v>1</v>
      </c>
      <c r="H76" s="39">
        <v>1</v>
      </c>
      <c r="I76" s="39"/>
      <c r="J76" s="39"/>
      <c r="K76" s="39"/>
      <c r="L76" s="39"/>
      <c r="M76" s="39"/>
      <c r="N76" s="39"/>
      <c r="O76" s="39"/>
      <c r="P76" s="39"/>
    </row>
    <row r="77" spans="1:16" x14ac:dyDescent="0.25">
      <c r="C77" s="3" t="s">
        <v>150</v>
      </c>
      <c r="D77" s="90">
        <v>5.4</v>
      </c>
      <c r="E77" s="90">
        <v>1</v>
      </c>
      <c r="F77" s="90">
        <v>1</v>
      </c>
      <c r="G77" s="90">
        <v>1</v>
      </c>
      <c r="H77" s="39">
        <v>1</v>
      </c>
      <c r="I77" s="39"/>
      <c r="J77" s="39"/>
      <c r="K77" s="39"/>
      <c r="L77" s="39"/>
      <c r="M77" s="39"/>
      <c r="N77" s="39"/>
      <c r="O77" s="39"/>
      <c r="P77" s="39"/>
    </row>
    <row r="78" spans="1:16" x14ac:dyDescent="0.25">
      <c r="B78" s="8" t="s">
        <v>100</v>
      </c>
      <c r="C78" s="3" t="s">
        <v>147</v>
      </c>
      <c r="D78" s="89">
        <v>1</v>
      </c>
      <c r="E78" s="89">
        <v>1</v>
      </c>
      <c r="F78" s="89">
        <v>1</v>
      </c>
      <c r="G78" s="89">
        <v>1</v>
      </c>
      <c r="H78" s="39">
        <v>1</v>
      </c>
      <c r="I78" s="39"/>
      <c r="J78" s="39"/>
      <c r="K78" s="39"/>
      <c r="L78" s="39"/>
      <c r="M78" s="39"/>
      <c r="N78" s="39"/>
      <c r="O78" s="39"/>
      <c r="P78" s="39"/>
    </row>
    <row r="79" spans="1:16" x14ac:dyDescent="0.25">
      <c r="C79" s="3" t="s">
        <v>148</v>
      </c>
      <c r="D79" s="90">
        <v>1</v>
      </c>
      <c r="E79" s="90">
        <v>1</v>
      </c>
      <c r="F79" s="90">
        <v>1</v>
      </c>
      <c r="G79" s="90">
        <v>1</v>
      </c>
      <c r="H79" s="39">
        <v>1</v>
      </c>
      <c r="I79" s="39"/>
      <c r="J79" s="39"/>
      <c r="K79" s="39"/>
      <c r="L79" s="39"/>
      <c r="M79" s="39"/>
      <c r="N79" s="39"/>
      <c r="O79" s="39"/>
      <c r="P79" s="39"/>
    </row>
    <row r="80" spans="1:16" x14ac:dyDescent="0.25">
      <c r="C80" s="3" t="s">
        <v>149</v>
      </c>
      <c r="D80" s="90">
        <v>1</v>
      </c>
      <c r="E80" s="90">
        <v>1</v>
      </c>
      <c r="F80" s="90">
        <v>1</v>
      </c>
      <c r="G80" s="90">
        <v>1</v>
      </c>
      <c r="H80" s="39">
        <v>1</v>
      </c>
      <c r="I80" s="39"/>
      <c r="J80" s="39"/>
      <c r="K80" s="39"/>
      <c r="L80" s="39"/>
      <c r="M80" s="39"/>
      <c r="N80" s="39"/>
      <c r="O80" s="39"/>
      <c r="P80" s="39"/>
    </row>
    <row r="81" spans="2:16" x14ac:dyDescent="0.25">
      <c r="C81" s="3" t="s">
        <v>150</v>
      </c>
      <c r="D81" s="90">
        <v>1</v>
      </c>
      <c r="E81" s="90">
        <v>1</v>
      </c>
      <c r="F81" s="90">
        <v>1</v>
      </c>
      <c r="G81" s="90">
        <v>1</v>
      </c>
      <c r="H81" s="39">
        <v>1</v>
      </c>
      <c r="I81" s="39"/>
      <c r="J81" s="39"/>
      <c r="K81" s="39"/>
      <c r="L81" s="39"/>
      <c r="M81" s="39"/>
      <c r="N81" s="39"/>
      <c r="O81" s="39"/>
      <c r="P81" s="39"/>
    </row>
    <row r="82" spans="2:16" x14ac:dyDescent="0.25">
      <c r="B82" s="8" t="s">
        <v>105</v>
      </c>
      <c r="C82" s="3" t="s">
        <v>147</v>
      </c>
      <c r="D82" s="89">
        <v>1</v>
      </c>
      <c r="E82" s="89">
        <v>1</v>
      </c>
      <c r="F82" s="89">
        <v>1</v>
      </c>
      <c r="G82" s="89">
        <v>1</v>
      </c>
      <c r="H82" s="39">
        <v>1</v>
      </c>
      <c r="I82" s="39"/>
      <c r="J82" s="39"/>
      <c r="K82" s="39"/>
      <c r="L82" s="39"/>
      <c r="M82" s="39"/>
      <c r="N82" s="39"/>
      <c r="O82" s="39"/>
      <c r="P82" s="39"/>
    </row>
    <row r="83" spans="2:16" x14ac:dyDescent="0.25">
      <c r="C83" s="3" t="s">
        <v>148</v>
      </c>
      <c r="D83" s="90">
        <v>1</v>
      </c>
      <c r="E83" s="90">
        <v>2.2799999999999998</v>
      </c>
      <c r="F83" s="90">
        <v>1</v>
      </c>
      <c r="G83" s="90">
        <v>1</v>
      </c>
      <c r="H83" s="39">
        <v>1</v>
      </c>
      <c r="I83" s="39"/>
      <c r="J83" s="39"/>
      <c r="K83" s="39"/>
      <c r="L83" s="39"/>
      <c r="M83" s="39"/>
      <c r="N83" s="39"/>
      <c r="O83" s="39"/>
      <c r="P83" s="39"/>
    </row>
    <row r="84" spans="2:16" x14ac:dyDescent="0.25">
      <c r="C84" s="3" t="s">
        <v>149</v>
      </c>
      <c r="D84" s="90">
        <v>1</v>
      </c>
      <c r="E84" s="90">
        <v>4.62</v>
      </c>
      <c r="F84" s="90">
        <v>1</v>
      </c>
      <c r="G84" s="90">
        <v>1</v>
      </c>
      <c r="H84" s="39">
        <v>1</v>
      </c>
      <c r="I84" s="39"/>
      <c r="J84" s="39"/>
      <c r="K84" s="39"/>
      <c r="L84" s="39"/>
      <c r="M84" s="39"/>
      <c r="N84" s="39"/>
      <c r="O84" s="39"/>
      <c r="P84" s="39"/>
    </row>
    <row r="85" spans="2:16" x14ac:dyDescent="0.25">
      <c r="C85" s="3" t="s">
        <v>150</v>
      </c>
      <c r="D85" s="90">
        <v>1</v>
      </c>
      <c r="E85" s="90">
        <v>10.53</v>
      </c>
      <c r="F85" s="90">
        <v>1.47</v>
      </c>
      <c r="G85" s="90">
        <v>2.57</v>
      </c>
      <c r="H85" s="39">
        <v>1</v>
      </c>
      <c r="I85" s="39"/>
      <c r="J85" s="39"/>
      <c r="K85" s="39"/>
      <c r="L85" s="39"/>
      <c r="M85" s="39"/>
      <c r="N85" s="39"/>
      <c r="O85" s="39"/>
      <c r="P85" s="39"/>
    </row>
    <row r="86" spans="2:16" x14ac:dyDescent="0.25">
      <c r="B86" s="8" t="s">
        <v>106</v>
      </c>
      <c r="C86" s="3" t="s">
        <v>147</v>
      </c>
      <c r="D86" s="89">
        <v>1</v>
      </c>
      <c r="E86" s="89">
        <v>1</v>
      </c>
      <c r="F86" s="89">
        <v>1</v>
      </c>
      <c r="G86" s="89">
        <v>1</v>
      </c>
      <c r="H86" s="39">
        <v>1</v>
      </c>
      <c r="I86" s="39"/>
      <c r="J86" s="39"/>
      <c r="K86" s="39"/>
      <c r="L86" s="39"/>
      <c r="M86" s="39"/>
      <c r="N86" s="39"/>
      <c r="O86" s="39"/>
      <c r="P86" s="39"/>
    </row>
    <row r="87" spans="2:16" x14ac:dyDescent="0.25">
      <c r="C87" s="3" t="s">
        <v>148</v>
      </c>
      <c r="D87" s="90">
        <v>1</v>
      </c>
      <c r="E87" s="90">
        <v>1.66</v>
      </c>
      <c r="F87" s="90">
        <v>1</v>
      </c>
      <c r="G87" s="90">
        <v>1</v>
      </c>
      <c r="H87" s="39">
        <v>1</v>
      </c>
      <c r="I87" s="39"/>
      <c r="J87" s="39"/>
      <c r="K87" s="39"/>
      <c r="L87" s="39"/>
      <c r="M87" s="39"/>
      <c r="N87" s="39"/>
      <c r="O87" s="39"/>
      <c r="P87" s="39"/>
    </row>
    <row r="88" spans="2:16" x14ac:dyDescent="0.25">
      <c r="C88" s="3" t="s">
        <v>149</v>
      </c>
      <c r="D88" s="90">
        <v>1</v>
      </c>
      <c r="E88" s="90">
        <v>2.5</v>
      </c>
      <c r="F88" s="90">
        <v>1</v>
      </c>
      <c r="G88" s="90">
        <v>1</v>
      </c>
      <c r="H88" s="39">
        <v>1</v>
      </c>
      <c r="I88" s="39"/>
      <c r="J88" s="39"/>
      <c r="K88" s="39"/>
      <c r="L88" s="39"/>
      <c r="M88" s="39"/>
      <c r="N88" s="39"/>
      <c r="O88" s="39"/>
      <c r="P88" s="39"/>
    </row>
    <row r="89" spans="2:16" x14ac:dyDescent="0.25">
      <c r="C89" s="3" t="s">
        <v>150</v>
      </c>
      <c r="D89" s="90">
        <v>1</v>
      </c>
      <c r="E89" s="90">
        <v>14.97</v>
      </c>
      <c r="F89" s="90">
        <v>1.92</v>
      </c>
      <c r="G89" s="90">
        <v>1.92</v>
      </c>
      <c r="H89" s="39">
        <v>1</v>
      </c>
      <c r="I89" s="39"/>
      <c r="J89" s="39"/>
      <c r="K89" s="39"/>
      <c r="L89" s="39"/>
      <c r="M89" s="39"/>
      <c r="N89" s="39"/>
      <c r="O89" s="39"/>
      <c r="P89" s="39"/>
    </row>
    <row r="90" spans="2:16" x14ac:dyDescent="0.25">
      <c r="B90" s="8" t="s">
        <v>108</v>
      </c>
      <c r="C90" s="3" t="s">
        <v>147</v>
      </c>
      <c r="D90" s="89">
        <v>1</v>
      </c>
      <c r="E90" s="89">
        <v>1</v>
      </c>
      <c r="F90" s="89">
        <v>1</v>
      </c>
      <c r="G90" s="89">
        <v>1</v>
      </c>
      <c r="H90" s="39">
        <v>1</v>
      </c>
      <c r="I90" s="39"/>
      <c r="J90" s="39"/>
      <c r="K90" s="39"/>
      <c r="L90" s="39"/>
      <c r="M90" s="39"/>
      <c r="N90" s="39"/>
      <c r="O90" s="39"/>
      <c r="P90" s="39"/>
    </row>
    <row r="91" spans="2:16" x14ac:dyDescent="0.25">
      <c r="C91" s="3" t="s">
        <v>148</v>
      </c>
      <c r="D91" s="90">
        <v>1</v>
      </c>
      <c r="E91" s="90">
        <v>1.48</v>
      </c>
      <c r="F91" s="90">
        <v>1</v>
      </c>
      <c r="G91" s="90">
        <v>1</v>
      </c>
      <c r="H91" s="39">
        <v>1</v>
      </c>
      <c r="I91" s="39"/>
      <c r="J91" s="39"/>
      <c r="K91" s="39"/>
      <c r="L91" s="39"/>
      <c r="M91" s="39"/>
      <c r="N91" s="39"/>
      <c r="O91" s="39"/>
      <c r="P91" s="39"/>
    </row>
    <row r="92" spans="2:16" x14ac:dyDescent="0.25">
      <c r="C92" s="3" t="s">
        <v>149</v>
      </c>
      <c r="D92" s="90">
        <v>1</v>
      </c>
      <c r="E92" s="90">
        <v>2.84</v>
      </c>
      <c r="F92" s="90">
        <v>1</v>
      </c>
      <c r="G92" s="90">
        <v>1</v>
      </c>
      <c r="H92" s="39">
        <v>1</v>
      </c>
      <c r="I92" s="39"/>
      <c r="J92" s="39"/>
      <c r="K92" s="39"/>
      <c r="L92" s="39"/>
      <c r="M92" s="39"/>
      <c r="N92" s="39"/>
      <c r="O92" s="39"/>
      <c r="P92" s="39"/>
    </row>
    <row r="93" spans="2:16" x14ac:dyDescent="0.25">
      <c r="C93" s="3" t="s">
        <v>150</v>
      </c>
      <c r="D93" s="90">
        <v>1</v>
      </c>
      <c r="E93" s="90">
        <v>14.4</v>
      </c>
      <c r="F93" s="90">
        <v>3.69</v>
      </c>
      <c r="G93" s="90">
        <v>3.69</v>
      </c>
      <c r="H93" s="39">
        <v>1</v>
      </c>
      <c r="I93" s="39"/>
      <c r="J93" s="39"/>
      <c r="K93" s="39"/>
      <c r="L93" s="39"/>
      <c r="M93" s="39"/>
      <c r="N93" s="39"/>
      <c r="O93" s="39"/>
      <c r="P93" s="39"/>
    </row>
    <row r="94" spans="2:16" x14ac:dyDescent="0.25">
      <c r="B94" s="8" t="s">
        <v>107</v>
      </c>
      <c r="C94" s="3" t="s">
        <v>147</v>
      </c>
      <c r="D94" s="89">
        <v>1</v>
      </c>
      <c r="E94" s="89">
        <v>1</v>
      </c>
      <c r="F94" s="89">
        <v>1</v>
      </c>
      <c r="G94" s="89">
        <v>1</v>
      </c>
      <c r="H94" s="39">
        <v>1</v>
      </c>
      <c r="I94" s="39"/>
      <c r="J94" s="39"/>
      <c r="K94" s="39"/>
      <c r="L94" s="39"/>
      <c r="M94" s="39"/>
      <c r="N94" s="39"/>
      <c r="O94" s="39"/>
      <c r="P94" s="39"/>
    </row>
    <row r="95" spans="2:16" x14ac:dyDescent="0.25">
      <c r="C95" s="3" t="s">
        <v>148</v>
      </c>
      <c r="D95" s="90">
        <v>1</v>
      </c>
      <c r="E95" s="90">
        <v>1.48</v>
      </c>
      <c r="F95" s="90">
        <v>1</v>
      </c>
      <c r="G95" s="90">
        <v>1</v>
      </c>
      <c r="H95" s="39">
        <v>1</v>
      </c>
      <c r="I95" s="39"/>
      <c r="J95" s="39"/>
      <c r="K95" s="39"/>
      <c r="L95" s="39"/>
      <c r="M95" s="39"/>
      <c r="N95" s="39"/>
      <c r="O95" s="39"/>
      <c r="P95" s="39"/>
    </row>
    <row r="96" spans="2:16" x14ac:dyDescent="0.25">
      <c r="C96" s="3" t="s">
        <v>149</v>
      </c>
      <c r="D96" s="90">
        <v>1</v>
      </c>
      <c r="E96" s="90">
        <v>2.84</v>
      </c>
      <c r="F96" s="90">
        <v>1</v>
      </c>
      <c r="G96" s="90">
        <v>1</v>
      </c>
      <c r="H96" s="39">
        <v>1</v>
      </c>
      <c r="I96" s="39"/>
      <c r="J96" s="39"/>
      <c r="K96" s="39"/>
      <c r="L96" s="39"/>
      <c r="M96" s="39"/>
      <c r="N96" s="39"/>
      <c r="O96" s="39"/>
      <c r="P96" s="39"/>
    </row>
    <row r="97" spans="1:16" x14ac:dyDescent="0.25">
      <c r="C97" s="3" t="s">
        <v>150</v>
      </c>
      <c r="D97" s="90">
        <v>1</v>
      </c>
      <c r="E97" s="90">
        <v>14.4</v>
      </c>
      <c r="F97" s="90">
        <v>3.69</v>
      </c>
      <c r="G97" s="90">
        <v>3.69</v>
      </c>
      <c r="H97" s="39">
        <v>1</v>
      </c>
      <c r="I97" s="39"/>
      <c r="J97" s="39"/>
      <c r="K97" s="39"/>
      <c r="L97" s="39"/>
      <c r="M97" s="39"/>
      <c r="N97" s="39"/>
      <c r="O97" s="39"/>
      <c r="P97" s="39"/>
    </row>
    <row r="98" spans="1:16" x14ac:dyDescent="0.25">
      <c r="B98" s="8" t="s">
        <v>110</v>
      </c>
      <c r="C98" s="3" t="s">
        <v>147</v>
      </c>
      <c r="D98" s="89">
        <v>1</v>
      </c>
      <c r="E98" s="89">
        <v>1</v>
      </c>
      <c r="F98" s="89">
        <v>1</v>
      </c>
      <c r="G98" s="89">
        <v>1</v>
      </c>
      <c r="H98" s="39">
        <v>1</v>
      </c>
      <c r="I98" s="39"/>
      <c r="J98" s="39"/>
      <c r="K98" s="39"/>
      <c r="L98" s="39"/>
      <c r="M98" s="39"/>
      <c r="N98" s="39"/>
      <c r="O98" s="39"/>
      <c r="P98" s="39"/>
    </row>
    <row r="99" spans="1:16" x14ac:dyDescent="0.25">
      <c r="C99" s="3" t="s">
        <v>148</v>
      </c>
      <c r="D99" s="90">
        <v>1</v>
      </c>
      <c r="E99" s="90">
        <v>1.48</v>
      </c>
      <c r="F99" s="90">
        <v>1</v>
      </c>
      <c r="G99" s="90">
        <v>1</v>
      </c>
      <c r="H99" s="39">
        <v>1</v>
      </c>
      <c r="I99" s="39"/>
      <c r="J99" s="39"/>
      <c r="K99" s="39"/>
      <c r="L99" s="39"/>
      <c r="M99" s="39"/>
      <c r="N99" s="39"/>
      <c r="O99" s="39"/>
      <c r="P99" s="39"/>
    </row>
    <row r="100" spans="1:16" x14ac:dyDescent="0.25">
      <c r="C100" s="3" t="s">
        <v>149</v>
      </c>
      <c r="D100" s="90">
        <v>1</v>
      </c>
      <c r="E100" s="90">
        <v>2.84</v>
      </c>
      <c r="F100" s="90">
        <v>1</v>
      </c>
      <c r="G100" s="90">
        <v>1</v>
      </c>
      <c r="H100" s="39">
        <v>1</v>
      </c>
      <c r="I100" s="39"/>
      <c r="J100" s="39"/>
      <c r="K100" s="39"/>
      <c r="L100" s="39"/>
      <c r="M100" s="39"/>
      <c r="N100" s="39"/>
      <c r="O100" s="39"/>
      <c r="P100" s="39"/>
    </row>
    <row r="101" spans="1:16" x14ac:dyDescent="0.25">
      <c r="C101" s="3" t="s">
        <v>150</v>
      </c>
      <c r="D101" s="90">
        <v>1</v>
      </c>
      <c r="E101" s="90">
        <v>14.4</v>
      </c>
      <c r="F101" s="90">
        <v>3.69</v>
      </c>
      <c r="G101" s="90">
        <v>3.69</v>
      </c>
      <c r="H101" s="39">
        <v>1</v>
      </c>
      <c r="I101" s="39"/>
      <c r="J101" s="39"/>
      <c r="K101" s="39"/>
      <c r="L101" s="39"/>
      <c r="M101" s="39"/>
      <c r="N101" s="39"/>
      <c r="O101" s="39"/>
      <c r="P101" s="39"/>
    </row>
    <row r="103" spans="1:16" s="68" customFormat="1" ht="13" x14ac:dyDescent="0.3">
      <c r="A103" s="67" t="s">
        <v>348</v>
      </c>
    </row>
    <row r="104" spans="1:16" ht="26.4" customHeight="1" x14ac:dyDescent="0.3">
      <c r="A104" s="39" t="s">
        <v>105</v>
      </c>
      <c r="B104" s="82" t="s">
        <v>150</v>
      </c>
      <c r="C104" s="69" t="s">
        <v>347</v>
      </c>
      <c r="D104" s="70" t="s">
        <v>127</v>
      </c>
      <c r="E104" s="70" t="s">
        <v>114</v>
      </c>
      <c r="F104" s="70" t="s">
        <v>115</v>
      </c>
      <c r="G104" s="70" t="s">
        <v>116</v>
      </c>
      <c r="H104" s="81" t="s">
        <v>117</v>
      </c>
      <c r="I104" s="79"/>
      <c r="J104" s="79"/>
      <c r="K104" s="79"/>
      <c r="L104" s="79"/>
      <c r="M104" s="79"/>
      <c r="N104" s="79"/>
      <c r="O104" s="79"/>
      <c r="P104" s="79"/>
    </row>
    <row r="105" spans="1:16" ht="13" x14ac:dyDescent="0.3">
      <c r="A105" s="4"/>
      <c r="C105" s="3" t="s">
        <v>147</v>
      </c>
      <c r="D105" s="89">
        <v>1</v>
      </c>
      <c r="E105" s="89">
        <v>1</v>
      </c>
      <c r="F105" s="89">
        <v>1</v>
      </c>
      <c r="G105" s="89">
        <v>1</v>
      </c>
      <c r="H105" s="39">
        <v>1</v>
      </c>
      <c r="I105" s="39"/>
      <c r="J105" s="39"/>
      <c r="K105" s="39"/>
      <c r="L105" s="39"/>
      <c r="M105" s="39"/>
      <c r="N105" s="39"/>
      <c r="O105" s="39"/>
      <c r="P105" s="39"/>
    </row>
    <row r="106" spans="1:16" x14ac:dyDescent="0.25">
      <c r="C106" s="3" t="s">
        <v>148</v>
      </c>
      <c r="D106" s="90">
        <v>1.26</v>
      </c>
      <c r="E106" s="90">
        <v>1.26</v>
      </c>
      <c r="F106" s="90">
        <v>1</v>
      </c>
      <c r="G106" s="90">
        <v>1</v>
      </c>
      <c r="H106" s="39">
        <v>1</v>
      </c>
      <c r="I106" s="39"/>
      <c r="J106" s="39"/>
      <c r="K106" s="39"/>
      <c r="L106" s="39"/>
      <c r="M106" s="39"/>
      <c r="N106" s="39"/>
      <c r="O106" s="39"/>
      <c r="P106" s="39"/>
    </row>
    <row r="107" spans="1:16" x14ac:dyDescent="0.25">
      <c r="C107" s="3" t="s">
        <v>149</v>
      </c>
      <c r="D107" s="90">
        <v>1.68</v>
      </c>
      <c r="E107" s="90">
        <v>1.68</v>
      </c>
      <c r="F107" s="90">
        <v>1</v>
      </c>
      <c r="G107" s="90">
        <v>1</v>
      </c>
      <c r="H107" s="39">
        <v>1</v>
      </c>
      <c r="I107" s="39"/>
      <c r="J107" s="39"/>
      <c r="K107" s="39"/>
      <c r="L107" s="39"/>
      <c r="M107" s="39"/>
      <c r="N107" s="39"/>
      <c r="O107" s="39"/>
      <c r="P107" s="39"/>
    </row>
    <row r="108" spans="1:16" x14ac:dyDescent="0.25">
      <c r="C108" s="3" t="s">
        <v>150</v>
      </c>
      <c r="D108" s="90">
        <v>2.65</v>
      </c>
      <c r="E108" s="90">
        <v>2.65</v>
      </c>
      <c r="F108" s="90">
        <v>2.0699999999999998</v>
      </c>
      <c r="G108" s="90">
        <v>2.0699999999999998</v>
      </c>
      <c r="H108" s="39">
        <v>1</v>
      </c>
      <c r="I108" s="39"/>
      <c r="J108" s="39"/>
      <c r="K108" s="39"/>
      <c r="L108" s="39"/>
      <c r="M108" s="39"/>
      <c r="N108" s="39"/>
      <c r="O108" s="39"/>
      <c r="P108" s="39"/>
    </row>
    <row r="110" spans="1:16" s="93" customFormat="1" ht="13" x14ac:dyDescent="0.3">
      <c r="A110" s="92" t="s">
        <v>266</v>
      </c>
      <c r="H110" s="92"/>
    </row>
    <row r="111" spans="1:16" ht="13" x14ac:dyDescent="0.3">
      <c r="A111" s="67" t="s">
        <v>335</v>
      </c>
      <c r="B111" s="68"/>
      <c r="C111" s="68"/>
      <c r="D111" s="68"/>
      <c r="E111" s="68"/>
      <c r="F111" s="68"/>
      <c r="G111" s="68"/>
      <c r="H111" s="68"/>
    </row>
    <row r="112" spans="1:16" ht="13" x14ac:dyDescent="0.3">
      <c r="A112" s="39" t="s">
        <v>256</v>
      </c>
      <c r="B112" s="1" t="s">
        <v>336</v>
      </c>
      <c r="C112" s="1" t="s">
        <v>337</v>
      </c>
      <c r="D112" s="70" t="s">
        <v>127</v>
      </c>
      <c r="E112" s="70" t="s">
        <v>114</v>
      </c>
      <c r="F112" s="70" t="s">
        <v>115</v>
      </c>
      <c r="G112" s="70" t="s">
        <v>116</v>
      </c>
      <c r="H112" s="70" t="s">
        <v>117</v>
      </c>
    </row>
    <row r="113" spans="1:8" ht="13" x14ac:dyDescent="0.3">
      <c r="A113" s="4"/>
      <c r="B113" s="8" t="s">
        <v>105</v>
      </c>
      <c r="C113" s="3" t="s">
        <v>9</v>
      </c>
      <c r="D113" s="91">
        <f t="shared" ref="D113:H122" si="0">IF(D3=1,1,D3*0.9)</f>
        <v>1</v>
      </c>
      <c r="E113" s="91">
        <f t="shared" si="0"/>
        <v>1</v>
      </c>
      <c r="F113" s="91">
        <f t="shared" si="0"/>
        <v>1</v>
      </c>
      <c r="G113" s="91">
        <f t="shared" si="0"/>
        <v>1</v>
      </c>
      <c r="H113" s="91">
        <f t="shared" si="0"/>
        <v>1</v>
      </c>
    </row>
    <row r="114" spans="1:8" x14ac:dyDescent="0.25">
      <c r="C114" s="3" t="s">
        <v>338</v>
      </c>
      <c r="D114" s="91">
        <f t="shared" si="0"/>
        <v>1</v>
      </c>
      <c r="E114" s="91">
        <f t="shared" si="0"/>
        <v>1.5029999999999999</v>
      </c>
      <c r="F114" s="91">
        <f t="shared" si="0"/>
        <v>1.5029999999999999</v>
      </c>
      <c r="G114" s="91">
        <f t="shared" si="0"/>
        <v>1.5029999999999999</v>
      </c>
      <c r="H114" s="91">
        <f t="shared" si="0"/>
        <v>1.5029999999999999</v>
      </c>
    </row>
    <row r="115" spans="1:8" x14ac:dyDescent="0.25">
      <c r="C115" s="3" t="s">
        <v>339</v>
      </c>
      <c r="D115" s="91">
        <f t="shared" si="0"/>
        <v>1</v>
      </c>
      <c r="E115" s="91">
        <f t="shared" si="0"/>
        <v>2.1419999999999999</v>
      </c>
      <c r="F115" s="91">
        <f t="shared" si="0"/>
        <v>2.1419999999999999</v>
      </c>
      <c r="G115" s="91">
        <f t="shared" si="0"/>
        <v>2.1419999999999999</v>
      </c>
      <c r="H115" s="91">
        <f t="shared" si="0"/>
        <v>2.1419999999999999</v>
      </c>
    </row>
    <row r="116" spans="1:8" x14ac:dyDescent="0.25">
      <c r="C116" s="3" t="s">
        <v>340</v>
      </c>
      <c r="D116" s="91">
        <f t="shared" si="0"/>
        <v>1</v>
      </c>
      <c r="E116" s="91">
        <f t="shared" si="0"/>
        <v>5.6970000000000001</v>
      </c>
      <c r="F116" s="91">
        <f t="shared" si="0"/>
        <v>5.6970000000000001</v>
      </c>
      <c r="G116" s="91">
        <f t="shared" si="0"/>
        <v>5.6970000000000001</v>
      </c>
      <c r="H116" s="91">
        <f t="shared" si="0"/>
        <v>5.6970000000000001</v>
      </c>
    </row>
    <row r="117" spans="1:8" x14ac:dyDescent="0.25">
      <c r="B117" s="8" t="s">
        <v>106</v>
      </c>
      <c r="C117" s="3" t="s">
        <v>9</v>
      </c>
      <c r="D117" s="91">
        <f t="shared" si="0"/>
        <v>1</v>
      </c>
      <c r="E117" s="91">
        <f t="shared" si="0"/>
        <v>1</v>
      </c>
      <c r="F117" s="91">
        <f t="shared" si="0"/>
        <v>1</v>
      </c>
      <c r="G117" s="91">
        <f t="shared" si="0"/>
        <v>1</v>
      </c>
      <c r="H117" s="91">
        <f t="shared" si="0"/>
        <v>1</v>
      </c>
    </row>
    <row r="118" spans="1:8" x14ac:dyDescent="0.25">
      <c r="C118" s="3" t="s">
        <v>338</v>
      </c>
      <c r="D118" s="91">
        <f t="shared" si="0"/>
        <v>1</v>
      </c>
      <c r="E118" s="91">
        <f t="shared" si="0"/>
        <v>1.395</v>
      </c>
      <c r="F118" s="91">
        <f t="shared" si="0"/>
        <v>1.395</v>
      </c>
      <c r="G118" s="91">
        <f t="shared" si="0"/>
        <v>1.395</v>
      </c>
      <c r="H118" s="91">
        <f t="shared" si="0"/>
        <v>1.395</v>
      </c>
    </row>
    <row r="119" spans="1:8" x14ac:dyDescent="0.25">
      <c r="C119" s="3" t="s">
        <v>339</v>
      </c>
      <c r="D119" s="91">
        <f t="shared" si="0"/>
        <v>1</v>
      </c>
      <c r="E119" s="91">
        <f t="shared" si="0"/>
        <v>1.9620000000000002</v>
      </c>
      <c r="F119" s="91">
        <f t="shared" si="0"/>
        <v>1.9620000000000002</v>
      </c>
      <c r="G119" s="91">
        <f t="shared" si="0"/>
        <v>1.9620000000000002</v>
      </c>
      <c r="H119" s="91">
        <f t="shared" si="0"/>
        <v>1.9620000000000002</v>
      </c>
    </row>
    <row r="120" spans="1:8" x14ac:dyDescent="0.25">
      <c r="C120" s="3" t="s">
        <v>340</v>
      </c>
      <c r="D120" s="91">
        <f t="shared" si="0"/>
        <v>1</v>
      </c>
      <c r="E120" s="91">
        <f t="shared" si="0"/>
        <v>5.7509999999999994</v>
      </c>
      <c r="F120" s="91">
        <f t="shared" si="0"/>
        <v>5.7509999999999994</v>
      </c>
      <c r="G120" s="91">
        <f t="shared" si="0"/>
        <v>5.7509999999999994</v>
      </c>
      <c r="H120" s="91">
        <f t="shared" si="0"/>
        <v>5.7509999999999994</v>
      </c>
    </row>
    <row r="121" spans="1:8" x14ac:dyDescent="0.25">
      <c r="B121" s="8" t="s">
        <v>108</v>
      </c>
      <c r="C121" s="3" t="s">
        <v>9</v>
      </c>
      <c r="D121" s="91">
        <f t="shared" si="0"/>
        <v>1</v>
      </c>
      <c r="E121" s="91">
        <f t="shared" si="0"/>
        <v>1</v>
      </c>
      <c r="F121" s="91">
        <f t="shared" si="0"/>
        <v>1</v>
      </c>
      <c r="G121" s="91">
        <f t="shared" si="0"/>
        <v>1</v>
      </c>
      <c r="H121" s="91">
        <f t="shared" si="0"/>
        <v>1</v>
      </c>
    </row>
    <row r="122" spans="1:8" x14ac:dyDescent="0.25">
      <c r="C122" s="3" t="s">
        <v>338</v>
      </c>
      <c r="D122" s="91">
        <f t="shared" si="0"/>
        <v>1</v>
      </c>
      <c r="E122" s="91">
        <f t="shared" si="0"/>
        <v>1</v>
      </c>
      <c r="F122" s="91">
        <f t="shared" si="0"/>
        <v>1</v>
      </c>
      <c r="G122" s="91">
        <f t="shared" si="0"/>
        <v>1</v>
      </c>
      <c r="H122" s="91">
        <f t="shared" si="0"/>
        <v>1</v>
      </c>
    </row>
    <row r="123" spans="1:8" x14ac:dyDescent="0.25">
      <c r="C123" s="3" t="s">
        <v>339</v>
      </c>
      <c r="D123" s="91">
        <f t="shared" ref="D123:H132" si="1">IF(D13=1,1,D13*0.9)</f>
        <v>1</v>
      </c>
      <c r="E123" s="91">
        <f t="shared" si="1"/>
        <v>2.5110000000000001</v>
      </c>
      <c r="F123" s="91">
        <f t="shared" si="1"/>
        <v>2.5110000000000001</v>
      </c>
      <c r="G123" s="91">
        <f t="shared" si="1"/>
        <v>2.5110000000000001</v>
      </c>
      <c r="H123" s="91">
        <f t="shared" si="1"/>
        <v>2.5110000000000001</v>
      </c>
    </row>
    <row r="124" spans="1:8" x14ac:dyDescent="0.25">
      <c r="C124" s="3" t="s">
        <v>340</v>
      </c>
      <c r="D124" s="91">
        <f t="shared" si="1"/>
        <v>1</v>
      </c>
      <c r="E124" s="91">
        <f t="shared" si="1"/>
        <v>5.4089999999999998</v>
      </c>
      <c r="F124" s="91">
        <f t="shared" si="1"/>
        <v>5.4089999999999998</v>
      </c>
      <c r="G124" s="91">
        <f t="shared" si="1"/>
        <v>5.4089999999999998</v>
      </c>
      <c r="H124" s="91">
        <f t="shared" si="1"/>
        <v>5.4089999999999998</v>
      </c>
    </row>
    <row r="125" spans="1:8" x14ac:dyDescent="0.25">
      <c r="B125" s="8" t="s">
        <v>109</v>
      </c>
      <c r="C125" s="3" t="s">
        <v>9</v>
      </c>
      <c r="D125" s="91">
        <f t="shared" si="1"/>
        <v>1</v>
      </c>
      <c r="E125" s="91">
        <f t="shared" si="1"/>
        <v>1</v>
      </c>
      <c r="F125" s="91">
        <f t="shared" si="1"/>
        <v>1</v>
      </c>
      <c r="G125" s="91">
        <f t="shared" si="1"/>
        <v>1</v>
      </c>
      <c r="H125" s="91">
        <f t="shared" si="1"/>
        <v>1</v>
      </c>
    </row>
    <row r="126" spans="1:8" x14ac:dyDescent="0.25">
      <c r="C126" s="3" t="s">
        <v>338</v>
      </c>
      <c r="D126" s="91">
        <f t="shared" si="1"/>
        <v>1</v>
      </c>
      <c r="E126" s="91">
        <f t="shared" si="1"/>
        <v>1</v>
      </c>
      <c r="F126" s="91">
        <f t="shared" si="1"/>
        <v>1</v>
      </c>
      <c r="G126" s="91">
        <f t="shared" si="1"/>
        <v>1</v>
      </c>
      <c r="H126" s="91">
        <f t="shared" si="1"/>
        <v>1</v>
      </c>
    </row>
    <row r="127" spans="1:8" x14ac:dyDescent="0.25">
      <c r="C127" s="3" t="s">
        <v>339</v>
      </c>
      <c r="D127" s="91">
        <f t="shared" si="1"/>
        <v>1</v>
      </c>
      <c r="E127" s="91">
        <f t="shared" si="1"/>
        <v>1</v>
      </c>
      <c r="F127" s="91">
        <f t="shared" si="1"/>
        <v>1</v>
      </c>
      <c r="G127" s="91">
        <f t="shared" si="1"/>
        <v>1</v>
      </c>
      <c r="H127" s="91">
        <f t="shared" si="1"/>
        <v>1</v>
      </c>
    </row>
    <row r="128" spans="1:8" x14ac:dyDescent="0.25">
      <c r="C128" s="3" t="s">
        <v>340</v>
      </c>
      <c r="D128" s="91">
        <f t="shared" si="1"/>
        <v>1</v>
      </c>
      <c r="E128" s="91">
        <f t="shared" si="1"/>
        <v>1</v>
      </c>
      <c r="F128" s="91">
        <f t="shared" si="1"/>
        <v>1</v>
      </c>
      <c r="G128" s="91">
        <f t="shared" si="1"/>
        <v>1</v>
      </c>
      <c r="H128" s="91">
        <f t="shared" si="1"/>
        <v>1</v>
      </c>
    </row>
    <row r="129" spans="1:8" x14ac:dyDescent="0.25">
      <c r="B129" s="8" t="s">
        <v>107</v>
      </c>
      <c r="C129" s="3" t="s">
        <v>9</v>
      </c>
      <c r="D129" s="91">
        <f t="shared" si="1"/>
        <v>1</v>
      </c>
      <c r="E129" s="91">
        <f t="shared" si="1"/>
        <v>1</v>
      </c>
      <c r="F129" s="91">
        <f t="shared" si="1"/>
        <v>1</v>
      </c>
      <c r="G129" s="91">
        <f t="shared" si="1"/>
        <v>1</v>
      </c>
      <c r="H129" s="91">
        <f t="shared" si="1"/>
        <v>1</v>
      </c>
    </row>
    <row r="130" spans="1:8" x14ac:dyDescent="0.25">
      <c r="C130" s="3" t="s">
        <v>338</v>
      </c>
      <c r="D130" s="91">
        <f t="shared" si="1"/>
        <v>1</v>
      </c>
      <c r="E130" s="91">
        <f t="shared" si="1"/>
        <v>1</v>
      </c>
      <c r="F130" s="91">
        <f t="shared" si="1"/>
        <v>1</v>
      </c>
      <c r="G130" s="91">
        <f t="shared" si="1"/>
        <v>1</v>
      </c>
      <c r="H130" s="91">
        <f t="shared" si="1"/>
        <v>1</v>
      </c>
    </row>
    <row r="131" spans="1:8" x14ac:dyDescent="0.25">
      <c r="C131" s="3" t="s">
        <v>339</v>
      </c>
      <c r="D131" s="91">
        <f t="shared" si="1"/>
        <v>1</v>
      </c>
      <c r="E131" s="91">
        <f t="shared" si="1"/>
        <v>1.6740000000000002</v>
      </c>
      <c r="F131" s="91">
        <f t="shared" si="1"/>
        <v>1.6740000000000002</v>
      </c>
      <c r="G131" s="91">
        <f t="shared" si="1"/>
        <v>1.6740000000000002</v>
      </c>
      <c r="H131" s="91">
        <f t="shared" si="1"/>
        <v>1.6740000000000002</v>
      </c>
    </row>
    <row r="132" spans="1:8" x14ac:dyDescent="0.25">
      <c r="C132" s="3" t="s">
        <v>340</v>
      </c>
      <c r="D132" s="91">
        <f t="shared" si="1"/>
        <v>1</v>
      </c>
      <c r="E132" s="91">
        <f t="shared" si="1"/>
        <v>2.7090000000000001</v>
      </c>
      <c r="F132" s="91">
        <f t="shared" si="1"/>
        <v>2.7090000000000001</v>
      </c>
      <c r="G132" s="91">
        <f t="shared" si="1"/>
        <v>2.7090000000000001</v>
      </c>
      <c r="H132" s="91">
        <f t="shared" si="1"/>
        <v>2.7090000000000001</v>
      </c>
    </row>
    <row r="133" spans="1:8" x14ac:dyDescent="0.25">
      <c r="B133" s="8" t="s">
        <v>113</v>
      </c>
      <c r="C133" s="3" t="s">
        <v>9</v>
      </c>
      <c r="D133" s="91">
        <f t="shared" ref="D133:H136" si="2">IF(D23=1,1,D23*0.9)</f>
        <v>1</v>
      </c>
      <c r="E133" s="91">
        <f t="shared" si="2"/>
        <v>1</v>
      </c>
      <c r="F133" s="91">
        <f t="shared" si="2"/>
        <v>1</v>
      </c>
      <c r="G133" s="91">
        <f t="shared" si="2"/>
        <v>1</v>
      </c>
      <c r="H133" s="91">
        <f t="shared" si="2"/>
        <v>1</v>
      </c>
    </row>
    <row r="134" spans="1:8" x14ac:dyDescent="0.25">
      <c r="C134" s="3" t="s">
        <v>338</v>
      </c>
      <c r="D134" s="91">
        <f t="shared" si="2"/>
        <v>1</v>
      </c>
      <c r="E134" s="91">
        <f t="shared" si="2"/>
        <v>1</v>
      </c>
      <c r="F134" s="91">
        <f t="shared" si="2"/>
        <v>1</v>
      </c>
      <c r="G134" s="91">
        <f t="shared" si="2"/>
        <v>1</v>
      </c>
      <c r="H134" s="91">
        <f t="shared" si="2"/>
        <v>1</v>
      </c>
    </row>
    <row r="135" spans="1:8" x14ac:dyDescent="0.25">
      <c r="C135" s="3" t="s">
        <v>339</v>
      </c>
      <c r="D135" s="91">
        <f t="shared" si="2"/>
        <v>1</v>
      </c>
      <c r="E135" s="91">
        <f t="shared" si="2"/>
        <v>1.6740000000000002</v>
      </c>
      <c r="F135" s="91">
        <f t="shared" si="2"/>
        <v>1.6740000000000002</v>
      </c>
      <c r="G135" s="91">
        <f t="shared" si="2"/>
        <v>1.6740000000000002</v>
      </c>
      <c r="H135" s="91">
        <f t="shared" si="2"/>
        <v>1.6740000000000002</v>
      </c>
    </row>
    <row r="136" spans="1:8" x14ac:dyDescent="0.25">
      <c r="C136" s="3" t="s">
        <v>340</v>
      </c>
      <c r="D136" s="91">
        <f t="shared" si="2"/>
        <v>1</v>
      </c>
      <c r="E136" s="91">
        <f t="shared" si="2"/>
        <v>2.7090000000000001</v>
      </c>
      <c r="F136" s="91">
        <f t="shared" si="2"/>
        <v>2.7090000000000001</v>
      </c>
      <c r="G136" s="91">
        <f t="shared" si="2"/>
        <v>2.7090000000000001</v>
      </c>
      <c r="H136" s="91">
        <f t="shared" si="2"/>
        <v>2.7090000000000001</v>
      </c>
    </row>
    <row r="138" spans="1:8" ht="13" x14ac:dyDescent="0.3">
      <c r="A138" s="67" t="s">
        <v>349</v>
      </c>
      <c r="B138" s="68"/>
      <c r="C138" s="68"/>
      <c r="D138" s="68"/>
      <c r="E138" s="68"/>
      <c r="F138" s="68"/>
      <c r="G138" s="68"/>
      <c r="H138" s="68"/>
    </row>
    <row r="139" spans="1:8" ht="13" x14ac:dyDescent="0.3">
      <c r="A139" s="39" t="s">
        <v>283</v>
      </c>
      <c r="B139" s="4" t="s">
        <v>336</v>
      </c>
      <c r="C139" s="4" t="s">
        <v>341</v>
      </c>
      <c r="D139" s="70" t="s">
        <v>127</v>
      </c>
      <c r="E139" s="70" t="s">
        <v>114</v>
      </c>
      <c r="F139" s="70" t="s">
        <v>115</v>
      </c>
      <c r="G139" s="70" t="s">
        <v>116</v>
      </c>
      <c r="H139" s="70" t="s">
        <v>117</v>
      </c>
    </row>
    <row r="140" spans="1:8" ht="13" x14ac:dyDescent="0.3">
      <c r="A140" s="4"/>
      <c r="B140" s="8" t="s">
        <v>105</v>
      </c>
      <c r="C140" s="3" t="s">
        <v>9</v>
      </c>
      <c r="D140" s="91">
        <f t="shared" ref="D140:H149" si="3">IF(D30=1,1,D30*0.9)</f>
        <v>1</v>
      </c>
      <c r="E140" s="91">
        <f t="shared" si="3"/>
        <v>1</v>
      </c>
      <c r="F140" s="91">
        <f t="shared" si="3"/>
        <v>1</v>
      </c>
      <c r="G140" s="91">
        <f t="shared" si="3"/>
        <v>1</v>
      </c>
      <c r="H140" s="91">
        <f t="shared" si="3"/>
        <v>1</v>
      </c>
    </row>
    <row r="141" spans="1:8" x14ac:dyDescent="0.25">
      <c r="C141" s="3" t="s">
        <v>338</v>
      </c>
      <c r="D141" s="91">
        <f t="shared" si="3"/>
        <v>1</v>
      </c>
      <c r="E141" s="91">
        <f t="shared" si="3"/>
        <v>1.4400000000000002</v>
      </c>
      <c r="F141" s="91">
        <f t="shared" si="3"/>
        <v>1.4400000000000002</v>
      </c>
      <c r="G141" s="91">
        <f t="shared" si="3"/>
        <v>1.4400000000000002</v>
      </c>
      <c r="H141" s="91">
        <f t="shared" si="3"/>
        <v>1.4400000000000002</v>
      </c>
    </row>
    <row r="142" spans="1:8" x14ac:dyDescent="0.25">
      <c r="C142" s="3" t="s">
        <v>238</v>
      </c>
      <c r="D142" s="91">
        <f t="shared" si="3"/>
        <v>1</v>
      </c>
      <c r="E142" s="91">
        <f t="shared" si="3"/>
        <v>3.0690000000000004</v>
      </c>
      <c r="F142" s="91">
        <f t="shared" si="3"/>
        <v>3.0690000000000004</v>
      </c>
      <c r="G142" s="91">
        <f t="shared" si="3"/>
        <v>3.0690000000000004</v>
      </c>
      <c r="H142" s="91">
        <f t="shared" si="3"/>
        <v>3.0690000000000004</v>
      </c>
    </row>
    <row r="143" spans="1:8" x14ac:dyDescent="0.25">
      <c r="C143" s="3" t="s">
        <v>237</v>
      </c>
      <c r="D143" s="91">
        <f t="shared" si="3"/>
        <v>1</v>
      </c>
      <c r="E143" s="91">
        <f t="shared" si="3"/>
        <v>11.097</v>
      </c>
      <c r="F143" s="91">
        <f t="shared" si="3"/>
        <v>11.097</v>
      </c>
      <c r="G143" s="91">
        <f t="shared" si="3"/>
        <v>11.097</v>
      </c>
      <c r="H143" s="91">
        <f t="shared" si="3"/>
        <v>11.097</v>
      </c>
    </row>
    <row r="144" spans="1:8" x14ac:dyDescent="0.25">
      <c r="B144" s="8" t="s">
        <v>106</v>
      </c>
      <c r="C144" s="3" t="s">
        <v>9</v>
      </c>
      <c r="D144" s="91">
        <f t="shared" si="3"/>
        <v>1</v>
      </c>
      <c r="E144" s="91">
        <f t="shared" si="3"/>
        <v>1</v>
      </c>
      <c r="F144" s="91">
        <f t="shared" si="3"/>
        <v>1</v>
      </c>
      <c r="G144" s="91">
        <f t="shared" si="3"/>
        <v>1</v>
      </c>
      <c r="H144" s="91">
        <f t="shared" si="3"/>
        <v>1</v>
      </c>
    </row>
    <row r="145" spans="2:8" x14ac:dyDescent="0.25">
      <c r="C145" s="3" t="s">
        <v>338</v>
      </c>
      <c r="D145" s="91">
        <f t="shared" si="3"/>
        <v>1</v>
      </c>
      <c r="E145" s="91">
        <f t="shared" si="3"/>
        <v>1.728</v>
      </c>
      <c r="F145" s="91">
        <f t="shared" si="3"/>
        <v>1.728</v>
      </c>
      <c r="G145" s="91">
        <f t="shared" si="3"/>
        <v>1.728</v>
      </c>
      <c r="H145" s="91">
        <f t="shared" si="3"/>
        <v>1.728</v>
      </c>
    </row>
    <row r="146" spans="2:8" x14ac:dyDescent="0.25">
      <c r="C146" s="3" t="s">
        <v>238</v>
      </c>
      <c r="D146" s="91">
        <f t="shared" si="3"/>
        <v>1</v>
      </c>
      <c r="E146" s="91">
        <f t="shared" si="3"/>
        <v>4.194</v>
      </c>
      <c r="F146" s="91">
        <f t="shared" si="3"/>
        <v>4.194</v>
      </c>
      <c r="G146" s="91">
        <f t="shared" si="3"/>
        <v>4.194</v>
      </c>
      <c r="H146" s="91">
        <f t="shared" si="3"/>
        <v>4.194</v>
      </c>
    </row>
    <row r="147" spans="2:8" x14ac:dyDescent="0.25">
      <c r="C147" s="3" t="s">
        <v>237</v>
      </c>
      <c r="D147" s="91">
        <f t="shared" si="3"/>
        <v>1</v>
      </c>
      <c r="E147" s="91">
        <f t="shared" si="3"/>
        <v>8.7119999999999997</v>
      </c>
      <c r="F147" s="91">
        <f t="shared" si="3"/>
        <v>8.7119999999999997</v>
      </c>
      <c r="G147" s="91">
        <f t="shared" si="3"/>
        <v>8.7119999999999997</v>
      </c>
      <c r="H147" s="91">
        <f t="shared" si="3"/>
        <v>8.7119999999999997</v>
      </c>
    </row>
    <row r="148" spans="2:8" x14ac:dyDescent="0.25">
      <c r="B148" s="8" t="s">
        <v>108</v>
      </c>
      <c r="C148" s="3" t="s">
        <v>9</v>
      </c>
      <c r="D148" s="91">
        <f t="shared" si="3"/>
        <v>1</v>
      </c>
      <c r="E148" s="91">
        <f t="shared" si="3"/>
        <v>1</v>
      </c>
      <c r="F148" s="91">
        <f t="shared" si="3"/>
        <v>1</v>
      </c>
      <c r="G148" s="91">
        <f t="shared" si="3"/>
        <v>1</v>
      </c>
      <c r="H148" s="91">
        <f t="shared" si="3"/>
        <v>1</v>
      </c>
    </row>
    <row r="149" spans="2:8" x14ac:dyDescent="0.25">
      <c r="C149" s="3" t="s">
        <v>338</v>
      </c>
      <c r="D149" s="91">
        <f t="shared" si="3"/>
        <v>1</v>
      </c>
      <c r="E149" s="91">
        <f t="shared" si="3"/>
        <v>1</v>
      </c>
      <c r="F149" s="91">
        <f t="shared" si="3"/>
        <v>1</v>
      </c>
      <c r="G149" s="91">
        <f t="shared" si="3"/>
        <v>1</v>
      </c>
      <c r="H149" s="91">
        <f t="shared" si="3"/>
        <v>1</v>
      </c>
    </row>
    <row r="150" spans="2:8" x14ac:dyDescent="0.25">
      <c r="C150" s="3" t="s">
        <v>238</v>
      </c>
      <c r="D150" s="91">
        <f t="shared" ref="D150:H159" si="4">IF(D40=1,1,D40*0.9)</f>
        <v>1</v>
      </c>
      <c r="E150" s="91">
        <f t="shared" si="4"/>
        <v>2.3220000000000001</v>
      </c>
      <c r="F150" s="91">
        <f t="shared" si="4"/>
        <v>2.3220000000000001</v>
      </c>
      <c r="G150" s="91">
        <f t="shared" si="4"/>
        <v>2.3220000000000001</v>
      </c>
      <c r="H150" s="91">
        <f t="shared" si="4"/>
        <v>2.3220000000000001</v>
      </c>
    </row>
    <row r="151" spans="2:8" x14ac:dyDescent="0.25">
      <c r="C151" s="3" t="s">
        <v>237</v>
      </c>
      <c r="D151" s="91">
        <f t="shared" si="4"/>
        <v>1</v>
      </c>
      <c r="E151" s="91">
        <f t="shared" si="4"/>
        <v>8.6670000000000016</v>
      </c>
      <c r="F151" s="91">
        <f t="shared" si="4"/>
        <v>8.6670000000000016</v>
      </c>
      <c r="G151" s="91">
        <f t="shared" si="4"/>
        <v>8.6670000000000016</v>
      </c>
      <c r="H151" s="91">
        <f t="shared" si="4"/>
        <v>8.6670000000000016</v>
      </c>
    </row>
    <row r="152" spans="2:8" x14ac:dyDescent="0.25">
      <c r="B152" s="8" t="s">
        <v>109</v>
      </c>
      <c r="C152" s="3" t="s">
        <v>9</v>
      </c>
      <c r="D152" s="91">
        <f t="shared" si="4"/>
        <v>1</v>
      </c>
      <c r="E152" s="91">
        <f t="shared" si="4"/>
        <v>1</v>
      </c>
      <c r="F152" s="91">
        <f t="shared" si="4"/>
        <v>1</v>
      </c>
      <c r="G152" s="91">
        <f t="shared" si="4"/>
        <v>1</v>
      </c>
      <c r="H152" s="91">
        <f t="shared" si="4"/>
        <v>1</v>
      </c>
    </row>
    <row r="153" spans="2:8" x14ac:dyDescent="0.25">
      <c r="C153" s="3" t="s">
        <v>338</v>
      </c>
      <c r="D153" s="91">
        <f t="shared" si="4"/>
        <v>1</v>
      </c>
      <c r="E153" s="91">
        <f t="shared" si="4"/>
        <v>1</v>
      </c>
      <c r="F153" s="91">
        <f t="shared" si="4"/>
        <v>1</v>
      </c>
      <c r="G153" s="91">
        <f t="shared" si="4"/>
        <v>1</v>
      </c>
      <c r="H153" s="91">
        <f t="shared" si="4"/>
        <v>1</v>
      </c>
    </row>
    <row r="154" spans="2:8" x14ac:dyDescent="0.25">
      <c r="C154" s="3" t="s">
        <v>238</v>
      </c>
      <c r="D154" s="91">
        <f t="shared" si="4"/>
        <v>1</v>
      </c>
      <c r="E154" s="91">
        <f t="shared" si="4"/>
        <v>1</v>
      </c>
      <c r="F154" s="91">
        <f t="shared" si="4"/>
        <v>1</v>
      </c>
      <c r="G154" s="91">
        <f t="shared" si="4"/>
        <v>1</v>
      </c>
      <c r="H154" s="91">
        <f t="shared" si="4"/>
        <v>1</v>
      </c>
    </row>
    <row r="155" spans="2:8" x14ac:dyDescent="0.25">
      <c r="C155" s="3" t="s">
        <v>237</v>
      </c>
      <c r="D155" s="91">
        <f t="shared" si="4"/>
        <v>1</v>
      </c>
      <c r="E155" s="91">
        <f t="shared" si="4"/>
        <v>1</v>
      </c>
      <c r="F155" s="91">
        <f t="shared" si="4"/>
        <v>1</v>
      </c>
      <c r="G155" s="91">
        <f t="shared" si="4"/>
        <v>1</v>
      </c>
      <c r="H155" s="91">
        <f t="shared" si="4"/>
        <v>1</v>
      </c>
    </row>
    <row r="156" spans="2:8" x14ac:dyDescent="0.25">
      <c r="B156" s="8" t="s">
        <v>107</v>
      </c>
      <c r="C156" s="3" t="s">
        <v>9</v>
      </c>
      <c r="D156" s="91">
        <f t="shared" si="4"/>
        <v>1</v>
      </c>
      <c r="E156" s="91">
        <f t="shared" si="4"/>
        <v>1</v>
      </c>
      <c r="F156" s="91">
        <f t="shared" si="4"/>
        <v>1</v>
      </c>
      <c r="G156" s="91">
        <f t="shared" si="4"/>
        <v>1</v>
      </c>
      <c r="H156" s="91">
        <f t="shared" si="4"/>
        <v>1</v>
      </c>
    </row>
    <row r="157" spans="2:8" x14ac:dyDescent="0.25">
      <c r="C157" s="3" t="s">
        <v>338</v>
      </c>
      <c r="D157" s="91">
        <f t="shared" si="4"/>
        <v>1</v>
      </c>
      <c r="E157" s="91">
        <f t="shared" si="4"/>
        <v>1.4849999999999999</v>
      </c>
      <c r="F157" s="91">
        <f t="shared" si="4"/>
        <v>1.4849999999999999</v>
      </c>
      <c r="G157" s="91">
        <f t="shared" si="4"/>
        <v>1.4849999999999999</v>
      </c>
      <c r="H157" s="91">
        <f t="shared" si="4"/>
        <v>1.4849999999999999</v>
      </c>
    </row>
    <row r="158" spans="2:8" x14ac:dyDescent="0.25">
      <c r="C158" s="3" t="s">
        <v>238</v>
      </c>
      <c r="D158" s="91">
        <f t="shared" si="4"/>
        <v>1</v>
      </c>
      <c r="E158" s="91">
        <f t="shared" si="4"/>
        <v>2.4569999999999999</v>
      </c>
      <c r="F158" s="91">
        <f t="shared" si="4"/>
        <v>2.4569999999999999</v>
      </c>
      <c r="G158" s="91">
        <f t="shared" si="4"/>
        <v>2.4569999999999999</v>
      </c>
      <c r="H158" s="91">
        <f t="shared" si="4"/>
        <v>2.4569999999999999</v>
      </c>
    </row>
    <row r="159" spans="2:8" x14ac:dyDescent="0.25">
      <c r="C159" s="3" t="s">
        <v>237</v>
      </c>
      <c r="D159" s="91">
        <f t="shared" si="4"/>
        <v>1</v>
      </c>
      <c r="E159" s="91">
        <f t="shared" si="4"/>
        <v>10.089</v>
      </c>
      <c r="F159" s="91">
        <f t="shared" si="4"/>
        <v>10.089</v>
      </c>
      <c r="G159" s="91">
        <f t="shared" si="4"/>
        <v>10.089</v>
      </c>
      <c r="H159" s="91">
        <f t="shared" si="4"/>
        <v>10.089</v>
      </c>
    </row>
    <row r="160" spans="2:8" x14ac:dyDescent="0.25">
      <c r="B160" s="8" t="s">
        <v>113</v>
      </c>
      <c r="C160" s="3" t="s">
        <v>9</v>
      </c>
      <c r="D160" s="91">
        <f t="shared" ref="D160:H163" si="5">IF(D50=1,1,D50*0.9)</f>
        <v>1</v>
      </c>
      <c r="E160" s="91">
        <f t="shared" si="5"/>
        <v>1</v>
      </c>
      <c r="F160" s="91">
        <f t="shared" si="5"/>
        <v>1</v>
      </c>
      <c r="G160" s="91">
        <f t="shared" si="5"/>
        <v>1</v>
      </c>
      <c r="H160" s="91">
        <f t="shared" si="5"/>
        <v>1</v>
      </c>
    </row>
    <row r="161" spans="1:8" x14ac:dyDescent="0.25">
      <c r="C161" s="3" t="s">
        <v>338</v>
      </c>
      <c r="D161" s="91">
        <f t="shared" si="5"/>
        <v>1</v>
      </c>
      <c r="E161" s="91">
        <f t="shared" si="5"/>
        <v>1.4849999999999999</v>
      </c>
      <c r="F161" s="91">
        <f t="shared" si="5"/>
        <v>1.4849999999999999</v>
      </c>
      <c r="G161" s="91">
        <f t="shared" si="5"/>
        <v>1.4849999999999999</v>
      </c>
      <c r="H161" s="91">
        <f t="shared" si="5"/>
        <v>1.4849999999999999</v>
      </c>
    </row>
    <row r="162" spans="1:8" x14ac:dyDescent="0.25">
      <c r="C162" s="3" t="s">
        <v>238</v>
      </c>
      <c r="D162" s="91">
        <f t="shared" si="5"/>
        <v>1</v>
      </c>
      <c r="E162" s="91">
        <f t="shared" si="5"/>
        <v>2.4569999999999999</v>
      </c>
      <c r="F162" s="91">
        <f t="shared" si="5"/>
        <v>2.4569999999999999</v>
      </c>
      <c r="G162" s="91">
        <f t="shared" si="5"/>
        <v>2.4569999999999999</v>
      </c>
      <c r="H162" s="91">
        <f t="shared" si="5"/>
        <v>2.4569999999999999</v>
      </c>
    </row>
    <row r="163" spans="1:8" x14ac:dyDescent="0.25">
      <c r="C163" s="3" t="s">
        <v>237</v>
      </c>
      <c r="D163" s="91">
        <f t="shared" si="5"/>
        <v>1</v>
      </c>
      <c r="E163" s="91">
        <f t="shared" si="5"/>
        <v>10.089</v>
      </c>
      <c r="F163" s="91">
        <f t="shared" si="5"/>
        <v>10.089</v>
      </c>
      <c r="G163" s="91">
        <f t="shared" si="5"/>
        <v>10.089</v>
      </c>
      <c r="H163" s="91">
        <f t="shared" si="5"/>
        <v>10.089</v>
      </c>
    </row>
    <row r="164" spans="1:8" x14ac:dyDescent="0.25">
      <c r="C164" s="3"/>
      <c r="D164" s="3"/>
    </row>
    <row r="165" spans="1:8" ht="13" x14ac:dyDescent="0.3">
      <c r="A165" s="67" t="s">
        <v>342</v>
      </c>
      <c r="B165" s="68"/>
      <c r="C165" s="68"/>
      <c r="D165" s="68"/>
      <c r="E165" s="68"/>
      <c r="F165" s="68"/>
      <c r="G165" s="68"/>
      <c r="H165" s="68"/>
    </row>
    <row r="166" spans="1:8" ht="26.4" customHeight="1" x14ac:dyDescent="0.3">
      <c r="A166" s="39" t="s">
        <v>139</v>
      </c>
      <c r="B166" s="4" t="s">
        <v>336</v>
      </c>
      <c r="C166" s="69" t="s">
        <v>343</v>
      </c>
      <c r="D166" s="70" t="s">
        <v>140</v>
      </c>
      <c r="E166" s="70" t="s">
        <v>141</v>
      </c>
      <c r="F166" s="70" t="s">
        <v>142</v>
      </c>
      <c r="G166" s="70" t="s">
        <v>143</v>
      </c>
      <c r="H166" s="79"/>
    </row>
    <row r="167" spans="1:8" ht="13" x14ac:dyDescent="0.3">
      <c r="A167" s="4"/>
      <c r="B167" s="8" t="s">
        <v>119</v>
      </c>
      <c r="C167" s="3" t="s">
        <v>344</v>
      </c>
      <c r="D167" s="91">
        <f t="shared" ref="D167:G172" si="6">IF(D57=1,1,D57*0.9)</f>
        <v>1</v>
      </c>
      <c r="E167" s="91">
        <f t="shared" si="6"/>
        <v>1</v>
      </c>
      <c r="F167" s="91">
        <f t="shared" si="6"/>
        <v>1</v>
      </c>
      <c r="G167" s="91">
        <f t="shared" si="6"/>
        <v>1</v>
      </c>
      <c r="H167" s="39"/>
    </row>
    <row r="168" spans="1:8" x14ac:dyDescent="0.25">
      <c r="C168" s="3" t="s">
        <v>345</v>
      </c>
      <c r="D168" s="91">
        <f t="shared" si="6"/>
        <v>9.6075000000000017</v>
      </c>
      <c r="E168" s="91">
        <f t="shared" si="6"/>
        <v>9.6075000000000017</v>
      </c>
      <c r="F168" s="91">
        <f t="shared" si="6"/>
        <v>9.6075000000000017</v>
      </c>
      <c r="G168" s="91">
        <f t="shared" si="6"/>
        <v>9.6075000000000017</v>
      </c>
      <c r="H168" s="39"/>
    </row>
    <row r="169" spans="1:8" x14ac:dyDescent="0.25">
      <c r="B169" s="8" t="s">
        <v>120</v>
      </c>
      <c r="C169" s="3" t="s">
        <v>344</v>
      </c>
      <c r="D169" s="91">
        <f t="shared" si="6"/>
        <v>1</v>
      </c>
      <c r="E169" s="91">
        <f t="shared" si="6"/>
        <v>1</v>
      </c>
      <c r="F169" s="91">
        <f t="shared" si="6"/>
        <v>1</v>
      </c>
      <c r="G169" s="91">
        <f t="shared" si="6"/>
        <v>1</v>
      </c>
      <c r="H169" s="39"/>
    </row>
    <row r="170" spans="1:8" x14ac:dyDescent="0.25">
      <c r="C170" s="3" t="s">
        <v>345</v>
      </c>
      <c r="D170" s="91">
        <f t="shared" si="6"/>
        <v>9.6075000000000017</v>
      </c>
      <c r="E170" s="91">
        <f t="shared" si="6"/>
        <v>9.6075000000000017</v>
      </c>
      <c r="F170" s="91">
        <f t="shared" si="6"/>
        <v>9.6075000000000017</v>
      </c>
      <c r="G170" s="91">
        <f t="shared" si="6"/>
        <v>9.6075000000000017</v>
      </c>
      <c r="H170" s="39"/>
    </row>
    <row r="171" spans="1:8" x14ac:dyDescent="0.25">
      <c r="B171" s="8" t="s">
        <v>121</v>
      </c>
      <c r="C171" s="3" t="s">
        <v>344</v>
      </c>
      <c r="D171" s="91">
        <f t="shared" si="6"/>
        <v>1</v>
      </c>
      <c r="E171" s="91">
        <f t="shared" si="6"/>
        <v>1</v>
      </c>
      <c r="F171" s="91">
        <f t="shared" si="6"/>
        <v>1</v>
      </c>
      <c r="G171" s="91">
        <f t="shared" si="6"/>
        <v>1</v>
      </c>
      <c r="H171" s="39"/>
    </row>
    <row r="172" spans="1:8" x14ac:dyDescent="0.25">
      <c r="C172" s="3" t="s">
        <v>345</v>
      </c>
      <c r="D172" s="91">
        <f t="shared" si="6"/>
        <v>9.6075000000000017</v>
      </c>
      <c r="E172" s="91">
        <f t="shared" si="6"/>
        <v>9.6075000000000017</v>
      </c>
      <c r="F172" s="91">
        <f t="shared" si="6"/>
        <v>9.6075000000000017</v>
      </c>
      <c r="G172" s="91">
        <f t="shared" si="6"/>
        <v>9.6075000000000017</v>
      </c>
      <c r="H172" s="39"/>
    </row>
    <row r="173" spans="1:8" x14ac:dyDescent="0.25">
      <c r="C173" s="3"/>
      <c r="D173" s="3"/>
    </row>
    <row r="174" spans="1:8" ht="13" x14ac:dyDescent="0.3">
      <c r="A174" s="67" t="s">
        <v>346</v>
      </c>
      <c r="B174" s="68"/>
      <c r="C174" s="68"/>
      <c r="D174" s="68"/>
      <c r="E174" s="68"/>
      <c r="F174" s="68"/>
      <c r="G174" s="68"/>
      <c r="H174" s="68"/>
    </row>
    <row r="175" spans="1:8" ht="26.4" customHeight="1" x14ac:dyDescent="0.3">
      <c r="A175" s="39" t="s">
        <v>146</v>
      </c>
      <c r="B175" s="4" t="s">
        <v>336</v>
      </c>
      <c r="C175" s="69" t="s">
        <v>347</v>
      </c>
      <c r="D175" s="70" t="s">
        <v>127</v>
      </c>
      <c r="E175" s="70" t="s">
        <v>114</v>
      </c>
      <c r="F175" s="70" t="s">
        <v>115</v>
      </c>
      <c r="G175" s="70" t="s">
        <v>116</v>
      </c>
      <c r="H175" s="81" t="s">
        <v>117</v>
      </c>
    </row>
    <row r="176" spans="1:8" ht="13" x14ac:dyDescent="0.3">
      <c r="A176" s="82"/>
      <c r="B176" s="8" t="s">
        <v>96</v>
      </c>
      <c r="C176" s="3" t="s">
        <v>147</v>
      </c>
      <c r="D176" s="91">
        <f t="shared" ref="D176:G195" si="7">IF(D66=1,1,D66*0.9)</f>
        <v>1</v>
      </c>
      <c r="E176" s="91">
        <f t="shared" si="7"/>
        <v>1</v>
      </c>
      <c r="F176" s="91">
        <f t="shared" si="7"/>
        <v>1</v>
      </c>
      <c r="G176" s="91">
        <f t="shared" si="7"/>
        <v>1</v>
      </c>
      <c r="H176" s="39">
        <v>0.9</v>
      </c>
    </row>
    <row r="177" spans="2:8" x14ac:dyDescent="0.25">
      <c r="C177" s="3" t="s">
        <v>148</v>
      </c>
      <c r="D177" s="91">
        <f t="shared" si="7"/>
        <v>1.2150000000000001</v>
      </c>
      <c r="E177" s="91">
        <f t="shared" si="7"/>
        <v>1</v>
      </c>
      <c r="F177" s="91">
        <f t="shared" si="7"/>
        <v>1</v>
      </c>
      <c r="G177" s="91">
        <f t="shared" si="7"/>
        <v>1</v>
      </c>
      <c r="H177" s="39">
        <v>0.9</v>
      </c>
    </row>
    <row r="178" spans="2:8" x14ac:dyDescent="0.25">
      <c r="C178" s="3" t="s">
        <v>149</v>
      </c>
      <c r="D178" s="91">
        <f t="shared" si="7"/>
        <v>1.2150000000000001</v>
      </c>
      <c r="E178" s="91">
        <f t="shared" si="7"/>
        <v>1</v>
      </c>
      <c r="F178" s="91">
        <f t="shared" si="7"/>
        <v>1</v>
      </c>
      <c r="G178" s="91">
        <f t="shared" si="7"/>
        <v>1</v>
      </c>
      <c r="H178" s="39">
        <v>0.9</v>
      </c>
    </row>
    <row r="179" spans="2:8" x14ac:dyDescent="0.25">
      <c r="C179" s="3" t="s">
        <v>150</v>
      </c>
      <c r="D179" s="91">
        <f t="shared" si="7"/>
        <v>4.8600000000000003</v>
      </c>
      <c r="E179" s="91">
        <f t="shared" si="7"/>
        <v>1</v>
      </c>
      <c r="F179" s="91">
        <f t="shared" si="7"/>
        <v>1</v>
      </c>
      <c r="G179" s="91">
        <f t="shared" si="7"/>
        <v>1</v>
      </c>
      <c r="H179" s="39">
        <v>0.9</v>
      </c>
    </row>
    <row r="180" spans="2:8" x14ac:dyDescent="0.25">
      <c r="B180" s="8" t="s">
        <v>97</v>
      </c>
      <c r="C180" s="3" t="s">
        <v>147</v>
      </c>
      <c r="D180" s="91">
        <f t="shared" si="7"/>
        <v>1</v>
      </c>
      <c r="E180" s="91">
        <f t="shared" si="7"/>
        <v>1</v>
      </c>
      <c r="F180" s="91">
        <f t="shared" si="7"/>
        <v>1</v>
      </c>
      <c r="G180" s="91">
        <f t="shared" si="7"/>
        <v>1</v>
      </c>
      <c r="H180" s="39">
        <v>0.9</v>
      </c>
    </row>
    <row r="181" spans="2:8" x14ac:dyDescent="0.25">
      <c r="C181" s="3" t="s">
        <v>148</v>
      </c>
      <c r="D181" s="91">
        <f t="shared" si="7"/>
        <v>1.2150000000000001</v>
      </c>
      <c r="E181" s="91">
        <f t="shared" si="7"/>
        <v>1</v>
      </c>
      <c r="F181" s="91">
        <f t="shared" si="7"/>
        <v>1</v>
      </c>
      <c r="G181" s="91">
        <f t="shared" si="7"/>
        <v>1</v>
      </c>
      <c r="H181" s="39">
        <v>0.9</v>
      </c>
    </row>
    <row r="182" spans="2:8" x14ac:dyDescent="0.25">
      <c r="C182" s="3" t="s">
        <v>149</v>
      </c>
      <c r="D182" s="91">
        <f t="shared" si="7"/>
        <v>1.2150000000000001</v>
      </c>
      <c r="E182" s="91">
        <f t="shared" si="7"/>
        <v>1</v>
      </c>
      <c r="F182" s="91">
        <f t="shared" si="7"/>
        <v>1</v>
      </c>
      <c r="G182" s="91">
        <f t="shared" si="7"/>
        <v>1</v>
      </c>
      <c r="H182" s="39">
        <v>0.9</v>
      </c>
    </row>
    <row r="183" spans="2:8" x14ac:dyDescent="0.25">
      <c r="C183" s="3" t="s">
        <v>150</v>
      </c>
      <c r="D183" s="91">
        <f t="shared" si="7"/>
        <v>4.8600000000000003</v>
      </c>
      <c r="E183" s="91">
        <f t="shared" si="7"/>
        <v>1</v>
      </c>
      <c r="F183" s="91">
        <f t="shared" si="7"/>
        <v>1</v>
      </c>
      <c r="G183" s="91">
        <f t="shared" si="7"/>
        <v>1</v>
      </c>
      <c r="H183" s="39">
        <v>0.9</v>
      </c>
    </row>
    <row r="184" spans="2:8" x14ac:dyDescent="0.25">
      <c r="B184" s="8" t="s">
        <v>98</v>
      </c>
      <c r="C184" s="3" t="s">
        <v>147</v>
      </c>
      <c r="D184" s="91">
        <f t="shared" si="7"/>
        <v>1</v>
      </c>
      <c r="E184" s="91">
        <f t="shared" si="7"/>
        <v>1</v>
      </c>
      <c r="F184" s="91">
        <f t="shared" si="7"/>
        <v>1</v>
      </c>
      <c r="G184" s="91">
        <f t="shared" si="7"/>
        <v>1</v>
      </c>
      <c r="H184" s="39">
        <v>0.9</v>
      </c>
    </row>
    <row r="185" spans="2:8" x14ac:dyDescent="0.25">
      <c r="C185" s="3" t="s">
        <v>148</v>
      </c>
      <c r="D185" s="91">
        <f t="shared" si="7"/>
        <v>1.2150000000000001</v>
      </c>
      <c r="E185" s="91">
        <f t="shared" si="7"/>
        <v>1</v>
      </c>
      <c r="F185" s="91">
        <f t="shared" si="7"/>
        <v>1</v>
      </c>
      <c r="G185" s="91">
        <f t="shared" si="7"/>
        <v>1</v>
      </c>
      <c r="H185" s="39">
        <v>0.9</v>
      </c>
    </row>
    <row r="186" spans="2:8" x14ac:dyDescent="0.25">
      <c r="C186" s="3" t="s">
        <v>149</v>
      </c>
      <c r="D186" s="91">
        <f t="shared" si="7"/>
        <v>1.2150000000000001</v>
      </c>
      <c r="E186" s="91">
        <f t="shared" si="7"/>
        <v>1</v>
      </c>
      <c r="F186" s="91">
        <f t="shared" si="7"/>
        <v>1</v>
      </c>
      <c r="G186" s="91">
        <f t="shared" si="7"/>
        <v>1</v>
      </c>
      <c r="H186" s="39">
        <v>0.9</v>
      </c>
    </row>
    <row r="187" spans="2:8" x14ac:dyDescent="0.25">
      <c r="C187" s="3" t="s">
        <v>150</v>
      </c>
      <c r="D187" s="91">
        <f t="shared" si="7"/>
        <v>4.8600000000000003</v>
      </c>
      <c r="E187" s="91">
        <f t="shared" si="7"/>
        <v>1</v>
      </c>
      <c r="F187" s="91">
        <f t="shared" si="7"/>
        <v>1</v>
      </c>
      <c r="G187" s="91">
        <f t="shared" si="7"/>
        <v>1</v>
      </c>
      <c r="H187" s="39">
        <v>0.9</v>
      </c>
    </row>
    <row r="188" spans="2:8" x14ac:dyDescent="0.25">
      <c r="B188" s="8" t="s">
        <v>100</v>
      </c>
      <c r="C188" s="3" t="s">
        <v>147</v>
      </c>
      <c r="D188" s="91">
        <f t="shared" si="7"/>
        <v>1</v>
      </c>
      <c r="E188" s="91">
        <f t="shared" si="7"/>
        <v>1</v>
      </c>
      <c r="F188" s="91">
        <f t="shared" si="7"/>
        <v>1</v>
      </c>
      <c r="G188" s="91">
        <f t="shared" si="7"/>
        <v>1</v>
      </c>
      <c r="H188" s="39">
        <v>0.9</v>
      </c>
    </row>
    <row r="189" spans="2:8" x14ac:dyDescent="0.25">
      <c r="C189" s="3" t="s">
        <v>148</v>
      </c>
      <c r="D189" s="91">
        <f t="shared" si="7"/>
        <v>1</v>
      </c>
      <c r="E189" s="91">
        <f t="shared" si="7"/>
        <v>1</v>
      </c>
      <c r="F189" s="91">
        <f t="shared" si="7"/>
        <v>1</v>
      </c>
      <c r="G189" s="91">
        <f t="shared" si="7"/>
        <v>1</v>
      </c>
      <c r="H189" s="39">
        <v>0.9</v>
      </c>
    </row>
    <row r="190" spans="2:8" x14ac:dyDescent="0.25">
      <c r="C190" s="3" t="s">
        <v>149</v>
      </c>
      <c r="D190" s="91">
        <f t="shared" si="7"/>
        <v>1</v>
      </c>
      <c r="E190" s="91">
        <f t="shared" si="7"/>
        <v>1</v>
      </c>
      <c r="F190" s="91">
        <f t="shared" si="7"/>
        <v>1</v>
      </c>
      <c r="G190" s="91">
        <f t="shared" si="7"/>
        <v>1</v>
      </c>
      <c r="H190" s="39">
        <v>0.9</v>
      </c>
    </row>
    <row r="191" spans="2:8" x14ac:dyDescent="0.25">
      <c r="C191" s="3" t="s">
        <v>150</v>
      </c>
      <c r="D191" s="91">
        <f t="shared" si="7"/>
        <v>1</v>
      </c>
      <c r="E191" s="91">
        <f t="shared" si="7"/>
        <v>1</v>
      </c>
      <c r="F191" s="91">
        <f t="shared" si="7"/>
        <v>1</v>
      </c>
      <c r="G191" s="91">
        <f t="shared" si="7"/>
        <v>1</v>
      </c>
      <c r="H191" s="39">
        <v>0.9</v>
      </c>
    </row>
    <row r="192" spans="2:8" x14ac:dyDescent="0.25">
      <c r="B192" s="8" t="s">
        <v>105</v>
      </c>
      <c r="C192" s="3" t="s">
        <v>147</v>
      </c>
      <c r="D192" s="91">
        <f t="shared" si="7"/>
        <v>1</v>
      </c>
      <c r="E192" s="91">
        <f t="shared" si="7"/>
        <v>1</v>
      </c>
      <c r="F192" s="91">
        <f t="shared" si="7"/>
        <v>1</v>
      </c>
      <c r="G192" s="91">
        <f t="shared" si="7"/>
        <v>1</v>
      </c>
      <c r="H192" s="39">
        <v>0.9</v>
      </c>
    </row>
    <row r="193" spans="2:8" x14ac:dyDescent="0.25">
      <c r="C193" s="3" t="s">
        <v>148</v>
      </c>
      <c r="D193" s="91">
        <f t="shared" si="7"/>
        <v>1</v>
      </c>
      <c r="E193" s="91">
        <f t="shared" si="7"/>
        <v>2.052</v>
      </c>
      <c r="F193" s="91">
        <f t="shared" si="7"/>
        <v>1</v>
      </c>
      <c r="G193" s="91">
        <f t="shared" si="7"/>
        <v>1</v>
      </c>
      <c r="H193" s="39">
        <v>0.9</v>
      </c>
    </row>
    <row r="194" spans="2:8" x14ac:dyDescent="0.25">
      <c r="C194" s="3" t="s">
        <v>149</v>
      </c>
      <c r="D194" s="91">
        <f t="shared" si="7"/>
        <v>1</v>
      </c>
      <c r="E194" s="91">
        <f t="shared" si="7"/>
        <v>4.1580000000000004</v>
      </c>
      <c r="F194" s="91">
        <f t="shared" si="7"/>
        <v>1</v>
      </c>
      <c r="G194" s="91">
        <f t="shared" si="7"/>
        <v>1</v>
      </c>
      <c r="H194" s="39">
        <v>0.9</v>
      </c>
    </row>
    <row r="195" spans="2:8" x14ac:dyDescent="0.25">
      <c r="C195" s="3" t="s">
        <v>150</v>
      </c>
      <c r="D195" s="91">
        <f t="shared" si="7"/>
        <v>1</v>
      </c>
      <c r="E195" s="91">
        <f t="shared" si="7"/>
        <v>9.4770000000000003</v>
      </c>
      <c r="F195" s="91">
        <f t="shared" si="7"/>
        <v>1.323</v>
      </c>
      <c r="G195" s="91">
        <f t="shared" si="7"/>
        <v>2.3129999999999997</v>
      </c>
      <c r="H195" s="39">
        <v>0.9</v>
      </c>
    </row>
    <row r="196" spans="2:8" x14ac:dyDescent="0.25">
      <c r="B196" s="8" t="s">
        <v>106</v>
      </c>
      <c r="C196" s="3" t="s">
        <v>147</v>
      </c>
      <c r="D196" s="91">
        <f t="shared" ref="D196:G211" si="8">IF(D86=1,1,D86*0.9)</f>
        <v>1</v>
      </c>
      <c r="E196" s="91">
        <f t="shared" si="8"/>
        <v>1</v>
      </c>
      <c r="F196" s="91">
        <f t="shared" si="8"/>
        <v>1</v>
      </c>
      <c r="G196" s="91">
        <f t="shared" si="8"/>
        <v>1</v>
      </c>
      <c r="H196" s="39">
        <v>0.9</v>
      </c>
    </row>
    <row r="197" spans="2:8" x14ac:dyDescent="0.25">
      <c r="C197" s="3" t="s">
        <v>148</v>
      </c>
      <c r="D197" s="91">
        <f t="shared" si="8"/>
        <v>1</v>
      </c>
      <c r="E197" s="91">
        <f t="shared" si="8"/>
        <v>1.494</v>
      </c>
      <c r="F197" s="91">
        <f t="shared" si="8"/>
        <v>1</v>
      </c>
      <c r="G197" s="91">
        <f t="shared" si="8"/>
        <v>1</v>
      </c>
      <c r="H197" s="39">
        <v>0.9</v>
      </c>
    </row>
    <row r="198" spans="2:8" x14ac:dyDescent="0.25">
      <c r="C198" s="3" t="s">
        <v>149</v>
      </c>
      <c r="D198" s="91">
        <f t="shared" si="8"/>
        <v>1</v>
      </c>
      <c r="E198" s="91">
        <f t="shared" si="8"/>
        <v>2.25</v>
      </c>
      <c r="F198" s="91">
        <f t="shared" si="8"/>
        <v>1</v>
      </c>
      <c r="G198" s="91">
        <f t="shared" si="8"/>
        <v>1</v>
      </c>
      <c r="H198" s="39">
        <v>0.9</v>
      </c>
    </row>
    <row r="199" spans="2:8" x14ac:dyDescent="0.25">
      <c r="C199" s="3" t="s">
        <v>150</v>
      </c>
      <c r="D199" s="91">
        <f t="shared" si="8"/>
        <v>1</v>
      </c>
      <c r="E199" s="91">
        <f t="shared" si="8"/>
        <v>13.473000000000001</v>
      </c>
      <c r="F199" s="91">
        <f t="shared" si="8"/>
        <v>1.728</v>
      </c>
      <c r="G199" s="91">
        <f t="shared" si="8"/>
        <v>1.728</v>
      </c>
      <c r="H199" s="39">
        <v>0.9</v>
      </c>
    </row>
    <row r="200" spans="2:8" x14ac:dyDescent="0.25">
      <c r="B200" s="8" t="s">
        <v>108</v>
      </c>
      <c r="C200" s="3" t="s">
        <v>147</v>
      </c>
      <c r="D200" s="91">
        <f t="shared" si="8"/>
        <v>1</v>
      </c>
      <c r="E200" s="91">
        <f t="shared" si="8"/>
        <v>1</v>
      </c>
      <c r="F200" s="91">
        <f t="shared" si="8"/>
        <v>1</v>
      </c>
      <c r="G200" s="91">
        <f t="shared" si="8"/>
        <v>1</v>
      </c>
      <c r="H200" s="39">
        <v>0.9</v>
      </c>
    </row>
    <row r="201" spans="2:8" x14ac:dyDescent="0.25">
      <c r="C201" s="3" t="s">
        <v>148</v>
      </c>
      <c r="D201" s="91">
        <f t="shared" si="8"/>
        <v>1</v>
      </c>
      <c r="E201" s="91">
        <f t="shared" si="8"/>
        <v>1.3320000000000001</v>
      </c>
      <c r="F201" s="91">
        <f t="shared" si="8"/>
        <v>1</v>
      </c>
      <c r="G201" s="91">
        <f t="shared" si="8"/>
        <v>1</v>
      </c>
      <c r="H201" s="39">
        <v>0.9</v>
      </c>
    </row>
    <row r="202" spans="2:8" x14ac:dyDescent="0.25">
      <c r="C202" s="3" t="s">
        <v>149</v>
      </c>
      <c r="D202" s="91">
        <f t="shared" si="8"/>
        <v>1</v>
      </c>
      <c r="E202" s="91">
        <f t="shared" si="8"/>
        <v>2.556</v>
      </c>
      <c r="F202" s="91">
        <f t="shared" si="8"/>
        <v>1</v>
      </c>
      <c r="G202" s="91">
        <f t="shared" si="8"/>
        <v>1</v>
      </c>
      <c r="H202" s="39">
        <v>0.9</v>
      </c>
    </row>
    <row r="203" spans="2:8" x14ac:dyDescent="0.25">
      <c r="C203" s="3" t="s">
        <v>150</v>
      </c>
      <c r="D203" s="91">
        <f t="shared" si="8"/>
        <v>1</v>
      </c>
      <c r="E203" s="91">
        <f t="shared" si="8"/>
        <v>12.96</v>
      </c>
      <c r="F203" s="91">
        <f t="shared" si="8"/>
        <v>3.3210000000000002</v>
      </c>
      <c r="G203" s="91">
        <f t="shared" si="8"/>
        <v>3.3210000000000002</v>
      </c>
      <c r="H203" s="39">
        <v>0.9</v>
      </c>
    </row>
    <row r="204" spans="2:8" x14ac:dyDescent="0.25">
      <c r="B204" s="8" t="s">
        <v>107</v>
      </c>
      <c r="C204" s="3" t="s">
        <v>147</v>
      </c>
      <c r="D204" s="91">
        <f t="shared" si="8"/>
        <v>1</v>
      </c>
      <c r="E204" s="91">
        <f t="shared" si="8"/>
        <v>1</v>
      </c>
      <c r="F204" s="91">
        <f t="shared" si="8"/>
        <v>1</v>
      </c>
      <c r="G204" s="91">
        <f t="shared" si="8"/>
        <v>1</v>
      </c>
      <c r="H204" s="39">
        <v>0.9</v>
      </c>
    </row>
    <row r="205" spans="2:8" x14ac:dyDescent="0.25">
      <c r="C205" s="3" t="s">
        <v>148</v>
      </c>
      <c r="D205" s="91">
        <f t="shared" si="8"/>
        <v>1</v>
      </c>
      <c r="E205" s="91">
        <f t="shared" si="8"/>
        <v>1.3320000000000001</v>
      </c>
      <c r="F205" s="91">
        <f t="shared" si="8"/>
        <v>1</v>
      </c>
      <c r="G205" s="91">
        <f t="shared" si="8"/>
        <v>1</v>
      </c>
      <c r="H205" s="39">
        <v>0.9</v>
      </c>
    </row>
    <row r="206" spans="2:8" x14ac:dyDescent="0.25">
      <c r="C206" s="3" t="s">
        <v>149</v>
      </c>
      <c r="D206" s="91">
        <f t="shared" si="8"/>
        <v>1</v>
      </c>
      <c r="E206" s="91">
        <f t="shared" si="8"/>
        <v>2.556</v>
      </c>
      <c r="F206" s="91">
        <f t="shared" si="8"/>
        <v>1</v>
      </c>
      <c r="G206" s="91">
        <f t="shared" si="8"/>
        <v>1</v>
      </c>
      <c r="H206" s="39">
        <v>0.9</v>
      </c>
    </row>
    <row r="207" spans="2:8" x14ac:dyDescent="0.25">
      <c r="C207" s="3" t="s">
        <v>150</v>
      </c>
      <c r="D207" s="91">
        <f t="shared" si="8"/>
        <v>1</v>
      </c>
      <c r="E207" s="91">
        <f t="shared" si="8"/>
        <v>12.96</v>
      </c>
      <c r="F207" s="91">
        <f t="shared" si="8"/>
        <v>3.3210000000000002</v>
      </c>
      <c r="G207" s="91">
        <f t="shared" si="8"/>
        <v>3.3210000000000002</v>
      </c>
      <c r="H207" s="39">
        <v>0.9</v>
      </c>
    </row>
    <row r="208" spans="2:8" x14ac:dyDescent="0.25">
      <c r="B208" s="8" t="s">
        <v>110</v>
      </c>
      <c r="C208" s="3" t="s">
        <v>147</v>
      </c>
      <c r="D208" s="91">
        <f t="shared" si="8"/>
        <v>1</v>
      </c>
      <c r="E208" s="91">
        <f t="shared" si="8"/>
        <v>1</v>
      </c>
      <c r="F208" s="91">
        <f t="shared" si="8"/>
        <v>1</v>
      </c>
      <c r="G208" s="91">
        <f t="shared" si="8"/>
        <v>1</v>
      </c>
      <c r="H208" s="39">
        <v>0.9</v>
      </c>
    </row>
    <row r="209" spans="1:9" x14ac:dyDescent="0.25">
      <c r="C209" s="3" t="s">
        <v>148</v>
      </c>
      <c r="D209" s="91">
        <f t="shared" si="8"/>
        <v>1</v>
      </c>
      <c r="E209" s="91">
        <f t="shared" si="8"/>
        <v>1.3320000000000001</v>
      </c>
      <c r="F209" s="91">
        <f t="shared" si="8"/>
        <v>1</v>
      </c>
      <c r="G209" s="91">
        <f t="shared" si="8"/>
        <v>1</v>
      </c>
      <c r="H209" s="39">
        <v>0.9</v>
      </c>
    </row>
    <row r="210" spans="1:9" x14ac:dyDescent="0.25">
      <c r="C210" s="3" t="s">
        <v>149</v>
      </c>
      <c r="D210" s="91">
        <f t="shared" si="8"/>
        <v>1</v>
      </c>
      <c r="E210" s="91">
        <f t="shared" si="8"/>
        <v>2.556</v>
      </c>
      <c r="F210" s="91">
        <f t="shared" si="8"/>
        <v>1</v>
      </c>
      <c r="G210" s="91">
        <f t="shared" si="8"/>
        <v>1</v>
      </c>
      <c r="H210" s="39">
        <v>0.9</v>
      </c>
    </row>
    <row r="211" spans="1:9" x14ac:dyDescent="0.25">
      <c r="C211" s="3" t="s">
        <v>150</v>
      </c>
      <c r="D211" s="91">
        <f t="shared" si="8"/>
        <v>1</v>
      </c>
      <c r="E211" s="91">
        <f t="shared" si="8"/>
        <v>12.96</v>
      </c>
      <c r="F211" s="91">
        <f t="shared" si="8"/>
        <v>3.3210000000000002</v>
      </c>
      <c r="G211" s="91">
        <f t="shared" si="8"/>
        <v>3.3210000000000002</v>
      </c>
      <c r="H211" s="39">
        <v>0.9</v>
      </c>
    </row>
    <row r="213" spans="1:9" ht="13" x14ac:dyDescent="0.3">
      <c r="A213" s="67" t="s">
        <v>348</v>
      </c>
      <c r="B213" s="68"/>
      <c r="C213" s="68"/>
      <c r="D213" s="68"/>
      <c r="E213" s="68"/>
      <c r="F213" s="68"/>
      <c r="G213" s="68"/>
      <c r="H213" s="68"/>
    </row>
    <row r="214" spans="1:9" ht="26.4" customHeight="1" x14ac:dyDescent="0.3">
      <c r="A214" s="39" t="s">
        <v>105</v>
      </c>
      <c r="B214" s="82" t="s">
        <v>150</v>
      </c>
      <c r="C214" s="69" t="s">
        <v>347</v>
      </c>
      <c r="D214" s="70" t="s">
        <v>127</v>
      </c>
      <c r="E214" s="70" t="s">
        <v>114</v>
      </c>
      <c r="F214" s="70" t="s">
        <v>115</v>
      </c>
      <c r="G214" s="70" t="s">
        <v>116</v>
      </c>
      <c r="H214" s="81" t="s">
        <v>117</v>
      </c>
    </row>
    <row r="215" spans="1:9" ht="13" x14ac:dyDescent="0.3">
      <c r="A215" s="4"/>
      <c r="C215" s="3" t="s">
        <v>147</v>
      </c>
      <c r="D215" s="91">
        <f t="shared" ref="D215:G218" si="9">IF(D105=1,1,D105*0.9)</f>
        <v>1</v>
      </c>
      <c r="E215" s="91">
        <f t="shared" si="9"/>
        <v>1</v>
      </c>
      <c r="F215" s="91">
        <f t="shared" si="9"/>
        <v>1</v>
      </c>
      <c r="G215" s="91">
        <f t="shared" si="9"/>
        <v>1</v>
      </c>
      <c r="H215" s="39">
        <v>0.9</v>
      </c>
    </row>
    <row r="216" spans="1:9" x14ac:dyDescent="0.25">
      <c r="C216" s="3" t="s">
        <v>148</v>
      </c>
      <c r="D216" s="91">
        <f t="shared" si="9"/>
        <v>1.1340000000000001</v>
      </c>
      <c r="E216" s="91">
        <f t="shared" si="9"/>
        <v>1.1340000000000001</v>
      </c>
      <c r="F216" s="91">
        <f t="shared" si="9"/>
        <v>1</v>
      </c>
      <c r="G216" s="91">
        <f t="shared" si="9"/>
        <v>1</v>
      </c>
      <c r="H216" s="39">
        <v>0.9</v>
      </c>
    </row>
    <row r="217" spans="1:9" x14ac:dyDescent="0.25">
      <c r="C217" s="3" t="s">
        <v>149</v>
      </c>
      <c r="D217" s="91">
        <f t="shared" si="9"/>
        <v>1.512</v>
      </c>
      <c r="E217" s="91">
        <f t="shared" si="9"/>
        <v>1.512</v>
      </c>
      <c r="F217" s="91">
        <f t="shared" si="9"/>
        <v>1</v>
      </c>
      <c r="G217" s="91">
        <f t="shared" si="9"/>
        <v>1</v>
      </c>
      <c r="H217" s="39">
        <v>0.9</v>
      </c>
    </row>
    <row r="218" spans="1:9" x14ac:dyDescent="0.25">
      <c r="C218" s="3" t="s">
        <v>150</v>
      </c>
      <c r="D218" s="91">
        <f t="shared" si="9"/>
        <v>2.3849999999999998</v>
      </c>
      <c r="E218" s="91">
        <f t="shared" si="9"/>
        <v>2.3849999999999998</v>
      </c>
      <c r="F218" s="91">
        <f t="shared" si="9"/>
        <v>1.863</v>
      </c>
      <c r="G218" s="91">
        <f t="shared" si="9"/>
        <v>1.863</v>
      </c>
      <c r="H218" s="39">
        <v>0.9</v>
      </c>
    </row>
    <row r="220" spans="1:9" s="93" customFormat="1" ht="13" x14ac:dyDescent="0.3">
      <c r="A220" s="92" t="s">
        <v>270</v>
      </c>
      <c r="H220" s="92"/>
    </row>
    <row r="221" spans="1:9" ht="13" x14ac:dyDescent="0.3">
      <c r="A221" s="67" t="s">
        <v>335</v>
      </c>
      <c r="B221" s="68"/>
      <c r="C221" s="68"/>
      <c r="D221" s="68"/>
      <c r="E221" s="68"/>
      <c r="F221" s="68"/>
      <c r="G221" s="68"/>
      <c r="H221" s="68"/>
      <c r="I221" s="68"/>
    </row>
    <row r="222" spans="1:9" ht="13" x14ac:dyDescent="0.3">
      <c r="A222" s="39" t="s">
        <v>256</v>
      </c>
      <c r="B222" s="1" t="s">
        <v>336</v>
      </c>
      <c r="C222" s="1" t="s">
        <v>337</v>
      </c>
      <c r="D222" s="70" t="s">
        <v>127</v>
      </c>
      <c r="E222" s="70" t="s">
        <v>114</v>
      </c>
      <c r="F222" s="70" t="s">
        <v>115</v>
      </c>
      <c r="G222" s="70" t="s">
        <v>116</v>
      </c>
      <c r="H222" s="70" t="s">
        <v>117</v>
      </c>
      <c r="I222" s="79"/>
    </row>
    <row r="223" spans="1:9" ht="13" x14ac:dyDescent="0.3">
      <c r="A223" s="4"/>
      <c r="B223" s="8" t="s">
        <v>105</v>
      </c>
      <c r="C223" s="3" t="s">
        <v>9</v>
      </c>
      <c r="D223" s="91">
        <f t="shared" ref="D223:H232" si="10">IF(D3=1,1,D3*1.1)</f>
        <v>1</v>
      </c>
      <c r="E223" s="91">
        <f t="shared" si="10"/>
        <v>1</v>
      </c>
      <c r="F223" s="91">
        <f t="shared" si="10"/>
        <v>1</v>
      </c>
      <c r="G223" s="91">
        <f t="shared" si="10"/>
        <v>1</v>
      </c>
      <c r="H223" s="91">
        <f t="shared" si="10"/>
        <v>1</v>
      </c>
      <c r="I223" s="39"/>
    </row>
    <row r="224" spans="1:9" x14ac:dyDescent="0.25">
      <c r="C224" s="3" t="s">
        <v>338</v>
      </c>
      <c r="D224" s="91">
        <f t="shared" si="10"/>
        <v>1</v>
      </c>
      <c r="E224" s="91">
        <f t="shared" si="10"/>
        <v>1.837</v>
      </c>
      <c r="F224" s="91">
        <f t="shared" si="10"/>
        <v>1.837</v>
      </c>
      <c r="G224" s="91">
        <f t="shared" si="10"/>
        <v>1.837</v>
      </c>
      <c r="H224" s="91">
        <f t="shared" si="10"/>
        <v>1.837</v>
      </c>
      <c r="I224" s="39"/>
    </row>
    <row r="225" spans="2:9" x14ac:dyDescent="0.25">
      <c r="C225" s="3" t="s">
        <v>339</v>
      </c>
      <c r="D225" s="91">
        <f t="shared" si="10"/>
        <v>1</v>
      </c>
      <c r="E225" s="91">
        <f t="shared" si="10"/>
        <v>2.6179999999999999</v>
      </c>
      <c r="F225" s="91">
        <f t="shared" si="10"/>
        <v>2.6179999999999999</v>
      </c>
      <c r="G225" s="91">
        <f t="shared" si="10"/>
        <v>2.6179999999999999</v>
      </c>
      <c r="H225" s="91">
        <f t="shared" si="10"/>
        <v>2.6179999999999999</v>
      </c>
      <c r="I225" s="39"/>
    </row>
    <row r="226" spans="2:9" x14ac:dyDescent="0.25">
      <c r="C226" s="3" t="s">
        <v>340</v>
      </c>
      <c r="D226" s="91">
        <f t="shared" si="10"/>
        <v>1</v>
      </c>
      <c r="E226" s="91">
        <f t="shared" si="10"/>
        <v>6.963000000000001</v>
      </c>
      <c r="F226" s="91">
        <f t="shared" si="10"/>
        <v>6.963000000000001</v>
      </c>
      <c r="G226" s="91">
        <f t="shared" si="10"/>
        <v>6.963000000000001</v>
      </c>
      <c r="H226" s="91">
        <f t="shared" si="10"/>
        <v>6.963000000000001</v>
      </c>
      <c r="I226" s="39"/>
    </row>
    <row r="227" spans="2:9" x14ac:dyDescent="0.25">
      <c r="B227" s="8" t="s">
        <v>106</v>
      </c>
      <c r="C227" s="3" t="s">
        <v>9</v>
      </c>
      <c r="D227" s="91">
        <f t="shared" si="10"/>
        <v>1</v>
      </c>
      <c r="E227" s="91">
        <f t="shared" si="10"/>
        <v>1</v>
      </c>
      <c r="F227" s="91">
        <f t="shared" si="10"/>
        <v>1</v>
      </c>
      <c r="G227" s="91">
        <f t="shared" si="10"/>
        <v>1</v>
      </c>
      <c r="H227" s="91">
        <f t="shared" si="10"/>
        <v>1</v>
      </c>
      <c r="I227" s="39"/>
    </row>
    <row r="228" spans="2:9" x14ac:dyDescent="0.25">
      <c r="C228" s="3" t="s">
        <v>338</v>
      </c>
      <c r="D228" s="91">
        <f t="shared" si="10"/>
        <v>1</v>
      </c>
      <c r="E228" s="91">
        <f t="shared" si="10"/>
        <v>1.7050000000000003</v>
      </c>
      <c r="F228" s="91">
        <f t="shared" si="10"/>
        <v>1.7050000000000003</v>
      </c>
      <c r="G228" s="91">
        <f t="shared" si="10"/>
        <v>1.7050000000000003</v>
      </c>
      <c r="H228" s="91">
        <f t="shared" si="10"/>
        <v>1.7050000000000003</v>
      </c>
      <c r="I228" s="39"/>
    </row>
    <row r="229" spans="2:9" x14ac:dyDescent="0.25">
      <c r="C229" s="3" t="s">
        <v>339</v>
      </c>
      <c r="D229" s="91">
        <f t="shared" si="10"/>
        <v>1</v>
      </c>
      <c r="E229" s="91">
        <f t="shared" si="10"/>
        <v>2.3980000000000006</v>
      </c>
      <c r="F229" s="91">
        <f t="shared" si="10"/>
        <v>2.3980000000000006</v>
      </c>
      <c r="G229" s="91">
        <f t="shared" si="10"/>
        <v>2.3980000000000006</v>
      </c>
      <c r="H229" s="91">
        <f t="shared" si="10"/>
        <v>2.3980000000000006</v>
      </c>
      <c r="I229" s="39"/>
    </row>
    <row r="230" spans="2:9" x14ac:dyDescent="0.25">
      <c r="C230" s="3" t="s">
        <v>340</v>
      </c>
      <c r="D230" s="91">
        <f t="shared" si="10"/>
        <v>1</v>
      </c>
      <c r="E230" s="91">
        <f t="shared" si="10"/>
        <v>7.0289999999999999</v>
      </c>
      <c r="F230" s="91">
        <f t="shared" si="10"/>
        <v>7.0289999999999999</v>
      </c>
      <c r="G230" s="91">
        <f t="shared" si="10"/>
        <v>7.0289999999999999</v>
      </c>
      <c r="H230" s="91">
        <f t="shared" si="10"/>
        <v>7.0289999999999999</v>
      </c>
      <c r="I230" s="39"/>
    </row>
    <row r="231" spans="2:9" x14ac:dyDescent="0.25">
      <c r="B231" s="8" t="s">
        <v>108</v>
      </c>
      <c r="C231" s="3" t="s">
        <v>9</v>
      </c>
      <c r="D231" s="91">
        <f t="shared" si="10"/>
        <v>1</v>
      </c>
      <c r="E231" s="91">
        <f t="shared" si="10"/>
        <v>1</v>
      </c>
      <c r="F231" s="91">
        <f t="shared" si="10"/>
        <v>1</v>
      </c>
      <c r="G231" s="91">
        <f t="shared" si="10"/>
        <v>1</v>
      </c>
      <c r="H231" s="91">
        <f t="shared" si="10"/>
        <v>1</v>
      </c>
      <c r="I231" s="39"/>
    </row>
    <row r="232" spans="2:9" x14ac:dyDescent="0.25">
      <c r="C232" s="3" t="s">
        <v>338</v>
      </c>
      <c r="D232" s="91">
        <f t="shared" si="10"/>
        <v>1</v>
      </c>
      <c r="E232" s="91">
        <f t="shared" si="10"/>
        <v>1</v>
      </c>
      <c r="F232" s="91">
        <f t="shared" si="10"/>
        <v>1</v>
      </c>
      <c r="G232" s="91">
        <f t="shared" si="10"/>
        <v>1</v>
      </c>
      <c r="H232" s="91">
        <f t="shared" si="10"/>
        <v>1</v>
      </c>
      <c r="I232" s="39"/>
    </row>
    <row r="233" spans="2:9" x14ac:dyDescent="0.25">
      <c r="C233" s="3" t="s">
        <v>339</v>
      </c>
      <c r="D233" s="91">
        <f t="shared" ref="D233:H242" si="11">IF(D13=1,1,D13*1.1)</f>
        <v>1</v>
      </c>
      <c r="E233" s="91">
        <f t="shared" si="11"/>
        <v>3.0690000000000004</v>
      </c>
      <c r="F233" s="91">
        <f t="shared" si="11"/>
        <v>3.0690000000000004</v>
      </c>
      <c r="G233" s="91">
        <f t="shared" si="11"/>
        <v>3.0690000000000004</v>
      </c>
      <c r="H233" s="91">
        <f t="shared" si="11"/>
        <v>3.0690000000000004</v>
      </c>
      <c r="I233" s="39"/>
    </row>
    <row r="234" spans="2:9" x14ac:dyDescent="0.25">
      <c r="C234" s="3" t="s">
        <v>340</v>
      </c>
      <c r="D234" s="91">
        <f t="shared" si="11"/>
        <v>1</v>
      </c>
      <c r="E234" s="91">
        <f t="shared" si="11"/>
        <v>6.6110000000000007</v>
      </c>
      <c r="F234" s="91">
        <f t="shared" si="11"/>
        <v>6.6110000000000007</v>
      </c>
      <c r="G234" s="91">
        <f t="shared" si="11"/>
        <v>6.6110000000000007</v>
      </c>
      <c r="H234" s="91">
        <f t="shared" si="11"/>
        <v>6.6110000000000007</v>
      </c>
      <c r="I234" s="39"/>
    </row>
    <row r="235" spans="2:9" x14ac:dyDescent="0.25">
      <c r="B235" s="8" t="s">
        <v>109</v>
      </c>
      <c r="C235" s="3" t="s">
        <v>9</v>
      </c>
      <c r="D235" s="91">
        <f t="shared" si="11"/>
        <v>1</v>
      </c>
      <c r="E235" s="91">
        <f t="shared" si="11"/>
        <v>1</v>
      </c>
      <c r="F235" s="91">
        <f t="shared" si="11"/>
        <v>1</v>
      </c>
      <c r="G235" s="91">
        <f t="shared" si="11"/>
        <v>1</v>
      </c>
      <c r="H235" s="91">
        <f t="shared" si="11"/>
        <v>1</v>
      </c>
      <c r="I235" s="39"/>
    </row>
    <row r="236" spans="2:9" x14ac:dyDescent="0.25">
      <c r="C236" s="3" t="s">
        <v>338</v>
      </c>
      <c r="D236" s="91">
        <f t="shared" si="11"/>
        <v>1</v>
      </c>
      <c r="E236" s="91">
        <f t="shared" si="11"/>
        <v>1</v>
      </c>
      <c r="F236" s="91">
        <f t="shared" si="11"/>
        <v>1</v>
      </c>
      <c r="G236" s="91">
        <f t="shared" si="11"/>
        <v>1</v>
      </c>
      <c r="H236" s="91">
        <f t="shared" si="11"/>
        <v>1</v>
      </c>
      <c r="I236" s="39"/>
    </row>
    <row r="237" spans="2:9" x14ac:dyDescent="0.25">
      <c r="C237" s="3" t="s">
        <v>339</v>
      </c>
      <c r="D237" s="91">
        <f t="shared" si="11"/>
        <v>1</v>
      </c>
      <c r="E237" s="91">
        <f t="shared" si="11"/>
        <v>1</v>
      </c>
      <c r="F237" s="91">
        <f t="shared" si="11"/>
        <v>1</v>
      </c>
      <c r="G237" s="91">
        <f t="shared" si="11"/>
        <v>1</v>
      </c>
      <c r="H237" s="91">
        <f t="shared" si="11"/>
        <v>1</v>
      </c>
      <c r="I237" s="39"/>
    </row>
    <row r="238" spans="2:9" x14ac:dyDescent="0.25">
      <c r="C238" s="3" t="s">
        <v>340</v>
      </c>
      <c r="D238" s="91">
        <f t="shared" si="11"/>
        <v>1</v>
      </c>
      <c r="E238" s="91">
        <f t="shared" si="11"/>
        <v>1</v>
      </c>
      <c r="F238" s="91">
        <f t="shared" si="11"/>
        <v>1</v>
      </c>
      <c r="G238" s="91">
        <f t="shared" si="11"/>
        <v>1</v>
      </c>
      <c r="H238" s="91">
        <f t="shared" si="11"/>
        <v>1</v>
      </c>
      <c r="I238" s="39"/>
    </row>
    <row r="239" spans="2:9" x14ac:dyDescent="0.25">
      <c r="B239" s="8" t="s">
        <v>107</v>
      </c>
      <c r="C239" s="3" t="s">
        <v>9</v>
      </c>
      <c r="D239" s="91">
        <f t="shared" si="11"/>
        <v>1</v>
      </c>
      <c r="E239" s="91">
        <f t="shared" si="11"/>
        <v>1</v>
      </c>
      <c r="F239" s="91">
        <f t="shared" si="11"/>
        <v>1</v>
      </c>
      <c r="G239" s="91">
        <f t="shared" si="11"/>
        <v>1</v>
      </c>
      <c r="H239" s="91">
        <f t="shared" si="11"/>
        <v>1</v>
      </c>
      <c r="I239" s="39"/>
    </row>
    <row r="240" spans="2:9" x14ac:dyDescent="0.25">
      <c r="C240" s="3" t="s">
        <v>338</v>
      </c>
      <c r="D240" s="91">
        <f t="shared" si="11"/>
        <v>1</v>
      </c>
      <c r="E240" s="91">
        <f t="shared" si="11"/>
        <v>1</v>
      </c>
      <c r="F240" s="91">
        <f t="shared" si="11"/>
        <v>1</v>
      </c>
      <c r="G240" s="91">
        <f t="shared" si="11"/>
        <v>1</v>
      </c>
      <c r="H240" s="91">
        <f t="shared" si="11"/>
        <v>1</v>
      </c>
      <c r="I240" s="39"/>
    </row>
    <row r="241" spans="1:9" x14ac:dyDescent="0.25">
      <c r="C241" s="3" t="s">
        <v>339</v>
      </c>
      <c r="D241" s="91">
        <f t="shared" si="11"/>
        <v>1</v>
      </c>
      <c r="E241" s="91">
        <f t="shared" si="11"/>
        <v>2.0460000000000003</v>
      </c>
      <c r="F241" s="91">
        <f t="shared" si="11"/>
        <v>2.0460000000000003</v>
      </c>
      <c r="G241" s="91">
        <f t="shared" si="11"/>
        <v>2.0460000000000003</v>
      </c>
      <c r="H241" s="91">
        <f t="shared" si="11"/>
        <v>2.0460000000000003</v>
      </c>
      <c r="I241" s="39"/>
    </row>
    <row r="242" spans="1:9" x14ac:dyDescent="0.25">
      <c r="C242" s="3" t="s">
        <v>340</v>
      </c>
      <c r="D242" s="91">
        <f t="shared" si="11"/>
        <v>1</v>
      </c>
      <c r="E242" s="91">
        <f t="shared" si="11"/>
        <v>3.3109999999999999</v>
      </c>
      <c r="F242" s="91">
        <f t="shared" si="11"/>
        <v>3.3109999999999999</v>
      </c>
      <c r="G242" s="91">
        <f t="shared" si="11"/>
        <v>3.3109999999999999</v>
      </c>
      <c r="H242" s="91">
        <f t="shared" si="11"/>
        <v>3.3109999999999999</v>
      </c>
      <c r="I242" s="39"/>
    </row>
    <row r="243" spans="1:9" x14ac:dyDescent="0.25">
      <c r="B243" s="8" t="s">
        <v>113</v>
      </c>
      <c r="C243" s="3" t="s">
        <v>9</v>
      </c>
      <c r="D243" s="91">
        <f t="shared" ref="D243:H246" si="12">IF(D23=1,1,D23*1.1)</f>
        <v>1</v>
      </c>
      <c r="E243" s="91">
        <f t="shared" si="12"/>
        <v>1</v>
      </c>
      <c r="F243" s="91">
        <f t="shared" si="12"/>
        <v>1</v>
      </c>
      <c r="G243" s="91">
        <f t="shared" si="12"/>
        <v>1</v>
      </c>
      <c r="H243" s="91">
        <f t="shared" si="12"/>
        <v>1</v>
      </c>
      <c r="I243" s="39"/>
    </row>
    <row r="244" spans="1:9" x14ac:dyDescent="0.25">
      <c r="C244" s="3" t="s">
        <v>338</v>
      </c>
      <c r="D244" s="91">
        <f t="shared" si="12"/>
        <v>1</v>
      </c>
      <c r="E244" s="91">
        <f t="shared" si="12"/>
        <v>1</v>
      </c>
      <c r="F244" s="91">
        <f t="shared" si="12"/>
        <v>1</v>
      </c>
      <c r="G244" s="91">
        <f t="shared" si="12"/>
        <v>1</v>
      </c>
      <c r="H244" s="91">
        <f t="shared" si="12"/>
        <v>1</v>
      </c>
      <c r="I244" s="39"/>
    </row>
    <row r="245" spans="1:9" x14ac:dyDescent="0.25">
      <c r="C245" s="3" t="s">
        <v>339</v>
      </c>
      <c r="D245" s="91">
        <f t="shared" si="12"/>
        <v>1</v>
      </c>
      <c r="E245" s="91">
        <f t="shared" si="12"/>
        <v>2.0460000000000003</v>
      </c>
      <c r="F245" s="91">
        <f t="shared" si="12"/>
        <v>2.0460000000000003</v>
      </c>
      <c r="G245" s="91">
        <f t="shared" si="12"/>
        <v>2.0460000000000003</v>
      </c>
      <c r="H245" s="91">
        <f t="shared" si="12"/>
        <v>2.0460000000000003</v>
      </c>
      <c r="I245" s="39"/>
    </row>
    <row r="246" spans="1:9" x14ac:dyDescent="0.25">
      <c r="C246" s="3" t="s">
        <v>340</v>
      </c>
      <c r="D246" s="91">
        <f t="shared" si="12"/>
        <v>1</v>
      </c>
      <c r="E246" s="91">
        <f t="shared" si="12"/>
        <v>3.3109999999999999</v>
      </c>
      <c r="F246" s="91">
        <f t="shared" si="12"/>
        <v>3.3109999999999999</v>
      </c>
      <c r="G246" s="91">
        <f t="shared" si="12"/>
        <v>3.3109999999999999</v>
      </c>
      <c r="H246" s="91">
        <f t="shared" si="12"/>
        <v>3.3109999999999999</v>
      </c>
      <c r="I246" s="39"/>
    </row>
    <row r="248" spans="1:9" ht="13" x14ac:dyDescent="0.3">
      <c r="A248" s="67" t="s">
        <v>349</v>
      </c>
      <c r="B248" s="68"/>
      <c r="C248" s="68"/>
      <c r="D248" s="68"/>
      <c r="E248" s="68"/>
      <c r="F248" s="68"/>
      <c r="G248" s="68"/>
      <c r="H248" s="68"/>
      <c r="I248" s="68"/>
    </row>
    <row r="249" spans="1:9" ht="13" x14ac:dyDescent="0.3">
      <c r="A249" s="39" t="s">
        <v>283</v>
      </c>
      <c r="B249" s="4" t="s">
        <v>336</v>
      </c>
      <c r="C249" s="4" t="s">
        <v>341</v>
      </c>
      <c r="D249" s="70" t="s">
        <v>127</v>
      </c>
      <c r="E249" s="70" t="s">
        <v>114</v>
      </c>
      <c r="F249" s="70" t="s">
        <v>115</v>
      </c>
      <c r="G249" s="70" t="s">
        <v>116</v>
      </c>
      <c r="H249" s="70" t="s">
        <v>117</v>
      </c>
      <c r="I249" s="79"/>
    </row>
    <row r="250" spans="1:9" ht="13" x14ac:dyDescent="0.3">
      <c r="A250" s="4"/>
      <c r="B250" s="8" t="s">
        <v>105</v>
      </c>
      <c r="C250" s="3" t="s">
        <v>9</v>
      </c>
      <c r="D250" s="91">
        <f t="shared" ref="D250:H259" si="13">IF(D30=1,1,D30*1.1)</f>
        <v>1</v>
      </c>
      <c r="E250" s="91">
        <f t="shared" si="13"/>
        <v>1</v>
      </c>
      <c r="F250" s="91">
        <f t="shared" si="13"/>
        <v>1</v>
      </c>
      <c r="G250" s="91">
        <f t="shared" si="13"/>
        <v>1</v>
      </c>
      <c r="H250" s="91">
        <f t="shared" si="13"/>
        <v>1</v>
      </c>
      <c r="I250" s="80"/>
    </row>
    <row r="251" spans="1:9" x14ac:dyDescent="0.25">
      <c r="C251" s="3" t="s">
        <v>338</v>
      </c>
      <c r="D251" s="91">
        <f t="shared" si="13"/>
        <v>1</v>
      </c>
      <c r="E251" s="91">
        <f t="shared" si="13"/>
        <v>1.7600000000000002</v>
      </c>
      <c r="F251" s="91">
        <f t="shared" si="13"/>
        <v>1.7600000000000002</v>
      </c>
      <c r="G251" s="91">
        <f t="shared" si="13"/>
        <v>1.7600000000000002</v>
      </c>
      <c r="H251" s="91">
        <f t="shared" si="13"/>
        <v>1.7600000000000002</v>
      </c>
      <c r="I251" s="39"/>
    </row>
    <row r="252" spans="1:9" x14ac:dyDescent="0.25">
      <c r="C252" s="3" t="s">
        <v>238</v>
      </c>
      <c r="D252" s="91">
        <f t="shared" si="13"/>
        <v>1</v>
      </c>
      <c r="E252" s="91">
        <f t="shared" si="13"/>
        <v>3.7510000000000003</v>
      </c>
      <c r="F252" s="91">
        <f t="shared" si="13"/>
        <v>3.7510000000000003</v>
      </c>
      <c r="G252" s="91">
        <f t="shared" si="13"/>
        <v>3.7510000000000003</v>
      </c>
      <c r="H252" s="91">
        <f t="shared" si="13"/>
        <v>3.7510000000000003</v>
      </c>
      <c r="I252" s="39"/>
    </row>
    <row r="253" spans="1:9" x14ac:dyDescent="0.25">
      <c r="C253" s="3" t="s">
        <v>237</v>
      </c>
      <c r="D253" s="91">
        <f t="shared" si="13"/>
        <v>1</v>
      </c>
      <c r="E253" s="91">
        <f t="shared" si="13"/>
        <v>13.563000000000001</v>
      </c>
      <c r="F253" s="91">
        <f t="shared" si="13"/>
        <v>13.563000000000001</v>
      </c>
      <c r="G253" s="91">
        <f t="shared" si="13"/>
        <v>13.563000000000001</v>
      </c>
      <c r="H253" s="91">
        <f t="shared" si="13"/>
        <v>13.563000000000001</v>
      </c>
      <c r="I253" s="39"/>
    </row>
    <row r="254" spans="1:9" x14ac:dyDescent="0.25">
      <c r="B254" s="8" t="s">
        <v>106</v>
      </c>
      <c r="C254" s="3" t="s">
        <v>9</v>
      </c>
      <c r="D254" s="91">
        <f t="shared" si="13"/>
        <v>1</v>
      </c>
      <c r="E254" s="91">
        <f t="shared" si="13"/>
        <v>1</v>
      </c>
      <c r="F254" s="91">
        <f t="shared" si="13"/>
        <v>1</v>
      </c>
      <c r="G254" s="91">
        <f t="shared" si="13"/>
        <v>1</v>
      </c>
      <c r="H254" s="91">
        <f t="shared" si="13"/>
        <v>1</v>
      </c>
      <c r="I254" s="39"/>
    </row>
    <row r="255" spans="1:9" x14ac:dyDescent="0.25">
      <c r="C255" s="3" t="s">
        <v>338</v>
      </c>
      <c r="D255" s="91">
        <f t="shared" si="13"/>
        <v>1</v>
      </c>
      <c r="E255" s="91">
        <f t="shared" si="13"/>
        <v>2.1120000000000001</v>
      </c>
      <c r="F255" s="91">
        <f t="shared" si="13"/>
        <v>2.1120000000000001</v>
      </c>
      <c r="G255" s="91">
        <f t="shared" si="13"/>
        <v>2.1120000000000001</v>
      </c>
      <c r="H255" s="91">
        <f t="shared" si="13"/>
        <v>2.1120000000000001</v>
      </c>
      <c r="I255" s="39"/>
    </row>
    <row r="256" spans="1:9" x14ac:dyDescent="0.25">
      <c r="C256" s="3" t="s">
        <v>238</v>
      </c>
      <c r="D256" s="91">
        <f t="shared" si="13"/>
        <v>1</v>
      </c>
      <c r="E256" s="91">
        <f t="shared" si="13"/>
        <v>5.1260000000000003</v>
      </c>
      <c r="F256" s="91">
        <f t="shared" si="13"/>
        <v>5.1260000000000003</v>
      </c>
      <c r="G256" s="91">
        <f t="shared" si="13"/>
        <v>5.1260000000000003</v>
      </c>
      <c r="H256" s="91">
        <f t="shared" si="13"/>
        <v>5.1260000000000003</v>
      </c>
      <c r="I256" s="39"/>
    </row>
    <row r="257" spans="2:9" x14ac:dyDescent="0.25">
      <c r="C257" s="3" t="s">
        <v>237</v>
      </c>
      <c r="D257" s="91">
        <f t="shared" si="13"/>
        <v>1</v>
      </c>
      <c r="E257" s="91">
        <f t="shared" si="13"/>
        <v>10.648</v>
      </c>
      <c r="F257" s="91">
        <f t="shared" si="13"/>
        <v>10.648</v>
      </c>
      <c r="G257" s="91">
        <f t="shared" si="13"/>
        <v>10.648</v>
      </c>
      <c r="H257" s="91">
        <f t="shared" si="13"/>
        <v>10.648</v>
      </c>
      <c r="I257" s="39"/>
    </row>
    <row r="258" spans="2:9" x14ac:dyDescent="0.25">
      <c r="B258" s="8" t="s">
        <v>108</v>
      </c>
      <c r="C258" s="3" t="s">
        <v>9</v>
      </c>
      <c r="D258" s="91">
        <f t="shared" si="13"/>
        <v>1</v>
      </c>
      <c r="E258" s="91">
        <f t="shared" si="13"/>
        <v>1</v>
      </c>
      <c r="F258" s="91">
        <f t="shared" si="13"/>
        <v>1</v>
      </c>
      <c r="G258" s="91">
        <f t="shared" si="13"/>
        <v>1</v>
      </c>
      <c r="H258" s="91">
        <f t="shared" si="13"/>
        <v>1</v>
      </c>
      <c r="I258" s="39"/>
    </row>
    <row r="259" spans="2:9" x14ac:dyDescent="0.25">
      <c r="C259" s="3" t="s">
        <v>338</v>
      </c>
      <c r="D259" s="91">
        <f t="shared" si="13"/>
        <v>1</v>
      </c>
      <c r="E259" s="91">
        <f t="shared" si="13"/>
        <v>1</v>
      </c>
      <c r="F259" s="91">
        <f t="shared" si="13"/>
        <v>1</v>
      </c>
      <c r="G259" s="91">
        <f t="shared" si="13"/>
        <v>1</v>
      </c>
      <c r="H259" s="91">
        <f t="shared" si="13"/>
        <v>1</v>
      </c>
      <c r="I259" s="39"/>
    </row>
    <row r="260" spans="2:9" x14ac:dyDescent="0.25">
      <c r="C260" s="3" t="s">
        <v>238</v>
      </c>
      <c r="D260" s="91">
        <f t="shared" ref="D260:H269" si="14">IF(D40=1,1,D40*1.1)</f>
        <v>1</v>
      </c>
      <c r="E260" s="91">
        <f t="shared" si="14"/>
        <v>2.8380000000000005</v>
      </c>
      <c r="F260" s="91">
        <f t="shared" si="14"/>
        <v>2.8380000000000005</v>
      </c>
      <c r="G260" s="91">
        <f t="shared" si="14"/>
        <v>2.8380000000000005</v>
      </c>
      <c r="H260" s="91">
        <f t="shared" si="14"/>
        <v>2.8380000000000005</v>
      </c>
      <c r="I260" s="39"/>
    </row>
    <row r="261" spans="2:9" x14ac:dyDescent="0.25">
      <c r="C261" s="3" t="s">
        <v>237</v>
      </c>
      <c r="D261" s="91">
        <f t="shared" si="14"/>
        <v>1</v>
      </c>
      <c r="E261" s="91">
        <f t="shared" si="14"/>
        <v>10.593000000000002</v>
      </c>
      <c r="F261" s="91">
        <f t="shared" si="14"/>
        <v>10.593000000000002</v>
      </c>
      <c r="G261" s="91">
        <f t="shared" si="14"/>
        <v>10.593000000000002</v>
      </c>
      <c r="H261" s="91">
        <f t="shared" si="14"/>
        <v>10.593000000000002</v>
      </c>
      <c r="I261" s="39"/>
    </row>
    <row r="262" spans="2:9" x14ac:dyDescent="0.25">
      <c r="B262" s="8" t="s">
        <v>109</v>
      </c>
      <c r="C262" s="3" t="s">
        <v>9</v>
      </c>
      <c r="D262" s="91">
        <f t="shared" si="14"/>
        <v>1</v>
      </c>
      <c r="E262" s="91">
        <f t="shared" si="14"/>
        <v>1</v>
      </c>
      <c r="F262" s="91">
        <f t="shared" si="14"/>
        <v>1</v>
      </c>
      <c r="G262" s="91">
        <f t="shared" si="14"/>
        <v>1</v>
      </c>
      <c r="H262" s="91">
        <f t="shared" si="14"/>
        <v>1</v>
      </c>
      <c r="I262" s="39"/>
    </row>
    <row r="263" spans="2:9" x14ac:dyDescent="0.25">
      <c r="C263" s="3" t="s">
        <v>338</v>
      </c>
      <c r="D263" s="91">
        <f t="shared" si="14"/>
        <v>1</v>
      </c>
      <c r="E263" s="91">
        <f t="shared" si="14"/>
        <v>1</v>
      </c>
      <c r="F263" s="91">
        <f t="shared" si="14"/>
        <v>1</v>
      </c>
      <c r="G263" s="91">
        <f t="shared" si="14"/>
        <v>1</v>
      </c>
      <c r="H263" s="91">
        <f t="shared" si="14"/>
        <v>1</v>
      </c>
      <c r="I263" s="39"/>
    </row>
    <row r="264" spans="2:9" x14ac:dyDescent="0.25">
      <c r="C264" s="3" t="s">
        <v>238</v>
      </c>
      <c r="D264" s="91">
        <f t="shared" si="14"/>
        <v>1</v>
      </c>
      <c r="E264" s="91">
        <f t="shared" si="14"/>
        <v>1</v>
      </c>
      <c r="F264" s="91">
        <f t="shared" si="14"/>
        <v>1</v>
      </c>
      <c r="G264" s="91">
        <f t="shared" si="14"/>
        <v>1</v>
      </c>
      <c r="H264" s="91">
        <f t="shared" si="14"/>
        <v>1</v>
      </c>
      <c r="I264" s="39"/>
    </row>
    <row r="265" spans="2:9" x14ac:dyDescent="0.25">
      <c r="C265" s="3" t="s">
        <v>237</v>
      </c>
      <c r="D265" s="91">
        <f t="shared" si="14"/>
        <v>1</v>
      </c>
      <c r="E265" s="91">
        <f t="shared" si="14"/>
        <v>1</v>
      </c>
      <c r="F265" s="91">
        <f t="shared" si="14"/>
        <v>1</v>
      </c>
      <c r="G265" s="91">
        <f t="shared" si="14"/>
        <v>1</v>
      </c>
      <c r="H265" s="91">
        <f t="shared" si="14"/>
        <v>1</v>
      </c>
      <c r="I265" s="39"/>
    </row>
    <row r="266" spans="2:9" x14ac:dyDescent="0.25">
      <c r="B266" s="8" t="s">
        <v>107</v>
      </c>
      <c r="C266" s="3" t="s">
        <v>9</v>
      </c>
      <c r="D266" s="91">
        <f t="shared" si="14"/>
        <v>1</v>
      </c>
      <c r="E266" s="91">
        <f t="shared" si="14"/>
        <v>1</v>
      </c>
      <c r="F266" s="91">
        <f t="shared" si="14"/>
        <v>1</v>
      </c>
      <c r="G266" s="91">
        <f t="shared" si="14"/>
        <v>1</v>
      </c>
      <c r="H266" s="91">
        <f t="shared" si="14"/>
        <v>1</v>
      </c>
      <c r="I266" s="39"/>
    </row>
    <row r="267" spans="2:9" x14ac:dyDescent="0.25">
      <c r="C267" s="3" t="s">
        <v>338</v>
      </c>
      <c r="D267" s="91">
        <f t="shared" si="14"/>
        <v>1</v>
      </c>
      <c r="E267" s="91">
        <f t="shared" si="14"/>
        <v>1.8149999999999999</v>
      </c>
      <c r="F267" s="91">
        <f t="shared" si="14"/>
        <v>1.8149999999999999</v>
      </c>
      <c r="G267" s="91">
        <f t="shared" si="14"/>
        <v>1.8149999999999999</v>
      </c>
      <c r="H267" s="91">
        <f t="shared" si="14"/>
        <v>1.8149999999999999</v>
      </c>
      <c r="I267" s="39"/>
    </row>
    <row r="268" spans="2:9" x14ac:dyDescent="0.25">
      <c r="C268" s="3" t="s">
        <v>238</v>
      </c>
      <c r="D268" s="91">
        <f t="shared" si="14"/>
        <v>1</v>
      </c>
      <c r="E268" s="91">
        <f t="shared" si="14"/>
        <v>3.0030000000000001</v>
      </c>
      <c r="F268" s="91">
        <f t="shared" si="14"/>
        <v>3.0030000000000001</v>
      </c>
      <c r="G268" s="91">
        <f t="shared" si="14"/>
        <v>3.0030000000000001</v>
      </c>
      <c r="H268" s="91">
        <f t="shared" si="14"/>
        <v>3.0030000000000001</v>
      </c>
      <c r="I268" s="39"/>
    </row>
    <row r="269" spans="2:9" x14ac:dyDescent="0.25">
      <c r="C269" s="3" t="s">
        <v>237</v>
      </c>
      <c r="D269" s="91">
        <f t="shared" si="14"/>
        <v>1</v>
      </c>
      <c r="E269" s="91">
        <f t="shared" si="14"/>
        <v>12.331000000000001</v>
      </c>
      <c r="F269" s="91">
        <f t="shared" si="14"/>
        <v>12.331000000000001</v>
      </c>
      <c r="G269" s="91">
        <f t="shared" si="14"/>
        <v>12.331000000000001</v>
      </c>
      <c r="H269" s="91">
        <f t="shared" si="14"/>
        <v>12.331000000000001</v>
      </c>
      <c r="I269" s="39"/>
    </row>
    <row r="270" spans="2:9" x14ac:dyDescent="0.25">
      <c r="B270" s="8" t="s">
        <v>113</v>
      </c>
      <c r="C270" s="3" t="s">
        <v>9</v>
      </c>
      <c r="D270" s="91">
        <f t="shared" ref="D270:H273" si="15">IF(D50=1,1,D50*1.1)</f>
        <v>1</v>
      </c>
      <c r="E270" s="91">
        <f t="shared" si="15"/>
        <v>1</v>
      </c>
      <c r="F270" s="91">
        <f t="shared" si="15"/>
        <v>1</v>
      </c>
      <c r="G270" s="91">
        <f t="shared" si="15"/>
        <v>1</v>
      </c>
      <c r="H270" s="91">
        <f t="shared" si="15"/>
        <v>1</v>
      </c>
      <c r="I270" s="39"/>
    </row>
    <row r="271" spans="2:9" x14ac:dyDescent="0.25">
      <c r="C271" s="3" t="s">
        <v>338</v>
      </c>
      <c r="D271" s="91">
        <f t="shared" si="15"/>
        <v>1</v>
      </c>
      <c r="E271" s="91">
        <f t="shared" si="15"/>
        <v>1.8149999999999999</v>
      </c>
      <c r="F271" s="91">
        <f t="shared" si="15"/>
        <v>1.8149999999999999</v>
      </c>
      <c r="G271" s="91">
        <f t="shared" si="15"/>
        <v>1.8149999999999999</v>
      </c>
      <c r="H271" s="91">
        <f t="shared" si="15"/>
        <v>1.8149999999999999</v>
      </c>
      <c r="I271" s="39"/>
    </row>
    <row r="272" spans="2:9" x14ac:dyDescent="0.25">
      <c r="C272" s="3" t="s">
        <v>238</v>
      </c>
      <c r="D272" s="91">
        <f t="shared" si="15"/>
        <v>1</v>
      </c>
      <c r="E272" s="91">
        <f t="shared" si="15"/>
        <v>3.0030000000000001</v>
      </c>
      <c r="F272" s="91">
        <f t="shared" si="15"/>
        <v>3.0030000000000001</v>
      </c>
      <c r="G272" s="91">
        <f t="shared" si="15"/>
        <v>3.0030000000000001</v>
      </c>
      <c r="H272" s="91">
        <f t="shared" si="15"/>
        <v>3.0030000000000001</v>
      </c>
      <c r="I272" s="39"/>
    </row>
    <row r="273" spans="1:9" x14ac:dyDescent="0.25">
      <c r="C273" s="3" t="s">
        <v>237</v>
      </c>
      <c r="D273" s="91">
        <f t="shared" si="15"/>
        <v>1</v>
      </c>
      <c r="E273" s="91">
        <f t="shared" si="15"/>
        <v>12.331000000000001</v>
      </c>
      <c r="F273" s="91">
        <f t="shared" si="15"/>
        <v>12.331000000000001</v>
      </c>
      <c r="G273" s="91">
        <f t="shared" si="15"/>
        <v>12.331000000000001</v>
      </c>
      <c r="H273" s="91">
        <f t="shared" si="15"/>
        <v>12.331000000000001</v>
      </c>
      <c r="I273" s="39"/>
    </row>
    <row r="274" spans="1:9" x14ac:dyDescent="0.25">
      <c r="C274" s="3"/>
      <c r="D274" s="3"/>
    </row>
    <row r="275" spans="1:9" ht="13" x14ac:dyDescent="0.3">
      <c r="A275" s="67" t="s">
        <v>342</v>
      </c>
      <c r="B275" s="68"/>
      <c r="C275" s="68"/>
      <c r="D275" s="68"/>
      <c r="E275" s="68"/>
      <c r="F275" s="68"/>
      <c r="G275" s="68"/>
      <c r="H275" s="68"/>
      <c r="I275" s="68"/>
    </row>
    <row r="276" spans="1:9" ht="26.4" customHeight="1" x14ac:dyDescent="0.3">
      <c r="A276" s="39" t="s">
        <v>139</v>
      </c>
      <c r="B276" s="4" t="s">
        <v>336</v>
      </c>
      <c r="C276" s="69" t="s">
        <v>343</v>
      </c>
      <c r="D276" s="70" t="s">
        <v>140</v>
      </c>
      <c r="E276" s="70" t="s">
        <v>141</v>
      </c>
      <c r="F276" s="70" t="s">
        <v>142</v>
      </c>
      <c r="G276" s="70" t="s">
        <v>143</v>
      </c>
      <c r="H276" s="79"/>
    </row>
    <row r="277" spans="1:9" ht="13" x14ac:dyDescent="0.3">
      <c r="A277" s="4"/>
      <c r="B277" s="8" t="s">
        <v>119</v>
      </c>
      <c r="C277" s="3" t="s">
        <v>344</v>
      </c>
      <c r="D277" s="91">
        <f t="shared" ref="D277:G282" si="16">IF(D57=1,1,D57*1.1)</f>
        <v>1</v>
      </c>
      <c r="E277" s="91">
        <f t="shared" si="16"/>
        <v>1</v>
      </c>
      <c r="F277" s="91">
        <f t="shared" si="16"/>
        <v>1</v>
      </c>
      <c r="G277" s="91">
        <f t="shared" si="16"/>
        <v>1</v>
      </c>
      <c r="H277" s="39"/>
    </row>
    <row r="278" spans="1:9" x14ac:dyDescent="0.25">
      <c r="C278" s="3" t="s">
        <v>345</v>
      </c>
      <c r="D278" s="91">
        <f t="shared" si="16"/>
        <v>11.742500000000001</v>
      </c>
      <c r="E278" s="91">
        <f t="shared" si="16"/>
        <v>11.742500000000001</v>
      </c>
      <c r="F278" s="91">
        <f t="shared" si="16"/>
        <v>11.742500000000001</v>
      </c>
      <c r="G278" s="91">
        <f t="shared" si="16"/>
        <v>11.742500000000001</v>
      </c>
      <c r="H278" s="39"/>
    </row>
    <row r="279" spans="1:9" x14ac:dyDescent="0.25">
      <c r="B279" s="8" t="s">
        <v>120</v>
      </c>
      <c r="C279" s="3" t="s">
        <v>344</v>
      </c>
      <c r="D279" s="91">
        <f t="shared" si="16"/>
        <v>1</v>
      </c>
      <c r="E279" s="91">
        <f t="shared" si="16"/>
        <v>1</v>
      </c>
      <c r="F279" s="91">
        <f t="shared" si="16"/>
        <v>1</v>
      </c>
      <c r="G279" s="91">
        <f t="shared" si="16"/>
        <v>1</v>
      </c>
      <c r="H279" s="39"/>
    </row>
    <row r="280" spans="1:9" x14ac:dyDescent="0.25">
      <c r="C280" s="3" t="s">
        <v>345</v>
      </c>
      <c r="D280" s="91">
        <f t="shared" si="16"/>
        <v>11.742500000000001</v>
      </c>
      <c r="E280" s="91">
        <f t="shared" si="16"/>
        <v>11.742500000000001</v>
      </c>
      <c r="F280" s="91">
        <f t="shared" si="16"/>
        <v>11.742500000000001</v>
      </c>
      <c r="G280" s="91">
        <f t="shared" si="16"/>
        <v>11.742500000000001</v>
      </c>
      <c r="H280" s="39"/>
    </row>
    <row r="281" spans="1:9" x14ac:dyDescent="0.25">
      <c r="B281" s="8" t="s">
        <v>121</v>
      </c>
      <c r="C281" s="3" t="s">
        <v>344</v>
      </c>
      <c r="D281" s="91">
        <f t="shared" si="16"/>
        <v>1</v>
      </c>
      <c r="E281" s="91">
        <f t="shared" si="16"/>
        <v>1</v>
      </c>
      <c r="F281" s="91">
        <f t="shared" si="16"/>
        <v>1</v>
      </c>
      <c r="G281" s="91">
        <f t="shared" si="16"/>
        <v>1</v>
      </c>
      <c r="H281" s="39"/>
    </row>
    <row r="282" spans="1:9" x14ac:dyDescent="0.25">
      <c r="C282" s="3" t="s">
        <v>345</v>
      </c>
      <c r="D282" s="91">
        <f t="shared" si="16"/>
        <v>11.742500000000001</v>
      </c>
      <c r="E282" s="91">
        <f t="shared" si="16"/>
        <v>11.742500000000001</v>
      </c>
      <c r="F282" s="91">
        <f t="shared" si="16"/>
        <v>11.742500000000001</v>
      </c>
      <c r="G282" s="91">
        <f t="shared" si="16"/>
        <v>11.742500000000001</v>
      </c>
      <c r="H282" s="39"/>
    </row>
    <row r="283" spans="1:9" x14ac:dyDescent="0.25">
      <c r="C283" s="3"/>
      <c r="D283" s="3"/>
    </row>
    <row r="284" spans="1:9" ht="13" x14ac:dyDescent="0.3">
      <c r="A284" s="67" t="s">
        <v>346</v>
      </c>
      <c r="B284" s="68"/>
      <c r="C284" s="68"/>
      <c r="D284" s="68"/>
      <c r="E284" s="68"/>
      <c r="F284" s="68"/>
      <c r="G284" s="68"/>
      <c r="H284" s="68"/>
      <c r="I284" s="68"/>
    </row>
    <row r="285" spans="1:9" ht="26.4" customHeight="1" x14ac:dyDescent="0.3">
      <c r="A285" s="39" t="s">
        <v>146</v>
      </c>
      <c r="B285" s="4" t="s">
        <v>336</v>
      </c>
      <c r="C285" s="69" t="s">
        <v>347</v>
      </c>
      <c r="D285" s="70" t="s">
        <v>127</v>
      </c>
      <c r="E285" s="70" t="s">
        <v>114</v>
      </c>
      <c r="F285" s="70" t="s">
        <v>115</v>
      </c>
      <c r="G285" s="70" t="s">
        <v>116</v>
      </c>
      <c r="H285" s="81" t="s">
        <v>117</v>
      </c>
      <c r="I285" s="79"/>
    </row>
    <row r="286" spans="1:9" ht="13" x14ac:dyDescent="0.3">
      <c r="A286" s="82"/>
      <c r="B286" s="8" t="s">
        <v>96</v>
      </c>
      <c r="C286" s="3" t="s">
        <v>147</v>
      </c>
      <c r="D286" s="91">
        <f t="shared" ref="D286:G305" si="17">IF(D66=1,1,D66*1.1)</f>
        <v>1</v>
      </c>
      <c r="E286" s="91">
        <f t="shared" si="17"/>
        <v>1</v>
      </c>
      <c r="F286" s="91">
        <f t="shared" si="17"/>
        <v>1</v>
      </c>
      <c r="G286" s="91">
        <f t="shared" si="17"/>
        <v>1</v>
      </c>
      <c r="H286" s="39">
        <v>1.05</v>
      </c>
      <c r="I286" s="39"/>
    </row>
    <row r="287" spans="1:9" x14ac:dyDescent="0.25">
      <c r="C287" s="3" t="s">
        <v>148</v>
      </c>
      <c r="D287" s="91">
        <f t="shared" si="17"/>
        <v>1.4850000000000003</v>
      </c>
      <c r="E287" s="91">
        <f t="shared" si="17"/>
        <v>1</v>
      </c>
      <c r="F287" s="91">
        <f t="shared" si="17"/>
        <v>1</v>
      </c>
      <c r="G287" s="91">
        <f t="shared" si="17"/>
        <v>1</v>
      </c>
      <c r="H287" s="39">
        <v>1.05</v>
      </c>
      <c r="I287" s="39"/>
    </row>
    <row r="288" spans="1:9" x14ac:dyDescent="0.25">
      <c r="C288" s="3" t="s">
        <v>149</v>
      </c>
      <c r="D288" s="91">
        <f t="shared" si="17"/>
        <v>1.4850000000000003</v>
      </c>
      <c r="E288" s="91">
        <f t="shared" si="17"/>
        <v>1</v>
      </c>
      <c r="F288" s="91">
        <f t="shared" si="17"/>
        <v>1</v>
      </c>
      <c r="G288" s="91">
        <f t="shared" si="17"/>
        <v>1</v>
      </c>
      <c r="H288" s="39">
        <v>1.05</v>
      </c>
      <c r="I288" s="39"/>
    </row>
    <row r="289" spans="2:9" x14ac:dyDescent="0.25">
      <c r="C289" s="3" t="s">
        <v>150</v>
      </c>
      <c r="D289" s="91">
        <f t="shared" si="17"/>
        <v>5.9400000000000013</v>
      </c>
      <c r="E289" s="91">
        <f t="shared" si="17"/>
        <v>1</v>
      </c>
      <c r="F289" s="91">
        <f t="shared" si="17"/>
        <v>1</v>
      </c>
      <c r="G289" s="91">
        <f t="shared" si="17"/>
        <v>1</v>
      </c>
      <c r="H289" s="39">
        <v>1.05</v>
      </c>
      <c r="I289" s="39"/>
    </row>
    <row r="290" spans="2:9" x14ac:dyDescent="0.25">
      <c r="B290" s="8" t="s">
        <v>97</v>
      </c>
      <c r="C290" s="3" t="s">
        <v>147</v>
      </c>
      <c r="D290" s="91">
        <f t="shared" si="17"/>
        <v>1</v>
      </c>
      <c r="E290" s="91">
        <f t="shared" si="17"/>
        <v>1</v>
      </c>
      <c r="F290" s="91">
        <f t="shared" si="17"/>
        <v>1</v>
      </c>
      <c r="G290" s="91">
        <f t="shared" si="17"/>
        <v>1</v>
      </c>
      <c r="H290" s="39">
        <v>1.05</v>
      </c>
      <c r="I290" s="39"/>
    </row>
    <row r="291" spans="2:9" x14ac:dyDescent="0.25">
      <c r="C291" s="3" t="s">
        <v>148</v>
      </c>
      <c r="D291" s="91">
        <f t="shared" si="17"/>
        <v>1.4850000000000003</v>
      </c>
      <c r="E291" s="91">
        <f t="shared" si="17"/>
        <v>1</v>
      </c>
      <c r="F291" s="91">
        <f t="shared" si="17"/>
        <v>1</v>
      </c>
      <c r="G291" s="91">
        <f t="shared" si="17"/>
        <v>1</v>
      </c>
      <c r="H291" s="39">
        <v>1.05</v>
      </c>
      <c r="I291" s="39"/>
    </row>
    <row r="292" spans="2:9" x14ac:dyDescent="0.25">
      <c r="C292" s="3" t="s">
        <v>149</v>
      </c>
      <c r="D292" s="91">
        <f t="shared" si="17"/>
        <v>1.4850000000000003</v>
      </c>
      <c r="E292" s="91">
        <f t="shared" si="17"/>
        <v>1</v>
      </c>
      <c r="F292" s="91">
        <f t="shared" si="17"/>
        <v>1</v>
      </c>
      <c r="G292" s="91">
        <f t="shared" si="17"/>
        <v>1</v>
      </c>
      <c r="H292" s="39">
        <v>1.05</v>
      </c>
      <c r="I292" s="39"/>
    </row>
    <row r="293" spans="2:9" x14ac:dyDescent="0.25">
      <c r="C293" s="3" t="s">
        <v>150</v>
      </c>
      <c r="D293" s="91">
        <f t="shared" si="17"/>
        <v>5.9400000000000013</v>
      </c>
      <c r="E293" s="91">
        <f t="shared" si="17"/>
        <v>1</v>
      </c>
      <c r="F293" s="91">
        <f t="shared" si="17"/>
        <v>1</v>
      </c>
      <c r="G293" s="91">
        <f t="shared" si="17"/>
        <v>1</v>
      </c>
      <c r="H293" s="39">
        <v>1.05</v>
      </c>
      <c r="I293" s="39"/>
    </row>
    <row r="294" spans="2:9" x14ac:dyDescent="0.25">
      <c r="B294" s="8" t="s">
        <v>98</v>
      </c>
      <c r="C294" s="3" t="s">
        <v>147</v>
      </c>
      <c r="D294" s="91">
        <f t="shared" si="17"/>
        <v>1</v>
      </c>
      <c r="E294" s="91">
        <f t="shared" si="17"/>
        <v>1</v>
      </c>
      <c r="F294" s="91">
        <f t="shared" si="17"/>
        <v>1</v>
      </c>
      <c r="G294" s="91">
        <f t="shared" si="17"/>
        <v>1</v>
      </c>
      <c r="H294" s="39">
        <v>1.05</v>
      </c>
      <c r="I294" s="39"/>
    </row>
    <row r="295" spans="2:9" x14ac:dyDescent="0.25">
      <c r="C295" s="3" t="s">
        <v>148</v>
      </c>
      <c r="D295" s="91">
        <f t="shared" si="17"/>
        <v>1.4850000000000003</v>
      </c>
      <c r="E295" s="91">
        <f t="shared" si="17"/>
        <v>1</v>
      </c>
      <c r="F295" s="91">
        <f t="shared" si="17"/>
        <v>1</v>
      </c>
      <c r="G295" s="91">
        <f t="shared" si="17"/>
        <v>1</v>
      </c>
      <c r="H295" s="39">
        <v>1.05</v>
      </c>
      <c r="I295" s="39"/>
    </row>
    <row r="296" spans="2:9" x14ac:dyDescent="0.25">
      <c r="C296" s="3" t="s">
        <v>149</v>
      </c>
      <c r="D296" s="91">
        <f t="shared" si="17"/>
        <v>1.4850000000000003</v>
      </c>
      <c r="E296" s="91">
        <f t="shared" si="17"/>
        <v>1</v>
      </c>
      <c r="F296" s="91">
        <f t="shared" si="17"/>
        <v>1</v>
      </c>
      <c r="G296" s="91">
        <f t="shared" si="17"/>
        <v>1</v>
      </c>
      <c r="H296" s="39">
        <v>1.05</v>
      </c>
      <c r="I296" s="39"/>
    </row>
    <row r="297" spans="2:9" x14ac:dyDescent="0.25">
      <c r="C297" s="3" t="s">
        <v>150</v>
      </c>
      <c r="D297" s="91">
        <f t="shared" si="17"/>
        <v>5.9400000000000013</v>
      </c>
      <c r="E297" s="91">
        <f t="shared" si="17"/>
        <v>1</v>
      </c>
      <c r="F297" s="91">
        <f t="shared" si="17"/>
        <v>1</v>
      </c>
      <c r="G297" s="91">
        <f t="shared" si="17"/>
        <v>1</v>
      </c>
      <c r="H297" s="39">
        <v>1.05</v>
      </c>
      <c r="I297" s="39"/>
    </row>
    <row r="298" spans="2:9" x14ac:dyDescent="0.25">
      <c r="B298" s="8" t="s">
        <v>100</v>
      </c>
      <c r="C298" s="3" t="s">
        <v>147</v>
      </c>
      <c r="D298" s="91">
        <f t="shared" si="17"/>
        <v>1</v>
      </c>
      <c r="E298" s="91">
        <f t="shared" si="17"/>
        <v>1</v>
      </c>
      <c r="F298" s="91">
        <f t="shared" si="17"/>
        <v>1</v>
      </c>
      <c r="G298" s="91">
        <f t="shared" si="17"/>
        <v>1</v>
      </c>
      <c r="H298" s="39">
        <v>1.05</v>
      </c>
      <c r="I298" s="39"/>
    </row>
    <row r="299" spans="2:9" x14ac:dyDescent="0.25">
      <c r="C299" s="3" t="s">
        <v>148</v>
      </c>
      <c r="D299" s="91">
        <f t="shared" si="17"/>
        <v>1</v>
      </c>
      <c r="E299" s="91">
        <f t="shared" si="17"/>
        <v>1</v>
      </c>
      <c r="F299" s="91">
        <f t="shared" si="17"/>
        <v>1</v>
      </c>
      <c r="G299" s="91">
        <f t="shared" si="17"/>
        <v>1</v>
      </c>
      <c r="H299" s="39">
        <v>1.05</v>
      </c>
      <c r="I299" s="39"/>
    </row>
    <row r="300" spans="2:9" x14ac:dyDescent="0.25">
      <c r="C300" s="3" t="s">
        <v>149</v>
      </c>
      <c r="D300" s="91">
        <f t="shared" si="17"/>
        <v>1</v>
      </c>
      <c r="E300" s="91">
        <f t="shared" si="17"/>
        <v>1</v>
      </c>
      <c r="F300" s="91">
        <f t="shared" si="17"/>
        <v>1</v>
      </c>
      <c r="G300" s="91">
        <f t="shared" si="17"/>
        <v>1</v>
      </c>
      <c r="H300" s="39">
        <v>1.05</v>
      </c>
      <c r="I300" s="39"/>
    </row>
    <row r="301" spans="2:9" x14ac:dyDescent="0.25">
      <c r="C301" s="3" t="s">
        <v>150</v>
      </c>
      <c r="D301" s="91">
        <f t="shared" si="17"/>
        <v>1</v>
      </c>
      <c r="E301" s="91">
        <f t="shared" si="17"/>
        <v>1</v>
      </c>
      <c r="F301" s="91">
        <f t="shared" si="17"/>
        <v>1</v>
      </c>
      <c r="G301" s="91">
        <f t="shared" si="17"/>
        <v>1</v>
      </c>
      <c r="H301" s="39">
        <v>1.05</v>
      </c>
      <c r="I301" s="39"/>
    </row>
    <row r="302" spans="2:9" x14ac:dyDescent="0.25">
      <c r="B302" s="8" t="s">
        <v>105</v>
      </c>
      <c r="C302" s="3" t="s">
        <v>147</v>
      </c>
      <c r="D302" s="91">
        <f t="shared" si="17"/>
        <v>1</v>
      </c>
      <c r="E302" s="91">
        <f t="shared" si="17"/>
        <v>1</v>
      </c>
      <c r="F302" s="91">
        <f t="shared" si="17"/>
        <v>1</v>
      </c>
      <c r="G302" s="91">
        <f t="shared" si="17"/>
        <v>1</v>
      </c>
      <c r="H302" s="39">
        <v>1.05</v>
      </c>
      <c r="I302" s="39"/>
    </row>
    <row r="303" spans="2:9" x14ac:dyDescent="0.25">
      <c r="C303" s="3" t="s">
        <v>148</v>
      </c>
      <c r="D303" s="91">
        <f t="shared" si="17"/>
        <v>1</v>
      </c>
      <c r="E303" s="91">
        <f t="shared" si="17"/>
        <v>2.508</v>
      </c>
      <c r="F303" s="91">
        <f t="shared" si="17"/>
        <v>1</v>
      </c>
      <c r="G303" s="91">
        <f t="shared" si="17"/>
        <v>1</v>
      </c>
      <c r="H303" s="39">
        <v>1.05</v>
      </c>
      <c r="I303" s="39"/>
    </row>
    <row r="304" spans="2:9" x14ac:dyDescent="0.25">
      <c r="C304" s="3" t="s">
        <v>149</v>
      </c>
      <c r="D304" s="91">
        <f t="shared" si="17"/>
        <v>1</v>
      </c>
      <c r="E304" s="91">
        <f t="shared" si="17"/>
        <v>5.0820000000000007</v>
      </c>
      <c r="F304" s="91">
        <f t="shared" si="17"/>
        <v>1</v>
      </c>
      <c r="G304" s="91">
        <f t="shared" si="17"/>
        <v>1</v>
      </c>
      <c r="H304" s="39">
        <v>1.05</v>
      </c>
      <c r="I304" s="39"/>
    </row>
    <row r="305" spans="2:9" x14ac:dyDescent="0.25">
      <c r="C305" s="3" t="s">
        <v>150</v>
      </c>
      <c r="D305" s="91">
        <f t="shared" si="17"/>
        <v>1</v>
      </c>
      <c r="E305" s="91">
        <f t="shared" si="17"/>
        <v>11.583</v>
      </c>
      <c r="F305" s="91">
        <f t="shared" si="17"/>
        <v>1.617</v>
      </c>
      <c r="G305" s="91">
        <f t="shared" si="17"/>
        <v>2.827</v>
      </c>
      <c r="H305" s="39">
        <v>1.05</v>
      </c>
      <c r="I305" s="39"/>
    </row>
    <row r="306" spans="2:9" x14ac:dyDescent="0.25">
      <c r="B306" s="8" t="s">
        <v>106</v>
      </c>
      <c r="C306" s="3" t="s">
        <v>147</v>
      </c>
      <c r="D306" s="91">
        <f t="shared" ref="D306:G321" si="18">IF(D86=1,1,D86*1.1)</f>
        <v>1</v>
      </c>
      <c r="E306" s="91">
        <f t="shared" si="18"/>
        <v>1</v>
      </c>
      <c r="F306" s="91">
        <f t="shared" si="18"/>
        <v>1</v>
      </c>
      <c r="G306" s="91">
        <f t="shared" si="18"/>
        <v>1</v>
      </c>
      <c r="H306" s="39">
        <v>1.05</v>
      </c>
      <c r="I306" s="39"/>
    </row>
    <row r="307" spans="2:9" x14ac:dyDescent="0.25">
      <c r="C307" s="3" t="s">
        <v>148</v>
      </c>
      <c r="D307" s="91">
        <f t="shared" si="18"/>
        <v>1</v>
      </c>
      <c r="E307" s="91">
        <f t="shared" si="18"/>
        <v>1.8260000000000001</v>
      </c>
      <c r="F307" s="91">
        <f t="shared" si="18"/>
        <v>1</v>
      </c>
      <c r="G307" s="91">
        <f t="shared" si="18"/>
        <v>1</v>
      </c>
      <c r="H307" s="39">
        <v>1.05</v>
      </c>
      <c r="I307" s="39"/>
    </row>
    <row r="308" spans="2:9" x14ac:dyDescent="0.25">
      <c r="C308" s="3" t="s">
        <v>149</v>
      </c>
      <c r="D308" s="91">
        <f t="shared" si="18"/>
        <v>1</v>
      </c>
      <c r="E308" s="91">
        <f t="shared" si="18"/>
        <v>2.75</v>
      </c>
      <c r="F308" s="91">
        <f t="shared" si="18"/>
        <v>1</v>
      </c>
      <c r="G308" s="91">
        <f t="shared" si="18"/>
        <v>1</v>
      </c>
      <c r="H308" s="39">
        <v>1.05</v>
      </c>
      <c r="I308" s="39"/>
    </row>
    <row r="309" spans="2:9" x14ac:dyDescent="0.25">
      <c r="C309" s="3" t="s">
        <v>150</v>
      </c>
      <c r="D309" s="91">
        <f t="shared" si="18"/>
        <v>1</v>
      </c>
      <c r="E309" s="91">
        <f t="shared" si="18"/>
        <v>16.467000000000002</v>
      </c>
      <c r="F309" s="91">
        <f t="shared" si="18"/>
        <v>2.1120000000000001</v>
      </c>
      <c r="G309" s="91">
        <f t="shared" si="18"/>
        <v>2.1120000000000001</v>
      </c>
      <c r="H309" s="39">
        <v>1.05</v>
      </c>
      <c r="I309" s="39"/>
    </row>
    <row r="310" spans="2:9" x14ac:dyDescent="0.25">
      <c r="B310" s="8" t="s">
        <v>108</v>
      </c>
      <c r="C310" s="3" t="s">
        <v>147</v>
      </c>
      <c r="D310" s="91">
        <f t="shared" si="18"/>
        <v>1</v>
      </c>
      <c r="E310" s="91">
        <f t="shared" si="18"/>
        <v>1</v>
      </c>
      <c r="F310" s="91">
        <f t="shared" si="18"/>
        <v>1</v>
      </c>
      <c r="G310" s="91">
        <f t="shared" si="18"/>
        <v>1</v>
      </c>
      <c r="H310" s="39">
        <v>1.05</v>
      </c>
      <c r="I310" s="39"/>
    </row>
    <row r="311" spans="2:9" x14ac:dyDescent="0.25">
      <c r="C311" s="3" t="s">
        <v>148</v>
      </c>
      <c r="D311" s="91">
        <f t="shared" si="18"/>
        <v>1</v>
      </c>
      <c r="E311" s="91">
        <f t="shared" si="18"/>
        <v>1.6280000000000001</v>
      </c>
      <c r="F311" s="91">
        <f t="shared" si="18"/>
        <v>1</v>
      </c>
      <c r="G311" s="91">
        <f t="shared" si="18"/>
        <v>1</v>
      </c>
      <c r="H311" s="39">
        <v>1.05</v>
      </c>
      <c r="I311" s="39"/>
    </row>
    <row r="312" spans="2:9" x14ac:dyDescent="0.25">
      <c r="C312" s="3" t="s">
        <v>149</v>
      </c>
      <c r="D312" s="91">
        <f t="shared" si="18"/>
        <v>1</v>
      </c>
      <c r="E312" s="91">
        <f t="shared" si="18"/>
        <v>3.1240000000000001</v>
      </c>
      <c r="F312" s="91">
        <f t="shared" si="18"/>
        <v>1</v>
      </c>
      <c r="G312" s="91">
        <f t="shared" si="18"/>
        <v>1</v>
      </c>
      <c r="H312" s="39">
        <v>1.05</v>
      </c>
      <c r="I312" s="39"/>
    </row>
    <row r="313" spans="2:9" x14ac:dyDescent="0.25">
      <c r="C313" s="3" t="s">
        <v>150</v>
      </c>
      <c r="D313" s="91">
        <f t="shared" si="18"/>
        <v>1</v>
      </c>
      <c r="E313" s="91">
        <f t="shared" si="18"/>
        <v>15.840000000000002</v>
      </c>
      <c r="F313" s="91">
        <f t="shared" si="18"/>
        <v>4.0590000000000002</v>
      </c>
      <c r="G313" s="91">
        <f t="shared" si="18"/>
        <v>4.0590000000000002</v>
      </c>
      <c r="H313" s="39">
        <v>1.05</v>
      </c>
      <c r="I313" s="39"/>
    </row>
    <row r="314" spans="2:9" x14ac:dyDescent="0.25">
      <c r="B314" s="8" t="s">
        <v>107</v>
      </c>
      <c r="C314" s="3" t="s">
        <v>147</v>
      </c>
      <c r="D314" s="91">
        <f t="shared" si="18"/>
        <v>1</v>
      </c>
      <c r="E314" s="91">
        <f t="shared" si="18"/>
        <v>1</v>
      </c>
      <c r="F314" s="91">
        <f t="shared" si="18"/>
        <v>1</v>
      </c>
      <c r="G314" s="91">
        <f t="shared" si="18"/>
        <v>1</v>
      </c>
      <c r="H314" s="39">
        <v>1.05</v>
      </c>
      <c r="I314" s="39"/>
    </row>
    <row r="315" spans="2:9" x14ac:dyDescent="0.25">
      <c r="C315" s="3" t="s">
        <v>148</v>
      </c>
      <c r="D315" s="91">
        <f t="shared" si="18"/>
        <v>1</v>
      </c>
      <c r="E315" s="91">
        <f t="shared" si="18"/>
        <v>1.6280000000000001</v>
      </c>
      <c r="F315" s="91">
        <f t="shared" si="18"/>
        <v>1</v>
      </c>
      <c r="G315" s="91">
        <f t="shared" si="18"/>
        <v>1</v>
      </c>
      <c r="H315" s="39">
        <v>1.05</v>
      </c>
      <c r="I315" s="39"/>
    </row>
    <row r="316" spans="2:9" x14ac:dyDescent="0.25">
      <c r="C316" s="3" t="s">
        <v>149</v>
      </c>
      <c r="D316" s="91">
        <f t="shared" si="18"/>
        <v>1</v>
      </c>
      <c r="E316" s="91">
        <f t="shared" si="18"/>
        <v>3.1240000000000001</v>
      </c>
      <c r="F316" s="91">
        <f t="shared" si="18"/>
        <v>1</v>
      </c>
      <c r="G316" s="91">
        <f t="shared" si="18"/>
        <v>1</v>
      </c>
      <c r="H316" s="39">
        <v>1.05</v>
      </c>
      <c r="I316" s="39"/>
    </row>
    <row r="317" spans="2:9" x14ac:dyDescent="0.25">
      <c r="C317" s="3" t="s">
        <v>150</v>
      </c>
      <c r="D317" s="91">
        <f t="shared" si="18"/>
        <v>1</v>
      </c>
      <c r="E317" s="91">
        <f t="shared" si="18"/>
        <v>15.840000000000002</v>
      </c>
      <c r="F317" s="91">
        <f t="shared" si="18"/>
        <v>4.0590000000000002</v>
      </c>
      <c r="G317" s="91">
        <f t="shared" si="18"/>
        <v>4.0590000000000002</v>
      </c>
      <c r="H317" s="39">
        <v>1.05</v>
      </c>
      <c r="I317" s="39"/>
    </row>
    <row r="318" spans="2:9" x14ac:dyDescent="0.25">
      <c r="B318" s="8" t="s">
        <v>110</v>
      </c>
      <c r="C318" s="3" t="s">
        <v>147</v>
      </c>
      <c r="D318" s="91">
        <f t="shared" si="18"/>
        <v>1</v>
      </c>
      <c r="E318" s="91">
        <f t="shared" si="18"/>
        <v>1</v>
      </c>
      <c r="F318" s="91">
        <f t="shared" si="18"/>
        <v>1</v>
      </c>
      <c r="G318" s="91">
        <f t="shared" si="18"/>
        <v>1</v>
      </c>
      <c r="H318" s="39">
        <v>1.05</v>
      </c>
      <c r="I318" s="39"/>
    </row>
    <row r="319" spans="2:9" x14ac:dyDescent="0.25">
      <c r="C319" s="3" t="s">
        <v>148</v>
      </c>
      <c r="D319" s="91">
        <f t="shared" si="18"/>
        <v>1</v>
      </c>
      <c r="E319" s="91">
        <f t="shared" si="18"/>
        <v>1.6280000000000001</v>
      </c>
      <c r="F319" s="91">
        <f t="shared" si="18"/>
        <v>1</v>
      </c>
      <c r="G319" s="91">
        <f t="shared" si="18"/>
        <v>1</v>
      </c>
      <c r="H319" s="39">
        <v>1.05</v>
      </c>
      <c r="I319" s="39"/>
    </row>
    <row r="320" spans="2:9" x14ac:dyDescent="0.25">
      <c r="C320" s="3" t="s">
        <v>149</v>
      </c>
      <c r="D320" s="91">
        <f t="shared" si="18"/>
        <v>1</v>
      </c>
      <c r="E320" s="91">
        <f t="shared" si="18"/>
        <v>3.1240000000000001</v>
      </c>
      <c r="F320" s="91">
        <f t="shared" si="18"/>
        <v>1</v>
      </c>
      <c r="G320" s="91">
        <f t="shared" si="18"/>
        <v>1</v>
      </c>
      <c r="H320" s="39">
        <v>1.05</v>
      </c>
      <c r="I320" s="39"/>
    </row>
    <row r="321" spans="1:9" x14ac:dyDescent="0.25">
      <c r="C321" s="3" t="s">
        <v>150</v>
      </c>
      <c r="D321" s="91">
        <f t="shared" si="18"/>
        <v>1</v>
      </c>
      <c r="E321" s="91">
        <f t="shared" si="18"/>
        <v>15.840000000000002</v>
      </c>
      <c r="F321" s="91">
        <f t="shared" si="18"/>
        <v>4.0590000000000002</v>
      </c>
      <c r="G321" s="91">
        <f t="shared" si="18"/>
        <v>4.0590000000000002</v>
      </c>
      <c r="H321" s="39">
        <v>1.05</v>
      </c>
      <c r="I321" s="39"/>
    </row>
    <row r="323" spans="1:9" ht="13" x14ac:dyDescent="0.3">
      <c r="A323" s="67" t="s">
        <v>348</v>
      </c>
      <c r="B323" s="68"/>
      <c r="C323" s="68"/>
      <c r="D323" s="68"/>
      <c r="E323" s="68"/>
      <c r="F323" s="68"/>
      <c r="G323" s="68"/>
      <c r="H323" s="68"/>
      <c r="I323" s="68"/>
    </row>
    <row r="324" spans="1:9" ht="26.4" customHeight="1" x14ac:dyDescent="0.3">
      <c r="A324" s="39" t="s">
        <v>105</v>
      </c>
      <c r="B324" s="82" t="s">
        <v>150</v>
      </c>
      <c r="C324" s="69" t="s">
        <v>347</v>
      </c>
      <c r="D324" s="70" t="s">
        <v>127</v>
      </c>
      <c r="E324" s="70" t="s">
        <v>114</v>
      </c>
      <c r="F324" s="70" t="s">
        <v>115</v>
      </c>
      <c r="G324" s="70" t="s">
        <v>116</v>
      </c>
      <c r="H324" s="81" t="s">
        <v>117</v>
      </c>
      <c r="I324" s="79"/>
    </row>
    <row r="325" spans="1:9" ht="13" x14ac:dyDescent="0.3">
      <c r="A325" s="4"/>
      <c r="C325" s="3" t="s">
        <v>147</v>
      </c>
      <c r="D325" s="91">
        <f t="shared" ref="D325:G328" si="19">IF(D105=1,1,D105*1.1)</f>
        <v>1</v>
      </c>
      <c r="E325" s="91">
        <f t="shared" si="19"/>
        <v>1</v>
      </c>
      <c r="F325" s="91">
        <f t="shared" si="19"/>
        <v>1</v>
      </c>
      <c r="G325" s="91">
        <f t="shared" si="19"/>
        <v>1</v>
      </c>
      <c r="H325" s="39">
        <v>1.05</v>
      </c>
      <c r="I325" s="39"/>
    </row>
    <row r="326" spans="1:9" x14ac:dyDescent="0.25">
      <c r="C326" s="3" t="s">
        <v>148</v>
      </c>
      <c r="D326" s="91">
        <f t="shared" si="19"/>
        <v>1.3860000000000001</v>
      </c>
      <c r="E326" s="91">
        <f t="shared" si="19"/>
        <v>1.3860000000000001</v>
      </c>
      <c r="F326" s="91">
        <f t="shared" si="19"/>
        <v>1</v>
      </c>
      <c r="G326" s="91">
        <f t="shared" si="19"/>
        <v>1</v>
      </c>
      <c r="H326" s="39">
        <v>1.05</v>
      </c>
      <c r="I326" s="39"/>
    </row>
    <row r="327" spans="1:9" x14ac:dyDescent="0.25">
      <c r="C327" s="3" t="s">
        <v>149</v>
      </c>
      <c r="D327" s="91">
        <f t="shared" si="19"/>
        <v>1.8480000000000001</v>
      </c>
      <c r="E327" s="91">
        <f t="shared" si="19"/>
        <v>1.8480000000000001</v>
      </c>
      <c r="F327" s="91">
        <f t="shared" si="19"/>
        <v>1</v>
      </c>
      <c r="G327" s="91">
        <f t="shared" si="19"/>
        <v>1</v>
      </c>
      <c r="H327" s="39">
        <v>1.05</v>
      </c>
      <c r="I327" s="39"/>
    </row>
    <row r="328" spans="1:9" x14ac:dyDescent="0.25">
      <c r="C328" s="3" t="s">
        <v>150</v>
      </c>
      <c r="D328" s="91">
        <f t="shared" si="19"/>
        <v>2.915</v>
      </c>
      <c r="E328" s="91">
        <f t="shared" si="19"/>
        <v>2.915</v>
      </c>
      <c r="F328" s="91">
        <f t="shared" si="19"/>
        <v>2.2770000000000001</v>
      </c>
      <c r="G328" s="91">
        <f t="shared" si="19"/>
        <v>2.2770000000000001</v>
      </c>
      <c r="H328" s="39">
        <v>1.05</v>
      </c>
      <c r="I328" s="39"/>
    </row>
  </sheetData>
  <sheetProtection algorithmName="SHA-512" hashValue="0TbooIIUEH9tWBKVhW0kIVCr2ZHaXeGei9xF8v4M4VioH8RuDNENJMqciDMfBYAcUN/5ASUfl13766iw4PTB7g==" saltValue="2mjm9esFMkQxi88hHzq7sQ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800-000000000000}">
  <sheetPr codeName="Sheet25">
    <tabColor theme="0" tint="-0.249977111117893"/>
  </sheetPr>
  <dimension ref="A1:O67"/>
  <sheetViews>
    <sheetView zoomScale="70" zoomScaleNormal="70" workbookViewId="0">
      <selection activeCell="H15" sqref="H15"/>
    </sheetView>
  </sheetViews>
  <sheetFormatPr defaultColWidth="12.6328125" defaultRowHeight="12.5" x14ac:dyDescent="0.25"/>
  <cols>
    <col min="1" max="1" width="22.54296875" style="8" customWidth="1"/>
    <col min="2" max="2" width="58.90625" style="8" bestFit="1" customWidth="1"/>
    <col min="3" max="15" width="15" style="8" customWidth="1"/>
    <col min="16" max="17" width="12.6328125" style="8" customWidth="1"/>
    <col min="18" max="16384" width="12.6328125" style="8"/>
  </cols>
  <sheetData>
    <row r="1" spans="1:15" ht="35.25" customHeight="1" x14ac:dyDescent="0.3">
      <c r="A1" s="4"/>
      <c r="B1" s="4"/>
      <c r="C1" s="70" t="s">
        <v>127</v>
      </c>
      <c r="D1" s="70" t="s">
        <v>114</v>
      </c>
      <c r="E1" s="70" t="s">
        <v>115</v>
      </c>
      <c r="F1" s="70" t="s">
        <v>116</v>
      </c>
      <c r="G1" s="70" t="s">
        <v>117</v>
      </c>
      <c r="H1" s="70" t="s">
        <v>87</v>
      </c>
      <c r="I1" s="70" t="s">
        <v>88</v>
      </c>
      <c r="J1" s="70" t="s">
        <v>89</v>
      </c>
      <c r="K1" s="70" t="s">
        <v>90</v>
      </c>
      <c r="L1" s="70" t="s">
        <v>140</v>
      </c>
      <c r="M1" s="70" t="s">
        <v>141</v>
      </c>
      <c r="N1" s="70" t="s">
        <v>142</v>
      </c>
      <c r="O1" s="70" t="s">
        <v>143</v>
      </c>
    </row>
    <row r="2" spans="1:15" ht="13" x14ac:dyDescent="0.3">
      <c r="A2" s="4" t="s">
        <v>350</v>
      </c>
    </row>
    <row r="3" spans="1:15" x14ac:dyDescent="0.25">
      <c r="B3" s="11" t="s">
        <v>200</v>
      </c>
      <c r="C3" s="90">
        <v>0.92</v>
      </c>
      <c r="D3" s="90">
        <v>0.92</v>
      </c>
      <c r="E3" s="90">
        <v>0.92</v>
      </c>
      <c r="F3" s="90">
        <v>1</v>
      </c>
      <c r="G3" s="90">
        <v>1</v>
      </c>
      <c r="H3" s="90">
        <v>1</v>
      </c>
      <c r="I3" s="90">
        <v>1</v>
      </c>
      <c r="J3" s="90">
        <v>1</v>
      </c>
      <c r="K3" s="90">
        <v>1</v>
      </c>
      <c r="L3" s="90">
        <v>1</v>
      </c>
      <c r="M3" s="90">
        <v>1</v>
      </c>
      <c r="N3" s="90">
        <v>1</v>
      </c>
      <c r="O3" s="90">
        <v>1</v>
      </c>
    </row>
    <row r="4" spans="1:15" x14ac:dyDescent="0.25">
      <c r="B4" s="11" t="s">
        <v>205</v>
      </c>
      <c r="C4" s="90">
        <v>1</v>
      </c>
      <c r="D4" s="90">
        <v>1</v>
      </c>
      <c r="E4" s="90">
        <v>1</v>
      </c>
      <c r="F4" s="90">
        <v>1</v>
      </c>
      <c r="G4" s="90">
        <v>1</v>
      </c>
      <c r="H4" s="90">
        <v>0.73</v>
      </c>
      <c r="I4" s="90">
        <v>0.73</v>
      </c>
      <c r="J4" s="90">
        <v>0.73</v>
      </c>
      <c r="K4" s="90">
        <v>0.73</v>
      </c>
      <c r="L4" s="90">
        <v>1</v>
      </c>
      <c r="M4" s="90">
        <v>1</v>
      </c>
      <c r="N4" s="90">
        <v>1</v>
      </c>
      <c r="O4" s="90">
        <v>1</v>
      </c>
    </row>
    <row r="5" spans="1:15" x14ac:dyDescent="0.25">
      <c r="B5" s="11" t="s">
        <v>206</v>
      </c>
      <c r="C5" s="90">
        <v>1</v>
      </c>
      <c r="D5" s="90">
        <v>1</v>
      </c>
      <c r="E5" s="90">
        <v>1</v>
      </c>
      <c r="F5" s="90">
        <v>1</v>
      </c>
      <c r="G5" s="90">
        <v>1</v>
      </c>
      <c r="H5" s="90">
        <v>0.73</v>
      </c>
      <c r="I5" s="90">
        <v>0.73</v>
      </c>
      <c r="J5" s="90">
        <v>0.73</v>
      </c>
      <c r="K5" s="90">
        <v>0.73</v>
      </c>
      <c r="L5" s="90">
        <v>1</v>
      </c>
      <c r="M5" s="90">
        <v>1</v>
      </c>
      <c r="N5" s="90">
        <v>1</v>
      </c>
      <c r="O5" s="90">
        <v>1</v>
      </c>
    </row>
    <row r="6" spans="1:15" x14ac:dyDescent="0.25">
      <c r="B6" s="11" t="s">
        <v>207</v>
      </c>
      <c r="C6" s="90">
        <v>1</v>
      </c>
      <c r="D6" s="90">
        <v>1</v>
      </c>
      <c r="E6" s="90">
        <v>1</v>
      </c>
      <c r="F6" s="90">
        <v>1</v>
      </c>
      <c r="G6" s="90">
        <v>1</v>
      </c>
      <c r="H6" s="90">
        <v>0.73</v>
      </c>
      <c r="I6" s="90">
        <v>0.73</v>
      </c>
      <c r="J6" s="90">
        <v>0.73</v>
      </c>
      <c r="K6" s="90">
        <v>0.73</v>
      </c>
      <c r="L6" s="90">
        <v>1</v>
      </c>
      <c r="M6" s="90">
        <v>1</v>
      </c>
      <c r="N6" s="90">
        <v>1</v>
      </c>
      <c r="O6" s="90">
        <v>1</v>
      </c>
    </row>
    <row r="7" spans="1:15" x14ac:dyDescent="0.25">
      <c r="B7" s="11" t="s">
        <v>208</v>
      </c>
      <c r="C7" s="90">
        <v>1</v>
      </c>
      <c r="D7" s="90">
        <v>1</v>
      </c>
      <c r="E7" s="90">
        <v>1</v>
      </c>
      <c r="F7" s="90">
        <v>1</v>
      </c>
      <c r="G7" s="90">
        <v>1</v>
      </c>
      <c r="H7" s="90">
        <v>0.73</v>
      </c>
      <c r="I7" s="90">
        <v>0.73</v>
      </c>
      <c r="J7" s="90">
        <v>0.73</v>
      </c>
      <c r="K7" s="90">
        <v>0.73</v>
      </c>
      <c r="L7" s="90">
        <v>1</v>
      </c>
      <c r="M7" s="90">
        <v>1</v>
      </c>
      <c r="N7" s="90">
        <v>1</v>
      </c>
      <c r="O7" s="90">
        <v>1</v>
      </c>
    </row>
    <row r="8" spans="1:15" x14ac:dyDescent="0.25">
      <c r="B8" s="5" t="s">
        <v>209</v>
      </c>
      <c r="C8" s="90">
        <v>1</v>
      </c>
      <c r="D8" s="90">
        <v>1</v>
      </c>
      <c r="E8" s="90">
        <v>1</v>
      </c>
      <c r="F8" s="90">
        <v>1</v>
      </c>
      <c r="G8" s="90">
        <v>1</v>
      </c>
      <c r="H8" s="90">
        <v>1</v>
      </c>
      <c r="I8" s="90">
        <v>1</v>
      </c>
      <c r="J8" s="90">
        <v>1</v>
      </c>
      <c r="K8" s="90">
        <v>1</v>
      </c>
      <c r="L8" s="90">
        <v>0.51</v>
      </c>
      <c r="M8" s="90">
        <v>0.51</v>
      </c>
      <c r="N8" s="90">
        <v>0.51</v>
      </c>
      <c r="O8" s="90">
        <v>0.51</v>
      </c>
    </row>
    <row r="9" spans="1:15" x14ac:dyDescent="0.25">
      <c r="B9" s="5" t="s">
        <v>210</v>
      </c>
      <c r="C9" s="90">
        <v>1</v>
      </c>
      <c r="D9" s="90">
        <v>1</v>
      </c>
      <c r="E9" s="90">
        <v>1</v>
      </c>
      <c r="F9" s="90">
        <v>1</v>
      </c>
      <c r="G9" s="90">
        <v>1</v>
      </c>
      <c r="H9" s="90">
        <v>1</v>
      </c>
      <c r="I9" s="90">
        <v>1</v>
      </c>
      <c r="J9" s="90">
        <v>1</v>
      </c>
      <c r="K9" s="90">
        <v>1</v>
      </c>
      <c r="L9" s="90">
        <v>0.51</v>
      </c>
      <c r="M9" s="90">
        <v>0.51</v>
      </c>
      <c r="N9" s="90">
        <v>0.51</v>
      </c>
      <c r="O9" s="90">
        <v>0.51</v>
      </c>
    </row>
    <row r="10" spans="1:15" x14ac:dyDescent="0.25">
      <c r="B10" s="11" t="s">
        <v>211</v>
      </c>
      <c r="C10" s="90">
        <v>1</v>
      </c>
      <c r="D10" s="90">
        <v>1</v>
      </c>
      <c r="E10" s="90">
        <v>1</v>
      </c>
      <c r="F10" s="90">
        <v>1</v>
      </c>
      <c r="G10" s="90">
        <v>1</v>
      </c>
      <c r="H10" s="90">
        <v>1</v>
      </c>
      <c r="I10" s="90">
        <v>1</v>
      </c>
      <c r="J10" s="90">
        <v>1</v>
      </c>
      <c r="K10" s="90">
        <v>1</v>
      </c>
      <c r="L10" s="90">
        <v>0.9</v>
      </c>
      <c r="M10" s="90">
        <v>0.9</v>
      </c>
      <c r="N10" s="90">
        <v>0.9</v>
      </c>
      <c r="O10" s="90">
        <v>0.9</v>
      </c>
    </row>
    <row r="11" spans="1:15" x14ac:dyDescent="0.25">
      <c r="B11" s="101" t="s">
        <v>214</v>
      </c>
      <c r="C11" s="102">
        <v>1</v>
      </c>
      <c r="D11" s="102">
        <v>1</v>
      </c>
      <c r="E11" s="102">
        <v>1</v>
      </c>
      <c r="F11" s="102">
        <v>1</v>
      </c>
      <c r="G11" s="102">
        <v>1</v>
      </c>
      <c r="H11" s="102">
        <v>1</v>
      </c>
      <c r="I11" s="102">
        <v>1</v>
      </c>
      <c r="J11" s="102">
        <v>1</v>
      </c>
      <c r="K11" s="102">
        <v>1</v>
      </c>
      <c r="L11" s="102">
        <v>1</v>
      </c>
      <c r="M11" s="102">
        <v>1</v>
      </c>
      <c r="N11" s="102">
        <v>1</v>
      </c>
      <c r="O11" s="102">
        <v>1</v>
      </c>
    </row>
    <row r="12" spans="1:15" x14ac:dyDescent="0.25">
      <c r="B12" s="11" t="s">
        <v>215</v>
      </c>
      <c r="C12" s="90">
        <v>0.83</v>
      </c>
      <c r="D12" s="90">
        <v>0.83</v>
      </c>
      <c r="E12" s="90">
        <v>0.83</v>
      </c>
      <c r="F12" s="90">
        <v>0.83</v>
      </c>
      <c r="G12" s="90">
        <v>0.83</v>
      </c>
      <c r="H12" s="90">
        <v>0.83</v>
      </c>
      <c r="I12" s="90">
        <v>0.83</v>
      </c>
      <c r="J12" s="90">
        <v>0.83</v>
      </c>
      <c r="K12" s="90">
        <v>0.83</v>
      </c>
      <c r="L12" s="90">
        <v>0.83</v>
      </c>
      <c r="M12" s="90">
        <v>0.83</v>
      </c>
      <c r="N12" s="90">
        <v>0.83</v>
      </c>
      <c r="O12" s="90">
        <v>0.83</v>
      </c>
    </row>
    <row r="13" spans="1:15" ht="13.25" customHeight="1" x14ac:dyDescent="0.25">
      <c r="B13" s="11" t="s">
        <v>218</v>
      </c>
      <c r="C13" s="90">
        <v>1</v>
      </c>
      <c r="D13" s="90">
        <v>1</v>
      </c>
      <c r="E13" s="90">
        <v>0.69</v>
      </c>
      <c r="F13" s="90">
        <v>0.69</v>
      </c>
      <c r="G13" s="90">
        <v>0.69</v>
      </c>
      <c r="H13" s="90">
        <v>1</v>
      </c>
      <c r="I13" s="90">
        <v>1</v>
      </c>
      <c r="J13" s="90">
        <v>1</v>
      </c>
      <c r="K13" s="90">
        <v>1</v>
      </c>
      <c r="L13" s="90">
        <v>1</v>
      </c>
      <c r="M13" s="90">
        <v>1</v>
      </c>
      <c r="N13" s="90">
        <v>1</v>
      </c>
      <c r="O13" s="90">
        <v>1</v>
      </c>
    </row>
    <row r="14" spans="1:15" x14ac:dyDescent="0.25">
      <c r="B14" s="11" t="s">
        <v>219</v>
      </c>
      <c r="C14" s="90">
        <v>1</v>
      </c>
      <c r="D14" s="90">
        <v>1</v>
      </c>
      <c r="E14" s="90">
        <v>1</v>
      </c>
      <c r="F14" s="90">
        <v>1</v>
      </c>
      <c r="G14" s="90">
        <v>1</v>
      </c>
      <c r="H14" s="90">
        <v>1</v>
      </c>
      <c r="I14" s="90">
        <v>1</v>
      </c>
      <c r="J14" s="90">
        <v>1</v>
      </c>
      <c r="K14" s="90">
        <v>1</v>
      </c>
      <c r="L14" s="90">
        <f>L8</f>
        <v>0.51</v>
      </c>
      <c r="M14" s="90">
        <f>M8</f>
        <v>0.51</v>
      </c>
      <c r="N14" s="90">
        <f>N8</f>
        <v>0.51</v>
      </c>
      <c r="O14" s="90">
        <f>O8</f>
        <v>0.51</v>
      </c>
    </row>
    <row r="15" spans="1:15" x14ac:dyDescent="0.25">
      <c r="B15" s="5" t="s">
        <v>234</v>
      </c>
      <c r="C15" s="90">
        <v>1</v>
      </c>
      <c r="D15" s="90">
        <v>1</v>
      </c>
      <c r="E15" s="90">
        <v>0.36</v>
      </c>
      <c r="F15" s="90">
        <v>0.36</v>
      </c>
      <c r="G15" s="90">
        <v>1</v>
      </c>
      <c r="H15" s="90">
        <v>1</v>
      </c>
      <c r="I15" s="90">
        <v>1</v>
      </c>
      <c r="J15" s="90">
        <v>1</v>
      </c>
      <c r="K15" s="90">
        <v>1</v>
      </c>
      <c r="L15" s="90">
        <v>1</v>
      </c>
      <c r="M15" s="90">
        <v>1</v>
      </c>
      <c r="N15" s="90">
        <v>1</v>
      </c>
      <c r="O15" s="90">
        <v>1</v>
      </c>
    </row>
    <row r="17" spans="1:15" ht="13" x14ac:dyDescent="0.3">
      <c r="A17" s="4" t="s">
        <v>351</v>
      </c>
      <c r="B17" s="11"/>
    </row>
    <row r="18" spans="1:15" x14ac:dyDescent="0.25">
      <c r="B18" s="5" t="s">
        <v>202</v>
      </c>
      <c r="C18" s="90">
        <v>1</v>
      </c>
      <c r="D18" s="90">
        <v>1</v>
      </c>
      <c r="E18" s="90">
        <v>0.97599999999999998</v>
      </c>
      <c r="F18" s="90">
        <v>0.97599999999999998</v>
      </c>
      <c r="G18" s="90">
        <v>0.97599999999999998</v>
      </c>
      <c r="H18" s="90">
        <v>0.97599999999999998</v>
      </c>
      <c r="I18" s="90">
        <v>0.97599999999999998</v>
      </c>
      <c r="J18" s="90">
        <v>0.97599999999999998</v>
      </c>
      <c r="K18" s="90">
        <v>0.97599999999999998</v>
      </c>
      <c r="L18" s="90">
        <v>0.97599999999999998</v>
      </c>
      <c r="M18" s="90">
        <v>0.97599999999999998</v>
      </c>
      <c r="N18" s="90">
        <v>0.97599999999999998</v>
      </c>
      <c r="O18" s="90">
        <v>0.97599999999999998</v>
      </c>
    </row>
    <row r="19" spans="1:15" x14ac:dyDescent="0.25">
      <c r="B19" s="5" t="s">
        <v>203</v>
      </c>
      <c r="C19" s="90">
        <v>1</v>
      </c>
      <c r="D19" s="90">
        <v>1</v>
      </c>
      <c r="E19" s="90">
        <v>0.97599999999999998</v>
      </c>
      <c r="F19" s="90">
        <v>0.97599999999999998</v>
      </c>
      <c r="G19" s="90">
        <v>0.97599999999999998</v>
      </c>
      <c r="H19" s="90">
        <v>0.97599999999999998</v>
      </c>
      <c r="I19" s="90">
        <v>0.97599999999999998</v>
      </c>
      <c r="J19" s="90">
        <v>0.97599999999999998</v>
      </c>
      <c r="K19" s="90">
        <v>0.97599999999999998</v>
      </c>
      <c r="L19" s="90">
        <v>0.97599999999999998</v>
      </c>
      <c r="M19" s="90">
        <v>0.97599999999999998</v>
      </c>
      <c r="N19" s="90">
        <v>0.97599999999999998</v>
      </c>
      <c r="O19" s="90">
        <v>0.97599999999999998</v>
      </c>
    </row>
    <row r="20" spans="1:15" x14ac:dyDescent="0.25">
      <c r="B20" s="5" t="s">
        <v>204</v>
      </c>
      <c r="C20" s="90">
        <v>1</v>
      </c>
      <c r="D20" s="90">
        <v>1</v>
      </c>
      <c r="E20" s="90">
        <v>0.97599999999999998</v>
      </c>
      <c r="F20" s="90">
        <v>0.97599999999999998</v>
      </c>
      <c r="G20" s="90">
        <v>0.97599999999999998</v>
      </c>
      <c r="H20" s="90">
        <v>0.97599999999999998</v>
      </c>
      <c r="I20" s="90">
        <v>0.97599999999999998</v>
      </c>
      <c r="J20" s="90">
        <v>0.97599999999999998</v>
      </c>
      <c r="K20" s="90">
        <v>0.97599999999999998</v>
      </c>
      <c r="L20" s="90">
        <v>0.97599999999999998</v>
      </c>
      <c r="M20" s="90">
        <v>0.97599999999999998</v>
      </c>
      <c r="N20" s="90">
        <v>0.97599999999999998</v>
      </c>
      <c r="O20" s="90">
        <v>0.97599999999999998</v>
      </c>
    </row>
    <row r="21" spans="1:15" x14ac:dyDescent="0.25">
      <c r="B21" s="5" t="s">
        <v>212</v>
      </c>
      <c r="C21" s="90">
        <v>1</v>
      </c>
      <c r="D21" s="90">
        <v>1</v>
      </c>
      <c r="E21" s="90">
        <v>0.97599999999999998</v>
      </c>
      <c r="F21" s="90">
        <v>0.97599999999999998</v>
      </c>
      <c r="G21" s="90">
        <v>0.97599999999999998</v>
      </c>
      <c r="H21" s="90">
        <v>0.97599999999999998</v>
      </c>
      <c r="I21" s="90">
        <v>0.97599999999999998</v>
      </c>
      <c r="J21" s="90">
        <v>0.97599999999999998</v>
      </c>
      <c r="K21" s="90">
        <v>0.97599999999999998</v>
      </c>
      <c r="L21" s="90">
        <v>0.97599999999999998</v>
      </c>
      <c r="M21" s="90">
        <v>0.97599999999999998</v>
      </c>
      <c r="N21" s="90">
        <v>0.97599999999999998</v>
      </c>
      <c r="O21" s="90">
        <v>0.97599999999999998</v>
      </c>
    </row>
    <row r="23" spans="1:15" s="92" customFormat="1" ht="13" x14ac:dyDescent="0.3">
      <c r="A23" s="92" t="s">
        <v>266</v>
      </c>
    </row>
    <row r="24" spans="1:15" ht="26.4" customHeight="1" x14ac:dyDescent="0.3">
      <c r="A24" s="4"/>
      <c r="B24" s="4"/>
      <c r="C24" s="70" t="s">
        <v>127</v>
      </c>
      <c r="D24" s="70" t="s">
        <v>114</v>
      </c>
      <c r="E24" s="70" t="s">
        <v>115</v>
      </c>
      <c r="F24" s="70" t="s">
        <v>116</v>
      </c>
      <c r="G24" s="70" t="s">
        <v>117</v>
      </c>
      <c r="H24" s="70" t="s">
        <v>87</v>
      </c>
      <c r="I24" s="70" t="s">
        <v>88</v>
      </c>
      <c r="J24" s="70" t="s">
        <v>89</v>
      </c>
      <c r="K24" s="70" t="s">
        <v>90</v>
      </c>
      <c r="L24" s="70" t="s">
        <v>140</v>
      </c>
      <c r="M24" s="70" t="s">
        <v>141</v>
      </c>
      <c r="N24" s="70" t="s">
        <v>142</v>
      </c>
      <c r="O24" s="70" t="s">
        <v>143</v>
      </c>
    </row>
    <row r="25" spans="1:15" ht="13" x14ac:dyDescent="0.3">
      <c r="A25" s="4" t="s">
        <v>352</v>
      </c>
    </row>
    <row r="26" spans="1:15" x14ac:dyDescent="0.25">
      <c r="B26" s="11" t="s">
        <v>200</v>
      </c>
      <c r="C26" s="90">
        <v>0.87</v>
      </c>
      <c r="D26" s="90">
        <v>0.87</v>
      </c>
      <c r="E26" s="90">
        <v>0.87</v>
      </c>
      <c r="F26" s="90">
        <f t="shared" ref="F26:O26" si="0">IF(F3=1,1,F3*0.9)</f>
        <v>1</v>
      </c>
      <c r="G26" s="90">
        <f t="shared" si="0"/>
        <v>1</v>
      </c>
      <c r="H26" s="90">
        <f t="shared" si="0"/>
        <v>1</v>
      </c>
      <c r="I26" s="90">
        <f t="shared" si="0"/>
        <v>1</v>
      </c>
      <c r="J26" s="90">
        <f t="shared" si="0"/>
        <v>1</v>
      </c>
      <c r="K26" s="90">
        <f t="shared" si="0"/>
        <v>1</v>
      </c>
      <c r="L26" s="90">
        <f t="shared" si="0"/>
        <v>1</v>
      </c>
      <c r="M26" s="90">
        <f t="shared" si="0"/>
        <v>1</v>
      </c>
      <c r="N26" s="90">
        <f t="shared" si="0"/>
        <v>1</v>
      </c>
      <c r="O26" s="90">
        <f t="shared" si="0"/>
        <v>1</v>
      </c>
    </row>
    <row r="27" spans="1:15" x14ac:dyDescent="0.25">
      <c r="B27" s="11" t="s">
        <v>205</v>
      </c>
      <c r="C27" s="90">
        <f t="shared" ref="C27:G33" si="1">IF(C4=1,1,C4*0.9)</f>
        <v>1</v>
      </c>
      <c r="D27" s="90">
        <f t="shared" si="1"/>
        <v>1</v>
      </c>
      <c r="E27" s="90">
        <f t="shared" si="1"/>
        <v>1</v>
      </c>
      <c r="F27" s="90">
        <f t="shared" si="1"/>
        <v>1</v>
      </c>
      <c r="G27" s="90">
        <f t="shared" si="1"/>
        <v>1</v>
      </c>
      <c r="H27" s="90">
        <v>0.56000000000000005</v>
      </c>
      <c r="I27" s="90">
        <v>0.56000000000000005</v>
      </c>
      <c r="J27" s="90">
        <v>0.56000000000000005</v>
      </c>
      <c r="K27" s="90">
        <v>0.56000000000000005</v>
      </c>
      <c r="L27" s="90">
        <f t="shared" ref="L27:O30" si="2">IF(L4=1,1,L4*0.9)</f>
        <v>1</v>
      </c>
      <c r="M27" s="90">
        <f t="shared" si="2"/>
        <v>1</v>
      </c>
      <c r="N27" s="90">
        <f t="shared" si="2"/>
        <v>1</v>
      </c>
      <c r="O27" s="90">
        <f t="shared" si="2"/>
        <v>1</v>
      </c>
    </row>
    <row r="28" spans="1:15" x14ac:dyDescent="0.25">
      <c r="B28" s="11" t="s">
        <v>206</v>
      </c>
      <c r="C28" s="90">
        <f t="shared" si="1"/>
        <v>1</v>
      </c>
      <c r="D28" s="90">
        <f t="shared" si="1"/>
        <v>1</v>
      </c>
      <c r="E28" s="90">
        <f t="shared" si="1"/>
        <v>1</v>
      </c>
      <c r="F28" s="90">
        <f t="shared" si="1"/>
        <v>1</v>
      </c>
      <c r="G28" s="90">
        <f t="shared" si="1"/>
        <v>1</v>
      </c>
      <c r="H28" s="90">
        <v>0.56000000000000005</v>
      </c>
      <c r="I28" s="90">
        <v>0.56000000000000005</v>
      </c>
      <c r="J28" s="90">
        <v>0.56000000000000005</v>
      </c>
      <c r="K28" s="90">
        <v>0.56000000000000005</v>
      </c>
      <c r="L28" s="90">
        <f t="shared" si="2"/>
        <v>1</v>
      </c>
      <c r="M28" s="90">
        <f t="shared" si="2"/>
        <v>1</v>
      </c>
      <c r="N28" s="90">
        <f t="shared" si="2"/>
        <v>1</v>
      </c>
      <c r="O28" s="90">
        <f t="shared" si="2"/>
        <v>1</v>
      </c>
    </row>
    <row r="29" spans="1:15" x14ac:dyDescent="0.25">
      <c r="B29" s="11" t="s">
        <v>207</v>
      </c>
      <c r="C29" s="90">
        <f t="shared" si="1"/>
        <v>1</v>
      </c>
      <c r="D29" s="90">
        <f t="shared" si="1"/>
        <v>1</v>
      </c>
      <c r="E29" s="90">
        <f t="shared" si="1"/>
        <v>1</v>
      </c>
      <c r="F29" s="90">
        <f t="shared" si="1"/>
        <v>1</v>
      </c>
      <c r="G29" s="90">
        <f t="shared" si="1"/>
        <v>1</v>
      </c>
      <c r="H29" s="90">
        <v>0.56000000000000005</v>
      </c>
      <c r="I29" s="90">
        <v>0.56000000000000005</v>
      </c>
      <c r="J29" s="90">
        <v>0.56000000000000005</v>
      </c>
      <c r="K29" s="90">
        <v>0.56000000000000005</v>
      </c>
      <c r="L29" s="90">
        <f t="shared" si="2"/>
        <v>1</v>
      </c>
      <c r="M29" s="90">
        <f t="shared" si="2"/>
        <v>1</v>
      </c>
      <c r="N29" s="90">
        <f t="shared" si="2"/>
        <v>1</v>
      </c>
      <c r="O29" s="90">
        <f t="shared" si="2"/>
        <v>1</v>
      </c>
    </row>
    <row r="30" spans="1:15" x14ac:dyDescent="0.25">
      <c r="B30" s="11" t="s">
        <v>208</v>
      </c>
      <c r="C30" s="90">
        <f t="shared" si="1"/>
        <v>1</v>
      </c>
      <c r="D30" s="90">
        <f t="shared" si="1"/>
        <v>1</v>
      </c>
      <c r="E30" s="90">
        <f t="shared" si="1"/>
        <v>1</v>
      </c>
      <c r="F30" s="90">
        <f t="shared" si="1"/>
        <v>1</v>
      </c>
      <c r="G30" s="90">
        <f t="shared" si="1"/>
        <v>1</v>
      </c>
      <c r="H30" s="90">
        <v>0.56000000000000005</v>
      </c>
      <c r="I30" s="90">
        <v>0.56000000000000005</v>
      </c>
      <c r="J30" s="90">
        <v>0.56000000000000005</v>
      </c>
      <c r="K30" s="90">
        <v>0.56000000000000005</v>
      </c>
      <c r="L30" s="90">
        <f t="shared" si="2"/>
        <v>1</v>
      </c>
      <c r="M30" s="90">
        <f t="shared" si="2"/>
        <v>1</v>
      </c>
      <c r="N30" s="90">
        <f t="shared" si="2"/>
        <v>1</v>
      </c>
      <c r="O30" s="90">
        <f t="shared" si="2"/>
        <v>1</v>
      </c>
    </row>
    <row r="31" spans="1:15" x14ac:dyDescent="0.25">
      <c r="B31" s="5" t="s">
        <v>209</v>
      </c>
      <c r="C31" s="90">
        <f t="shared" si="1"/>
        <v>1</v>
      </c>
      <c r="D31" s="90">
        <f t="shared" si="1"/>
        <v>1</v>
      </c>
      <c r="E31" s="90">
        <f t="shared" si="1"/>
        <v>1</v>
      </c>
      <c r="F31" s="90">
        <f t="shared" si="1"/>
        <v>1</v>
      </c>
      <c r="G31" s="90">
        <f t="shared" si="1"/>
        <v>1</v>
      </c>
      <c r="H31" s="90">
        <f t="shared" ref="H31:K34" si="3">IF(H8=1,1,H8*0.9)</f>
        <v>1</v>
      </c>
      <c r="I31" s="90">
        <f t="shared" si="3"/>
        <v>1</v>
      </c>
      <c r="J31" s="90">
        <f t="shared" si="3"/>
        <v>1</v>
      </c>
      <c r="K31" s="90">
        <f t="shared" si="3"/>
        <v>1</v>
      </c>
      <c r="L31" s="90">
        <v>0.38</v>
      </c>
      <c r="M31" s="90">
        <v>0.38</v>
      </c>
      <c r="N31" s="90">
        <v>0.38</v>
      </c>
      <c r="O31" s="90">
        <v>0.38</v>
      </c>
    </row>
    <row r="32" spans="1:15" x14ac:dyDescent="0.25">
      <c r="B32" s="5" t="s">
        <v>210</v>
      </c>
      <c r="C32" s="90">
        <f t="shared" si="1"/>
        <v>1</v>
      </c>
      <c r="D32" s="90">
        <f t="shared" si="1"/>
        <v>1</v>
      </c>
      <c r="E32" s="90">
        <f t="shared" si="1"/>
        <v>1</v>
      </c>
      <c r="F32" s="90">
        <f t="shared" si="1"/>
        <v>1</v>
      </c>
      <c r="G32" s="90">
        <f t="shared" si="1"/>
        <v>1</v>
      </c>
      <c r="H32" s="90">
        <f t="shared" si="3"/>
        <v>1</v>
      </c>
      <c r="I32" s="90">
        <f t="shared" si="3"/>
        <v>1</v>
      </c>
      <c r="J32" s="90">
        <f t="shared" si="3"/>
        <v>1</v>
      </c>
      <c r="K32" s="90">
        <f t="shared" si="3"/>
        <v>1</v>
      </c>
      <c r="L32" s="90">
        <v>0.38</v>
      </c>
      <c r="M32" s="90">
        <v>0.38</v>
      </c>
      <c r="N32" s="90">
        <v>0.38</v>
      </c>
      <c r="O32" s="90">
        <v>0.38</v>
      </c>
    </row>
    <row r="33" spans="1:15" x14ac:dyDescent="0.25">
      <c r="B33" s="11" t="s">
        <v>211</v>
      </c>
      <c r="C33" s="90">
        <f t="shared" si="1"/>
        <v>1</v>
      </c>
      <c r="D33" s="90">
        <f t="shared" si="1"/>
        <v>1</v>
      </c>
      <c r="E33" s="90">
        <f t="shared" si="1"/>
        <v>1</v>
      </c>
      <c r="F33" s="90">
        <f t="shared" si="1"/>
        <v>1</v>
      </c>
      <c r="G33" s="90">
        <f t="shared" si="1"/>
        <v>1</v>
      </c>
      <c r="H33" s="90">
        <f t="shared" si="3"/>
        <v>1</v>
      </c>
      <c r="I33" s="90">
        <f t="shared" si="3"/>
        <v>1</v>
      </c>
      <c r="J33" s="90">
        <f t="shared" si="3"/>
        <v>1</v>
      </c>
      <c r="K33" s="90">
        <f t="shared" si="3"/>
        <v>1</v>
      </c>
      <c r="L33" s="90">
        <v>0.74</v>
      </c>
      <c r="M33" s="90">
        <v>0.74</v>
      </c>
      <c r="N33" s="90">
        <v>0.74</v>
      </c>
      <c r="O33" s="90">
        <v>0.74</v>
      </c>
    </row>
    <row r="34" spans="1:15" x14ac:dyDescent="0.25">
      <c r="B34" s="5" t="s">
        <v>214</v>
      </c>
      <c r="C34" s="90">
        <f>IF(C11=1,1,C11*0.9)</f>
        <v>1</v>
      </c>
      <c r="D34" s="90">
        <f>IF(D11=1,1,D11*0.9)</f>
        <v>1</v>
      </c>
      <c r="E34" s="90">
        <f>IF(E11=1,1,E11*0.9)</f>
        <v>1</v>
      </c>
      <c r="F34" s="90">
        <f>IF(F11=1,1,F11*0.9)</f>
        <v>1</v>
      </c>
      <c r="G34" s="90">
        <v>1</v>
      </c>
      <c r="H34" s="90">
        <f t="shared" si="3"/>
        <v>1</v>
      </c>
      <c r="I34" s="90">
        <f t="shared" si="3"/>
        <v>1</v>
      </c>
      <c r="J34" s="90">
        <f t="shared" si="3"/>
        <v>1</v>
      </c>
      <c r="K34" s="90">
        <f t="shared" si="3"/>
        <v>1</v>
      </c>
      <c r="L34" s="90">
        <f>IF(L11=1,1,L11*0.9)</f>
        <v>1</v>
      </c>
      <c r="M34" s="90">
        <f>IF(M11=1,1,M11*0.9)</f>
        <v>1</v>
      </c>
      <c r="N34" s="90">
        <f>IF(N11=1,1,N11*0.9)</f>
        <v>1</v>
      </c>
      <c r="O34" s="90">
        <f>IF(O11=1,1,O11*0.9)</f>
        <v>1</v>
      </c>
    </row>
    <row r="35" spans="1:15" x14ac:dyDescent="0.25">
      <c r="B35" s="11" t="s">
        <v>215</v>
      </c>
      <c r="C35" s="90">
        <v>0.74</v>
      </c>
      <c r="D35" s="90">
        <v>0.74</v>
      </c>
      <c r="E35" s="90">
        <v>0.74</v>
      </c>
      <c r="F35" s="90">
        <v>0.74</v>
      </c>
      <c r="G35" s="90">
        <v>0.74</v>
      </c>
      <c r="H35" s="90">
        <v>0.74</v>
      </c>
      <c r="I35" s="90">
        <v>0.74</v>
      </c>
      <c r="J35" s="90">
        <v>0.74</v>
      </c>
      <c r="K35" s="90">
        <v>0.74</v>
      </c>
      <c r="L35" s="90">
        <v>0.74</v>
      </c>
      <c r="M35" s="90">
        <v>0.74</v>
      </c>
      <c r="N35" s="90">
        <v>0.74</v>
      </c>
      <c r="O35" s="90">
        <v>0.74</v>
      </c>
    </row>
    <row r="36" spans="1:15" x14ac:dyDescent="0.25">
      <c r="B36" s="11" t="s">
        <v>218</v>
      </c>
      <c r="C36" s="90">
        <f t="shared" ref="C36:D38" si="4">IF(C13=1,1,C13*0.9)</f>
        <v>1</v>
      </c>
      <c r="D36" s="90">
        <f t="shared" si="4"/>
        <v>1</v>
      </c>
      <c r="E36" s="90">
        <v>0.62</v>
      </c>
      <c r="F36" s="90">
        <v>0.62</v>
      </c>
      <c r="G36" s="90">
        <v>0.62</v>
      </c>
      <c r="H36" s="90">
        <f t="shared" ref="H36:O36" si="5">IF(H13=1,1,H13*0.9)</f>
        <v>1</v>
      </c>
      <c r="I36" s="90">
        <f t="shared" si="5"/>
        <v>1</v>
      </c>
      <c r="J36" s="90">
        <f t="shared" si="5"/>
        <v>1</v>
      </c>
      <c r="K36" s="90">
        <f t="shared" si="5"/>
        <v>1</v>
      </c>
      <c r="L36" s="90">
        <f t="shared" si="5"/>
        <v>1</v>
      </c>
      <c r="M36" s="90">
        <f t="shared" si="5"/>
        <v>1</v>
      </c>
      <c r="N36" s="90">
        <f t="shared" si="5"/>
        <v>1</v>
      </c>
      <c r="O36" s="90">
        <f t="shared" si="5"/>
        <v>1</v>
      </c>
    </row>
    <row r="37" spans="1:15" x14ac:dyDescent="0.25">
      <c r="B37" s="11" t="s">
        <v>219</v>
      </c>
      <c r="C37" s="90">
        <f t="shared" si="4"/>
        <v>1</v>
      </c>
      <c r="D37" s="90">
        <f t="shared" si="4"/>
        <v>1</v>
      </c>
      <c r="E37" s="90">
        <f t="shared" ref="E37:K37" si="6">IF(E14=1,1,E14*0.9)</f>
        <v>1</v>
      </c>
      <c r="F37" s="90">
        <f t="shared" si="6"/>
        <v>1</v>
      </c>
      <c r="G37" s="90">
        <f t="shared" si="6"/>
        <v>1</v>
      </c>
      <c r="H37" s="90">
        <f t="shared" si="6"/>
        <v>1</v>
      </c>
      <c r="I37" s="90">
        <f t="shared" si="6"/>
        <v>1</v>
      </c>
      <c r="J37" s="90">
        <f t="shared" si="6"/>
        <v>1</v>
      </c>
      <c r="K37" s="90">
        <f t="shared" si="6"/>
        <v>1</v>
      </c>
      <c r="L37" s="90">
        <v>1</v>
      </c>
      <c r="M37" s="90">
        <v>1</v>
      </c>
      <c r="N37" s="90">
        <v>1</v>
      </c>
      <c r="O37" s="90">
        <v>1</v>
      </c>
    </row>
    <row r="38" spans="1:15" x14ac:dyDescent="0.25">
      <c r="B38" s="5" t="s">
        <v>234</v>
      </c>
      <c r="C38" s="90">
        <f t="shared" si="4"/>
        <v>1</v>
      </c>
      <c r="D38" s="90">
        <f t="shared" si="4"/>
        <v>1</v>
      </c>
      <c r="E38" s="90">
        <v>0.3</v>
      </c>
      <c r="F38" s="90">
        <v>0.3</v>
      </c>
      <c r="G38" s="90">
        <f t="shared" ref="G38:O38" si="7">IF(G15=1,1,G15*0.9)</f>
        <v>1</v>
      </c>
      <c r="H38" s="90">
        <f t="shared" si="7"/>
        <v>1</v>
      </c>
      <c r="I38" s="90">
        <f t="shared" si="7"/>
        <v>1</v>
      </c>
      <c r="J38" s="90">
        <f t="shared" si="7"/>
        <v>1</v>
      </c>
      <c r="K38" s="90">
        <f t="shared" si="7"/>
        <v>1</v>
      </c>
      <c r="L38" s="90">
        <f t="shared" si="7"/>
        <v>1</v>
      </c>
      <c r="M38" s="90">
        <f t="shared" si="7"/>
        <v>1</v>
      </c>
      <c r="N38" s="90">
        <f t="shared" si="7"/>
        <v>1</v>
      </c>
      <c r="O38" s="90">
        <f t="shared" si="7"/>
        <v>1</v>
      </c>
    </row>
    <row r="40" spans="1:15" ht="13" x14ac:dyDescent="0.3">
      <c r="A40" s="4" t="s">
        <v>354</v>
      </c>
      <c r="B40" s="11"/>
    </row>
    <row r="41" spans="1:15" x14ac:dyDescent="0.25">
      <c r="B41" s="5" t="s">
        <v>202</v>
      </c>
      <c r="C41" s="90">
        <f t="shared" ref="C41:D44" si="8">IF(C18=1,1,C18*0.9)</f>
        <v>1</v>
      </c>
      <c r="D41" s="90">
        <f t="shared" si="8"/>
        <v>1</v>
      </c>
      <c r="E41" s="90">
        <v>0.97499999999999998</v>
      </c>
      <c r="F41" s="90">
        <v>0.97499999999999998</v>
      </c>
      <c r="G41" s="90">
        <v>0.97499999999999998</v>
      </c>
      <c r="H41" s="90">
        <v>0.97499999999999998</v>
      </c>
      <c r="I41" s="90">
        <v>0.97499999999999998</v>
      </c>
      <c r="J41" s="90">
        <v>0.97499999999999998</v>
      </c>
      <c r="K41" s="90">
        <v>0.97499999999999998</v>
      </c>
      <c r="L41" s="90">
        <v>0.97499999999999998</v>
      </c>
      <c r="M41" s="90">
        <v>0.97499999999999998</v>
      </c>
      <c r="N41" s="90">
        <v>0.97499999999999998</v>
      </c>
      <c r="O41" s="90">
        <v>0.97499999999999998</v>
      </c>
    </row>
    <row r="42" spans="1:15" x14ac:dyDescent="0.25">
      <c r="B42" s="5" t="s">
        <v>203</v>
      </c>
      <c r="C42" s="90">
        <f t="shared" si="8"/>
        <v>1</v>
      </c>
      <c r="D42" s="90">
        <f t="shared" si="8"/>
        <v>1</v>
      </c>
      <c r="E42" s="90">
        <v>0.97499999999999998</v>
      </c>
      <c r="F42" s="90">
        <v>0.97499999999999998</v>
      </c>
      <c r="G42" s="90">
        <v>0.97499999999999998</v>
      </c>
      <c r="H42" s="90">
        <v>0.97499999999999998</v>
      </c>
      <c r="I42" s="90">
        <v>0.97499999999999998</v>
      </c>
      <c r="J42" s="90">
        <v>0.97499999999999998</v>
      </c>
      <c r="K42" s="90">
        <v>0.97499999999999998</v>
      </c>
      <c r="L42" s="90">
        <v>0.97499999999999998</v>
      </c>
      <c r="M42" s="90">
        <v>0.97499999999999998</v>
      </c>
      <c r="N42" s="90">
        <v>0.97499999999999998</v>
      </c>
      <c r="O42" s="90">
        <v>0.97499999999999998</v>
      </c>
    </row>
    <row r="43" spans="1:15" x14ac:dyDescent="0.25">
      <c r="B43" s="5" t="s">
        <v>204</v>
      </c>
      <c r="C43" s="90">
        <f t="shared" si="8"/>
        <v>1</v>
      </c>
      <c r="D43" s="90">
        <f t="shared" si="8"/>
        <v>1</v>
      </c>
      <c r="E43" s="90">
        <v>0.97499999999999998</v>
      </c>
      <c r="F43" s="90">
        <v>0.97499999999999998</v>
      </c>
      <c r="G43" s="90">
        <v>0.97499999999999998</v>
      </c>
      <c r="H43" s="90">
        <v>0.97499999999999998</v>
      </c>
      <c r="I43" s="90">
        <v>0.97499999999999998</v>
      </c>
      <c r="J43" s="90">
        <v>0.97499999999999998</v>
      </c>
      <c r="K43" s="90">
        <v>0.97499999999999998</v>
      </c>
      <c r="L43" s="90">
        <v>0.97499999999999998</v>
      </c>
      <c r="M43" s="90">
        <v>0.97499999999999998</v>
      </c>
      <c r="N43" s="90">
        <v>0.97499999999999998</v>
      </c>
      <c r="O43" s="90">
        <v>0.97499999999999998</v>
      </c>
    </row>
    <row r="44" spans="1:15" x14ac:dyDescent="0.25">
      <c r="B44" s="5" t="s">
        <v>212</v>
      </c>
      <c r="C44" s="90">
        <f t="shared" si="8"/>
        <v>1</v>
      </c>
      <c r="D44" s="90">
        <f t="shared" si="8"/>
        <v>1</v>
      </c>
      <c r="E44" s="90">
        <v>0.97499999999999998</v>
      </c>
      <c r="F44" s="90">
        <v>0.97499999999999998</v>
      </c>
      <c r="G44" s="90">
        <v>0.97499999999999998</v>
      </c>
      <c r="H44" s="90">
        <v>0.97499999999999998</v>
      </c>
      <c r="I44" s="90">
        <v>0.97499999999999998</v>
      </c>
      <c r="J44" s="90">
        <v>0.97499999999999998</v>
      </c>
      <c r="K44" s="90">
        <v>0.97499999999999998</v>
      </c>
      <c r="L44" s="90">
        <v>0.97499999999999998</v>
      </c>
      <c r="M44" s="90">
        <v>0.97499999999999998</v>
      </c>
      <c r="N44" s="90">
        <v>0.97499999999999998</v>
      </c>
      <c r="O44" s="90">
        <v>0.97499999999999998</v>
      </c>
    </row>
    <row r="46" spans="1:15" s="92" customFormat="1" ht="13" x14ac:dyDescent="0.3">
      <c r="A46" s="92" t="s">
        <v>270</v>
      </c>
    </row>
    <row r="47" spans="1:15" ht="26.4" customHeight="1" x14ac:dyDescent="0.3">
      <c r="A47" s="4"/>
      <c r="B47" s="4"/>
      <c r="C47" s="70" t="s">
        <v>127</v>
      </c>
      <c r="D47" s="70" t="s">
        <v>114</v>
      </c>
      <c r="E47" s="70" t="s">
        <v>115</v>
      </c>
      <c r="F47" s="70" t="s">
        <v>116</v>
      </c>
      <c r="G47" s="70" t="s">
        <v>117</v>
      </c>
      <c r="H47" s="70" t="s">
        <v>87</v>
      </c>
      <c r="I47" s="70" t="s">
        <v>88</v>
      </c>
      <c r="J47" s="70" t="s">
        <v>89</v>
      </c>
      <c r="K47" s="70" t="s">
        <v>90</v>
      </c>
      <c r="L47" s="70" t="s">
        <v>140</v>
      </c>
      <c r="M47" s="70" t="s">
        <v>141</v>
      </c>
      <c r="N47" s="70" t="s">
        <v>142</v>
      </c>
      <c r="O47" s="70" t="s">
        <v>143</v>
      </c>
    </row>
    <row r="48" spans="1:15" ht="13" x14ac:dyDescent="0.3">
      <c r="A48" s="4" t="s">
        <v>353</v>
      </c>
    </row>
    <row r="49" spans="1:15" x14ac:dyDescent="0.25">
      <c r="B49" s="11" t="s">
        <v>200</v>
      </c>
      <c r="C49" s="90">
        <v>0.99</v>
      </c>
      <c r="D49" s="90">
        <v>0.99</v>
      </c>
      <c r="E49" s="90">
        <v>0.99</v>
      </c>
      <c r="F49" s="90">
        <f t="shared" ref="F49:O49" si="9">IF(F3=1,1,F3*1.05)</f>
        <v>1</v>
      </c>
      <c r="G49" s="90">
        <f t="shared" si="9"/>
        <v>1</v>
      </c>
      <c r="H49" s="90">
        <f t="shared" si="9"/>
        <v>1</v>
      </c>
      <c r="I49" s="90">
        <f t="shared" si="9"/>
        <v>1</v>
      </c>
      <c r="J49" s="90">
        <f t="shared" si="9"/>
        <v>1</v>
      </c>
      <c r="K49" s="90">
        <f t="shared" si="9"/>
        <v>1</v>
      </c>
      <c r="L49" s="90">
        <f t="shared" si="9"/>
        <v>1</v>
      </c>
      <c r="M49" s="90">
        <f t="shared" si="9"/>
        <v>1</v>
      </c>
      <c r="N49" s="90">
        <f t="shared" si="9"/>
        <v>1</v>
      </c>
      <c r="O49" s="90">
        <f t="shared" si="9"/>
        <v>1</v>
      </c>
    </row>
    <row r="50" spans="1:15" x14ac:dyDescent="0.25">
      <c r="B50" s="11" t="s">
        <v>205</v>
      </c>
      <c r="C50" s="90">
        <f t="shared" ref="C50:G57" si="10">IF(C4=1,1,C4*1.05)</f>
        <v>1</v>
      </c>
      <c r="D50" s="90">
        <f t="shared" si="10"/>
        <v>1</v>
      </c>
      <c r="E50" s="90">
        <f t="shared" si="10"/>
        <v>1</v>
      </c>
      <c r="F50" s="90">
        <f t="shared" si="10"/>
        <v>1</v>
      </c>
      <c r="G50" s="90">
        <f t="shared" si="10"/>
        <v>1</v>
      </c>
      <c r="H50" s="90">
        <v>0.95</v>
      </c>
      <c r="I50" s="90">
        <v>0.95</v>
      </c>
      <c r="J50" s="90">
        <v>0.95</v>
      </c>
      <c r="K50" s="90">
        <v>0.95</v>
      </c>
      <c r="L50" s="90">
        <f t="shared" ref="L50:O53" si="11">IF(L4=1,1,L4*1.05)</f>
        <v>1</v>
      </c>
      <c r="M50" s="90">
        <f t="shared" si="11"/>
        <v>1</v>
      </c>
      <c r="N50" s="90">
        <f t="shared" si="11"/>
        <v>1</v>
      </c>
      <c r="O50" s="90">
        <f t="shared" si="11"/>
        <v>1</v>
      </c>
    </row>
    <row r="51" spans="1:15" x14ac:dyDescent="0.25">
      <c r="B51" s="11" t="s">
        <v>206</v>
      </c>
      <c r="C51" s="90">
        <f t="shared" si="10"/>
        <v>1</v>
      </c>
      <c r="D51" s="90">
        <f t="shared" si="10"/>
        <v>1</v>
      </c>
      <c r="E51" s="90">
        <f t="shared" si="10"/>
        <v>1</v>
      </c>
      <c r="F51" s="90">
        <f t="shared" si="10"/>
        <v>1</v>
      </c>
      <c r="G51" s="90">
        <f t="shared" si="10"/>
        <v>1</v>
      </c>
      <c r="H51" s="90">
        <v>0.95</v>
      </c>
      <c r="I51" s="90">
        <v>0.95</v>
      </c>
      <c r="J51" s="90">
        <v>0.95</v>
      </c>
      <c r="K51" s="90">
        <v>0.95</v>
      </c>
      <c r="L51" s="90">
        <f t="shared" si="11"/>
        <v>1</v>
      </c>
      <c r="M51" s="90">
        <f t="shared" si="11"/>
        <v>1</v>
      </c>
      <c r="N51" s="90">
        <f t="shared" si="11"/>
        <v>1</v>
      </c>
      <c r="O51" s="90">
        <f t="shared" si="11"/>
        <v>1</v>
      </c>
    </row>
    <row r="52" spans="1:15" x14ac:dyDescent="0.25">
      <c r="B52" s="11" t="s">
        <v>207</v>
      </c>
      <c r="C52" s="90">
        <f t="shared" si="10"/>
        <v>1</v>
      </c>
      <c r="D52" s="90">
        <f t="shared" si="10"/>
        <v>1</v>
      </c>
      <c r="E52" s="90">
        <f t="shared" si="10"/>
        <v>1</v>
      </c>
      <c r="F52" s="90">
        <f t="shared" si="10"/>
        <v>1</v>
      </c>
      <c r="G52" s="90">
        <f t="shared" si="10"/>
        <v>1</v>
      </c>
      <c r="H52" s="90">
        <v>0.95</v>
      </c>
      <c r="I52" s="90">
        <v>0.95</v>
      </c>
      <c r="J52" s="90">
        <v>0.95</v>
      </c>
      <c r="K52" s="90">
        <v>0.95</v>
      </c>
      <c r="L52" s="90">
        <f t="shared" si="11"/>
        <v>1</v>
      </c>
      <c r="M52" s="90">
        <f t="shared" si="11"/>
        <v>1</v>
      </c>
      <c r="N52" s="90">
        <f t="shared" si="11"/>
        <v>1</v>
      </c>
      <c r="O52" s="90">
        <f t="shared" si="11"/>
        <v>1</v>
      </c>
    </row>
    <row r="53" spans="1:15" x14ac:dyDescent="0.25">
      <c r="B53" s="11" t="s">
        <v>208</v>
      </c>
      <c r="C53" s="90">
        <f t="shared" si="10"/>
        <v>1</v>
      </c>
      <c r="D53" s="90">
        <f t="shared" si="10"/>
        <v>1</v>
      </c>
      <c r="E53" s="90">
        <f t="shared" si="10"/>
        <v>1</v>
      </c>
      <c r="F53" s="90">
        <f t="shared" si="10"/>
        <v>1</v>
      </c>
      <c r="G53" s="90">
        <f t="shared" si="10"/>
        <v>1</v>
      </c>
      <c r="H53" s="90">
        <v>0.95</v>
      </c>
      <c r="I53" s="90">
        <v>0.95</v>
      </c>
      <c r="J53" s="90">
        <v>0.95</v>
      </c>
      <c r="K53" s="90">
        <v>0.95</v>
      </c>
      <c r="L53" s="90">
        <f t="shared" si="11"/>
        <v>1</v>
      </c>
      <c r="M53" s="90">
        <f t="shared" si="11"/>
        <v>1</v>
      </c>
      <c r="N53" s="90">
        <f t="shared" si="11"/>
        <v>1</v>
      </c>
      <c r="O53" s="90">
        <f t="shared" si="11"/>
        <v>1</v>
      </c>
    </row>
    <row r="54" spans="1:15" x14ac:dyDescent="0.25">
      <c r="B54" s="5" t="s">
        <v>209</v>
      </c>
      <c r="C54" s="90">
        <f t="shared" si="10"/>
        <v>1</v>
      </c>
      <c r="D54" s="90">
        <f t="shared" si="10"/>
        <v>1</v>
      </c>
      <c r="E54" s="90">
        <f t="shared" si="10"/>
        <v>1</v>
      </c>
      <c r="F54" s="90">
        <f t="shared" si="10"/>
        <v>1</v>
      </c>
      <c r="G54" s="90">
        <f t="shared" si="10"/>
        <v>1</v>
      </c>
      <c r="H54" s="90">
        <f t="shared" ref="H54:K57" si="12">IF(H8=1,1,H8*1.05)</f>
        <v>1</v>
      </c>
      <c r="I54" s="90">
        <f t="shared" si="12"/>
        <v>1</v>
      </c>
      <c r="J54" s="90">
        <f t="shared" si="12"/>
        <v>1</v>
      </c>
      <c r="K54" s="90">
        <f t="shared" si="12"/>
        <v>1</v>
      </c>
      <c r="L54" s="90">
        <v>0.7</v>
      </c>
      <c r="M54" s="90">
        <v>0.7</v>
      </c>
      <c r="N54" s="90">
        <v>0.7</v>
      </c>
      <c r="O54" s="90">
        <v>0.7</v>
      </c>
    </row>
    <row r="55" spans="1:15" x14ac:dyDescent="0.25">
      <c r="B55" s="5" t="s">
        <v>210</v>
      </c>
      <c r="C55" s="90">
        <f t="shared" si="10"/>
        <v>1</v>
      </c>
      <c r="D55" s="90">
        <f t="shared" si="10"/>
        <v>1</v>
      </c>
      <c r="E55" s="90">
        <f t="shared" si="10"/>
        <v>1</v>
      </c>
      <c r="F55" s="90">
        <f t="shared" si="10"/>
        <v>1</v>
      </c>
      <c r="G55" s="90">
        <f t="shared" si="10"/>
        <v>1</v>
      </c>
      <c r="H55" s="90">
        <f t="shared" si="12"/>
        <v>1</v>
      </c>
      <c r="I55" s="90">
        <f t="shared" si="12"/>
        <v>1</v>
      </c>
      <c r="J55" s="90">
        <f t="shared" si="12"/>
        <v>1</v>
      </c>
      <c r="K55" s="90">
        <f t="shared" si="12"/>
        <v>1</v>
      </c>
      <c r="L55" s="90">
        <v>0.7</v>
      </c>
      <c r="M55" s="90">
        <v>0.7</v>
      </c>
      <c r="N55" s="90">
        <v>0.7</v>
      </c>
      <c r="O55" s="90">
        <v>0.7</v>
      </c>
    </row>
    <row r="56" spans="1:15" x14ac:dyDescent="0.25">
      <c r="B56" s="11" t="s">
        <v>211</v>
      </c>
      <c r="C56" s="90">
        <f t="shared" si="10"/>
        <v>1</v>
      </c>
      <c r="D56" s="90">
        <f t="shared" si="10"/>
        <v>1</v>
      </c>
      <c r="E56" s="90">
        <f t="shared" si="10"/>
        <v>1</v>
      </c>
      <c r="F56" s="90">
        <f t="shared" si="10"/>
        <v>1</v>
      </c>
      <c r="G56" s="90">
        <f t="shared" si="10"/>
        <v>1</v>
      </c>
      <c r="H56" s="90">
        <f t="shared" si="12"/>
        <v>1</v>
      </c>
      <c r="I56" s="90">
        <f t="shared" si="12"/>
        <v>1</v>
      </c>
      <c r="J56" s="90">
        <f t="shared" si="12"/>
        <v>1</v>
      </c>
      <c r="K56" s="90">
        <f t="shared" si="12"/>
        <v>1</v>
      </c>
      <c r="L56" s="90">
        <v>0.95</v>
      </c>
      <c r="M56" s="90">
        <v>0.95</v>
      </c>
      <c r="N56" s="90">
        <v>0.95</v>
      </c>
      <c r="O56" s="90">
        <v>0.95</v>
      </c>
    </row>
    <row r="57" spans="1:15" x14ac:dyDescent="0.25">
      <c r="B57" s="5" t="s">
        <v>214</v>
      </c>
      <c r="C57" s="90">
        <f t="shared" si="10"/>
        <v>1</v>
      </c>
      <c r="D57" s="90">
        <f t="shared" si="10"/>
        <v>1</v>
      </c>
      <c r="E57" s="90">
        <f t="shared" si="10"/>
        <v>1</v>
      </c>
      <c r="F57" s="90">
        <f t="shared" si="10"/>
        <v>1</v>
      </c>
      <c r="G57" s="90">
        <f t="shared" si="10"/>
        <v>1</v>
      </c>
      <c r="H57" s="90">
        <f t="shared" si="12"/>
        <v>1</v>
      </c>
      <c r="I57" s="90">
        <f t="shared" si="12"/>
        <v>1</v>
      </c>
      <c r="J57" s="90">
        <f t="shared" si="12"/>
        <v>1</v>
      </c>
      <c r="K57" s="90">
        <f t="shared" si="12"/>
        <v>1</v>
      </c>
      <c r="L57" s="90">
        <f>IF(L11=1,1,L11*1.05)</f>
        <v>1</v>
      </c>
      <c r="M57" s="90">
        <f>IF(M11=1,1,M11*1.05)</f>
        <v>1</v>
      </c>
      <c r="N57" s="90">
        <f>IF(N11=1,1,N11*1.05)</f>
        <v>1</v>
      </c>
      <c r="O57" s="90">
        <f>IF(O11=1,1,O11*1.05)</f>
        <v>1</v>
      </c>
    </row>
    <row r="58" spans="1:15" x14ac:dyDescent="0.25">
      <c r="B58" s="11" t="s">
        <v>215</v>
      </c>
      <c r="C58" s="90">
        <v>0.93</v>
      </c>
      <c r="D58" s="90">
        <v>0.93</v>
      </c>
      <c r="E58" s="90">
        <v>0.93</v>
      </c>
      <c r="F58" s="90">
        <v>0.93</v>
      </c>
      <c r="G58" s="90">
        <v>0.93</v>
      </c>
      <c r="H58" s="90">
        <v>0.93</v>
      </c>
      <c r="I58" s="90">
        <v>0.93</v>
      </c>
      <c r="J58" s="90">
        <v>0.93</v>
      </c>
      <c r="K58" s="90">
        <v>0.93</v>
      </c>
      <c r="L58" s="90">
        <v>0.93</v>
      </c>
      <c r="M58" s="90">
        <v>0.93</v>
      </c>
      <c r="N58" s="90">
        <v>0.93</v>
      </c>
      <c r="O58" s="90">
        <v>0.93</v>
      </c>
    </row>
    <row r="59" spans="1:15" x14ac:dyDescent="0.25">
      <c r="B59" s="11" t="s">
        <v>218</v>
      </c>
      <c r="C59" s="90">
        <f t="shared" ref="C59:D61" si="13">IF(C13=1,1,C13*1.05)</f>
        <v>1</v>
      </c>
      <c r="D59" s="90">
        <f t="shared" si="13"/>
        <v>1</v>
      </c>
      <c r="E59" s="90">
        <v>0.77</v>
      </c>
      <c r="F59" s="90">
        <v>0.77</v>
      </c>
      <c r="G59" s="90">
        <v>0.77</v>
      </c>
      <c r="H59" s="90">
        <f t="shared" ref="H59:O59" si="14">IF(H13=1,1,H13*1.05)</f>
        <v>1</v>
      </c>
      <c r="I59" s="90">
        <f t="shared" si="14"/>
        <v>1</v>
      </c>
      <c r="J59" s="90">
        <f t="shared" si="14"/>
        <v>1</v>
      </c>
      <c r="K59" s="90">
        <f t="shared" si="14"/>
        <v>1</v>
      </c>
      <c r="L59" s="90">
        <f t="shared" si="14"/>
        <v>1</v>
      </c>
      <c r="M59" s="90">
        <f t="shared" si="14"/>
        <v>1</v>
      </c>
      <c r="N59" s="90">
        <f t="shared" si="14"/>
        <v>1</v>
      </c>
      <c r="O59" s="90">
        <f t="shared" si="14"/>
        <v>1</v>
      </c>
    </row>
    <row r="60" spans="1:15" x14ac:dyDescent="0.25">
      <c r="B60" s="11" t="s">
        <v>219</v>
      </c>
      <c r="C60" s="90">
        <f t="shared" si="13"/>
        <v>1</v>
      </c>
      <c r="D60" s="90">
        <f t="shared" si="13"/>
        <v>1</v>
      </c>
      <c r="E60" s="90">
        <f t="shared" ref="E60:K60" si="15">IF(E14=1,1,E14*1.05)</f>
        <v>1</v>
      </c>
      <c r="F60" s="90">
        <f t="shared" si="15"/>
        <v>1</v>
      </c>
      <c r="G60" s="90">
        <f t="shared" si="15"/>
        <v>1</v>
      </c>
      <c r="H60" s="90">
        <f t="shared" si="15"/>
        <v>1</v>
      </c>
      <c r="I60" s="90">
        <f t="shared" si="15"/>
        <v>1</v>
      </c>
      <c r="J60" s="90">
        <f t="shared" si="15"/>
        <v>1</v>
      </c>
      <c r="K60" s="90">
        <f t="shared" si="15"/>
        <v>1</v>
      </c>
      <c r="L60" s="90">
        <v>1</v>
      </c>
      <c r="M60" s="90">
        <v>1</v>
      </c>
      <c r="N60" s="90">
        <v>1</v>
      </c>
      <c r="O60" s="90">
        <v>1</v>
      </c>
    </row>
    <row r="61" spans="1:15" x14ac:dyDescent="0.25">
      <c r="B61" s="5" t="s">
        <v>234</v>
      </c>
      <c r="C61" s="90">
        <f t="shared" si="13"/>
        <v>1</v>
      </c>
      <c r="D61" s="90">
        <f t="shared" si="13"/>
        <v>1</v>
      </c>
      <c r="E61" s="90">
        <v>0.44</v>
      </c>
      <c r="F61" s="90">
        <v>0.44</v>
      </c>
      <c r="G61" s="90">
        <f t="shared" ref="G61:O61" si="16">IF(G15=1,1,G15*1.05)</f>
        <v>1</v>
      </c>
      <c r="H61" s="90">
        <f t="shared" si="16"/>
        <v>1</v>
      </c>
      <c r="I61" s="90">
        <f t="shared" si="16"/>
        <v>1</v>
      </c>
      <c r="J61" s="90">
        <f t="shared" si="16"/>
        <v>1</v>
      </c>
      <c r="K61" s="90">
        <f t="shared" si="16"/>
        <v>1</v>
      </c>
      <c r="L61" s="90">
        <f t="shared" si="16"/>
        <v>1</v>
      </c>
      <c r="M61" s="90">
        <f t="shared" si="16"/>
        <v>1</v>
      </c>
      <c r="N61" s="90">
        <f t="shared" si="16"/>
        <v>1</v>
      </c>
      <c r="O61" s="90">
        <f t="shared" si="16"/>
        <v>1</v>
      </c>
    </row>
    <row r="63" spans="1:15" ht="13" x14ac:dyDescent="0.3">
      <c r="A63" s="4" t="s">
        <v>355</v>
      </c>
      <c r="B63" s="11"/>
    </row>
    <row r="64" spans="1:15" x14ac:dyDescent="0.25">
      <c r="B64" s="5" t="s">
        <v>202</v>
      </c>
      <c r="C64" s="90">
        <f t="shared" ref="C64:D67" si="17">IF(C18=1,1,C18*1.05)</f>
        <v>1</v>
      </c>
      <c r="D64" s="90">
        <f t="shared" si="17"/>
        <v>1</v>
      </c>
      <c r="E64" s="90">
        <v>0.97799999999999998</v>
      </c>
      <c r="F64" s="90">
        <v>0.97799999999999998</v>
      </c>
      <c r="G64" s="90">
        <v>0.97799999999999998</v>
      </c>
      <c r="H64" s="90">
        <v>0.97799999999999998</v>
      </c>
      <c r="I64" s="90">
        <v>0.97799999999999998</v>
      </c>
      <c r="J64" s="90">
        <v>0.97799999999999998</v>
      </c>
      <c r="K64" s="90">
        <v>0.97799999999999998</v>
      </c>
      <c r="L64" s="90">
        <v>0.97799999999999998</v>
      </c>
      <c r="M64" s="90">
        <v>0.97799999999999998</v>
      </c>
      <c r="N64" s="90">
        <v>0.97799999999999998</v>
      </c>
      <c r="O64" s="90">
        <v>0.97799999999999998</v>
      </c>
    </row>
    <row r="65" spans="2:15" x14ac:dyDescent="0.25">
      <c r="B65" s="5" t="s">
        <v>203</v>
      </c>
      <c r="C65" s="90">
        <f t="shared" si="17"/>
        <v>1</v>
      </c>
      <c r="D65" s="90">
        <f t="shared" si="17"/>
        <v>1</v>
      </c>
      <c r="E65" s="90">
        <v>0.97799999999999998</v>
      </c>
      <c r="F65" s="90">
        <v>0.97799999999999998</v>
      </c>
      <c r="G65" s="90">
        <v>0.97799999999999998</v>
      </c>
      <c r="H65" s="90">
        <v>0.97799999999999998</v>
      </c>
      <c r="I65" s="90">
        <v>0.97799999999999998</v>
      </c>
      <c r="J65" s="90">
        <v>0.97799999999999998</v>
      </c>
      <c r="K65" s="90">
        <v>0.97799999999999998</v>
      </c>
      <c r="L65" s="90">
        <v>0.97799999999999998</v>
      </c>
      <c r="M65" s="90">
        <v>0.97799999999999998</v>
      </c>
      <c r="N65" s="90">
        <v>0.97799999999999998</v>
      </c>
      <c r="O65" s="90">
        <v>0.97799999999999998</v>
      </c>
    </row>
    <row r="66" spans="2:15" x14ac:dyDescent="0.25">
      <c r="B66" s="5" t="s">
        <v>204</v>
      </c>
      <c r="C66" s="90">
        <f t="shared" si="17"/>
        <v>1</v>
      </c>
      <c r="D66" s="90">
        <f t="shared" si="17"/>
        <v>1</v>
      </c>
      <c r="E66" s="90">
        <v>0.97799999999999998</v>
      </c>
      <c r="F66" s="90">
        <v>0.97799999999999998</v>
      </c>
      <c r="G66" s="90">
        <v>0.97799999999999998</v>
      </c>
      <c r="H66" s="90">
        <v>0.97799999999999998</v>
      </c>
      <c r="I66" s="90">
        <v>0.97799999999999998</v>
      </c>
      <c r="J66" s="90">
        <v>0.97799999999999998</v>
      </c>
      <c r="K66" s="90">
        <v>0.97799999999999998</v>
      </c>
      <c r="L66" s="90">
        <v>0.97799999999999998</v>
      </c>
      <c r="M66" s="90">
        <v>0.97799999999999998</v>
      </c>
      <c r="N66" s="90">
        <v>0.97799999999999998</v>
      </c>
      <c r="O66" s="90">
        <v>0.97799999999999998</v>
      </c>
    </row>
    <row r="67" spans="2:15" x14ac:dyDescent="0.25">
      <c r="B67" s="5" t="s">
        <v>212</v>
      </c>
      <c r="C67" s="90">
        <f t="shared" si="17"/>
        <v>1</v>
      </c>
      <c r="D67" s="90">
        <f t="shared" si="17"/>
        <v>1</v>
      </c>
      <c r="E67" s="90">
        <v>0.97799999999999998</v>
      </c>
      <c r="F67" s="90">
        <v>0.97799999999999998</v>
      </c>
      <c r="G67" s="90">
        <v>0.97799999999999998</v>
      </c>
      <c r="H67" s="90">
        <v>0.97799999999999998</v>
      </c>
      <c r="I67" s="90">
        <v>0.97799999999999998</v>
      </c>
      <c r="J67" s="90">
        <v>0.97799999999999998</v>
      </c>
      <c r="K67" s="90">
        <v>0.97799999999999998</v>
      </c>
      <c r="L67" s="90">
        <v>0.97799999999999998</v>
      </c>
      <c r="M67" s="90">
        <v>0.97799999999999998</v>
      </c>
      <c r="N67" s="90">
        <v>0.97799999999999998</v>
      </c>
      <c r="O67" s="90">
        <v>0.97799999999999998</v>
      </c>
    </row>
  </sheetData>
  <sheetProtection algorithmName="SHA-512" hashValue="hwlzhM7qkerkrPhZ7JkPhgw/vdnEbGLiYCoKq/KMwTCLJMMRqzINjy8g8jMU1KgI7bFODvMEUPRT/idvGVtvMQ==" saltValue="6SVzc/Wt+b2p7GxwoHobdA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900-000000000000}">
  <sheetPr codeName="Sheet26">
    <tabColor theme="0" tint="-0.249977111117893"/>
  </sheetPr>
  <dimension ref="A1:G19"/>
  <sheetViews>
    <sheetView zoomScale="85" zoomScaleNormal="85" workbookViewId="0">
      <selection activeCell="C17" sqref="C17"/>
    </sheetView>
  </sheetViews>
  <sheetFormatPr defaultColWidth="12.6328125" defaultRowHeight="12.5" x14ac:dyDescent="0.25"/>
  <cols>
    <col min="1" max="1" width="21.36328125" style="8" customWidth="1"/>
    <col min="2" max="2" width="27.6328125" style="8" customWidth="1"/>
    <col min="3" max="7" width="15.54296875" style="8" customWidth="1"/>
    <col min="8" max="9" width="12.6328125" style="8" customWidth="1"/>
    <col min="10" max="16384" width="12.6328125" style="8"/>
  </cols>
  <sheetData>
    <row r="1" spans="1:7" ht="13" x14ac:dyDescent="0.3">
      <c r="A1" s="4"/>
      <c r="B1" s="1"/>
      <c r="C1" s="4" t="s">
        <v>127</v>
      </c>
      <c r="D1" s="4" t="s">
        <v>114</v>
      </c>
      <c r="E1" s="4" t="s">
        <v>115</v>
      </c>
      <c r="F1" s="4" t="s">
        <v>116</v>
      </c>
      <c r="G1" s="4" t="s">
        <v>117</v>
      </c>
    </row>
    <row r="2" spans="1:7" ht="13" x14ac:dyDescent="0.3">
      <c r="A2" s="4" t="s">
        <v>356</v>
      </c>
    </row>
    <row r="3" spans="1:7" x14ac:dyDescent="0.25">
      <c r="B3" s="11" t="s">
        <v>190</v>
      </c>
      <c r="C3" s="90">
        <v>1</v>
      </c>
      <c r="D3" s="90">
        <f>1/1.33</f>
        <v>0.75187969924812026</v>
      </c>
      <c r="E3" s="90">
        <f>1/1.33</f>
        <v>0.75187969924812026</v>
      </c>
      <c r="F3" s="90">
        <f>1/1.33</f>
        <v>0.75187969924812026</v>
      </c>
      <c r="G3" s="90">
        <f>1/1.33</f>
        <v>0.75187969924812026</v>
      </c>
    </row>
    <row r="4" spans="1:7" ht="13" x14ac:dyDescent="0.3">
      <c r="A4" s="4" t="s">
        <v>357</v>
      </c>
      <c r="B4" s="11"/>
      <c r="C4" s="83"/>
      <c r="D4" s="83"/>
      <c r="E4" s="83"/>
      <c r="F4" s="83"/>
      <c r="G4" s="83"/>
    </row>
    <row r="5" spans="1:7" x14ac:dyDescent="0.25">
      <c r="B5" s="5" t="s">
        <v>194</v>
      </c>
      <c r="C5" s="90">
        <v>1</v>
      </c>
      <c r="D5" s="90">
        <f>1/1.33</f>
        <v>0.75187969924812026</v>
      </c>
      <c r="E5" s="90">
        <f>1/1.33</f>
        <v>0.75187969924812026</v>
      </c>
      <c r="F5" s="90">
        <f>1/1.33</f>
        <v>0.75187969924812026</v>
      </c>
      <c r="G5" s="90">
        <f>1/1.33</f>
        <v>0.75187969924812026</v>
      </c>
    </row>
    <row r="7" spans="1:7" s="92" customFormat="1" ht="13" x14ac:dyDescent="0.3">
      <c r="A7" s="92" t="s">
        <v>362</v>
      </c>
    </row>
    <row r="8" spans="1:7" ht="13" x14ac:dyDescent="0.3">
      <c r="A8" s="4"/>
      <c r="B8" s="1"/>
      <c r="C8" s="4" t="s">
        <v>127</v>
      </c>
      <c r="D8" s="4" t="s">
        <v>114</v>
      </c>
      <c r="E8" s="4" t="s">
        <v>115</v>
      </c>
      <c r="F8" s="4" t="s">
        <v>116</v>
      </c>
      <c r="G8" s="4" t="s">
        <v>117</v>
      </c>
    </row>
    <row r="9" spans="1:7" ht="13" x14ac:dyDescent="0.3">
      <c r="A9" s="4" t="s">
        <v>358</v>
      </c>
    </row>
    <row r="10" spans="1:7" x14ac:dyDescent="0.25">
      <c r="B10" s="11" t="s">
        <v>190</v>
      </c>
      <c r="C10" s="90">
        <v>1</v>
      </c>
      <c r="D10" s="90">
        <f>1/1.54</f>
        <v>0.64935064935064934</v>
      </c>
      <c r="E10" s="90">
        <f>1/1.54</f>
        <v>0.64935064935064934</v>
      </c>
      <c r="F10" s="90">
        <f>1/1.54</f>
        <v>0.64935064935064934</v>
      </c>
      <c r="G10" s="90">
        <f>1/1.54</f>
        <v>0.64935064935064934</v>
      </c>
    </row>
    <row r="11" spans="1:7" ht="13" x14ac:dyDescent="0.3">
      <c r="A11" s="4" t="s">
        <v>359</v>
      </c>
      <c r="B11" s="11"/>
      <c r="C11" s="83"/>
      <c r="D11" s="83"/>
      <c r="E11" s="83"/>
      <c r="F11" s="83"/>
      <c r="G11" s="83"/>
    </row>
    <row r="12" spans="1:7" x14ac:dyDescent="0.25">
      <c r="B12" s="5" t="s">
        <v>194</v>
      </c>
      <c r="C12" s="90">
        <v>1</v>
      </c>
      <c r="D12" s="90">
        <f>1/1.54</f>
        <v>0.64935064935064934</v>
      </c>
      <c r="E12" s="90">
        <f>1/1.54</f>
        <v>0.64935064935064934</v>
      </c>
      <c r="F12" s="90">
        <f>1/1.54</f>
        <v>0.64935064935064934</v>
      </c>
      <c r="G12" s="90">
        <f>1/1.54</f>
        <v>0.64935064935064934</v>
      </c>
    </row>
    <row r="14" spans="1:7" s="92" customFormat="1" ht="13" x14ac:dyDescent="0.3">
      <c r="A14" s="92" t="s">
        <v>363</v>
      </c>
    </row>
    <row r="15" spans="1:7" ht="13" x14ac:dyDescent="0.3">
      <c r="A15" s="4"/>
      <c r="B15" s="1"/>
      <c r="C15" s="4" t="s">
        <v>127</v>
      </c>
      <c r="D15" s="4" t="s">
        <v>114</v>
      </c>
      <c r="E15" s="4" t="s">
        <v>115</v>
      </c>
      <c r="F15" s="4" t="s">
        <v>116</v>
      </c>
      <c r="G15" s="4" t="s">
        <v>117</v>
      </c>
    </row>
    <row r="16" spans="1:7" ht="13" x14ac:dyDescent="0.3">
      <c r="A16" s="4" t="s">
        <v>360</v>
      </c>
    </row>
    <row r="17" spans="1:7" x14ac:dyDescent="0.25">
      <c r="B17" s="11" t="s">
        <v>190</v>
      </c>
      <c r="C17" s="90">
        <v>1</v>
      </c>
      <c r="D17" s="90">
        <f>1/1.16</f>
        <v>0.86206896551724144</v>
      </c>
      <c r="E17" s="90">
        <f>1/1.16</f>
        <v>0.86206896551724144</v>
      </c>
      <c r="F17" s="90">
        <f>1/1.16</f>
        <v>0.86206896551724144</v>
      </c>
      <c r="G17" s="90">
        <f>1/1.16</f>
        <v>0.86206896551724144</v>
      </c>
    </row>
    <row r="18" spans="1:7" ht="13" x14ac:dyDescent="0.3">
      <c r="A18" s="4" t="s">
        <v>361</v>
      </c>
      <c r="B18" s="11"/>
      <c r="C18" s="83"/>
      <c r="D18" s="83"/>
      <c r="E18" s="83"/>
      <c r="F18" s="83"/>
      <c r="G18" s="83"/>
    </row>
    <row r="19" spans="1:7" x14ac:dyDescent="0.25">
      <c r="B19" s="5" t="s">
        <v>194</v>
      </c>
      <c r="C19" s="90">
        <v>1</v>
      </c>
      <c r="D19" s="90">
        <f>1/1.16</f>
        <v>0.86206896551724144</v>
      </c>
      <c r="E19" s="90">
        <f>1/1.16</f>
        <v>0.86206896551724144</v>
      </c>
      <c r="F19" s="90">
        <f>1/1.16</f>
        <v>0.86206896551724144</v>
      </c>
      <c r="G19" s="90">
        <f>1/1.16</f>
        <v>0.86206896551724144</v>
      </c>
    </row>
  </sheetData>
  <sheetProtection algorithmName="SHA-512" hashValue="c81uoEMGs6J0vbGelgf/WOyABLyAB89mplR9H9iW1nkCuJzAd4qOBjC6ke3qGGy7rPLqYfek3up4AwtaYQTNUg==" saltValue="CK/1p7P0/E252JpMO4PQPw==" spinCount="100000" sheet="1" objects="1" scenarios="1" selectLockedCells="1"/>
  <pageMargins left="0.7" right="0.7" top="0.75" bottom="0.75" header="0.3" footer="0.3"/>
  <pageSetup paperSize="9" orientation="portrait" horizontalDpi="0" verticalDpi="0"/>
  <legacyDrawing r:id="rId1"/>
</worksheet>
</file>

<file path=xl/worksheets/sheet2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A00-000000000000}">
  <sheetPr codeName="Sheet27">
    <tabColor theme="0" tint="-0.249977111117893"/>
  </sheetPr>
  <dimension ref="A1:H169"/>
  <sheetViews>
    <sheetView zoomScale="70" zoomScaleNormal="70" workbookViewId="0">
      <selection activeCell="D2" sqref="D2"/>
    </sheetView>
  </sheetViews>
  <sheetFormatPr defaultColWidth="12.7265625" defaultRowHeight="12.5" x14ac:dyDescent="0.25"/>
  <cols>
    <col min="1" max="1" width="53" style="113" customWidth="1"/>
    <col min="2" max="2" width="30.54296875" style="113" customWidth="1"/>
    <col min="3" max="3" width="24.7265625" style="113" customWidth="1"/>
    <col min="4" max="4" width="15" style="8" customWidth="1"/>
    <col min="5" max="5" width="13.6328125" style="8" customWidth="1"/>
    <col min="6" max="6" width="14.453125" style="8" customWidth="1"/>
    <col min="7" max="7" width="12.6328125" style="8" customWidth="1"/>
    <col min="8" max="8" width="17.54296875" style="8" customWidth="1"/>
    <col min="9" max="16384" width="12.7265625" style="104"/>
  </cols>
  <sheetData>
    <row r="1" spans="1:8" ht="13" x14ac:dyDescent="0.3">
      <c r="A1" s="103" t="s">
        <v>189</v>
      </c>
      <c r="B1" s="103" t="s">
        <v>364</v>
      </c>
      <c r="C1" s="120" t="s">
        <v>11</v>
      </c>
      <c r="D1" s="4" t="s">
        <v>127</v>
      </c>
      <c r="E1" s="4" t="s">
        <v>114</v>
      </c>
      <c r="F1" s="4" t="s">
        <v>115</v>
      </c>
      <c r="G1" s="4" t="s">
        <v>116</v>
      </c>
      <c r="H1" s="4" t="s">
        <v>117</v>
      </c>
    </row>
    <row r="2" spans="1:8" x14ac:dyDescent="0.25">
      <c r="A2" s="113" t="s">
        <v>222</v>
      </c>
      <c r="B2" s="113" t="s">
        <v>105</v>
      </c>
      <c r="C2" s="113" t="s">
        <v>365</v>
      </c>
      <c r="D2" s="90">
        <v>0</v>
      </c>
      <c r="E2" s="90">
        <v>0</v>
      </c>
      <c r="F2" s="90">
        <v>1</v>
      </c>
      <c r="G2" s="90">
        <v>1</v>
      </c>
      <c r="H2" s="90">
        <v>1</v>
      </c>
    </row>
    <row r="3" spans="1:8" x14ac:dyDescent="0.25">
      <c r="C3" s="113" t="s">
        <v>366</v>
      </c>
      <c r="D3" s="90">
        <v>0</v>
      </c>
      <c r="E3" s="90">
        <v>0</v>
      </c>
      <c r="F3" s="90">
        <v>0.12</v>
      </c>
      <c r="G3" s="90">
        <v>0.12</v>
      </c>
      <c r="H3" s="90">
        <v>0.12</v>
      </c>
    </row>
    <row r="4" spans="1:8" x14ac:dyDescent="0.25">
      <c r="C4" s="113" t="s">
        <v>367</v>
      </c>
      <c r="D4" s="90">
        <v>0</v>
      </c>
      <c r="E4" s="90">
        <v>0</v>
      </c>
      <c r="F4" s="90">
        <v>0.15</v>
      </c>
      <c r="G4" s="90">
        <v>0.15</v>
      </c>
      <c r="H4" s="90">
        <v>0.15</v>
      </c>
    </row>
    <row r="5" spans="1:8" x14ac:dyDescent="0.25">
      <c r="A5" s="113" t="s">
        <v>221</v>
      </c>
      <c r="B5" s="113" t="s">
        <v>237</v>
      </c>
      <c r="C5" s="113" t="s">
        <v>365</v>
      </c>
      <c r="D5" s="90">
        <v>0</v>
      </c>
      <c r="E5" s="90">
        <v>0</v>
      </c>
      <c r="F5" s="90">
        <v>1</v>
      </c>
      <c r="G5" s="90">
        <v>1</v>
      </c>
      <c r="H5" s="90">
        <v>0</v>
      </c>
    </row>
    <row r="6" spans="1:8" x14ac:dyDescent="0.25">
      <c r="C6" s="113" t="s">
        <v>367</v>
      </c>
      <c r="D6" s="90">
        <v>0</v>
      </c>
      <c r="E6" s="90">
        <v>0</v>
      </c>
      <c r="F6" s="90">
        <v>0</v>
      </c>
      <c r="G6" s="90">
        <v>0</v>
      </c>
      <c r="H6" s="90">
        <v>0</v>
      </c>
    </row>
    <row r="7" spans="1:8" x14ac:dyDescent="0.25">
      <c r="B7" s="113" t="s">
        <v>238</v>
      </c>
      <c r="C7" s="113" t="s">
        <v>365</v>
      </c>
      <c r="D7" s="90">
        <v>0</v>
      </c>
      <c r="E7" s="90">
        <v>0</v>
      </c>
      <c r="F7" s="90">
        <v>1</v>
      </c>
      <c r="G7" s="90">
        <v>1</v>
      </c>
      <c r="H7" s="90">
        <v>0</v>
      </c>
    </row>
    <row r="8" spans="1:8" x14ac:dyDescent="0.25">
      <c r="C8" s="113" t="s">
        <v>367</v>
      </c>
      <c r="D8" s="90">
        <v>0</v>
      </c>
      <c r="E8" s="90">
        <v>0</v>
      </c>
      <c r="F8" s="90">
        <v>0</v>
      </c>
      <c r="G8" s="90">
        <v>0</v>
      </c>
      <c r="H8" s="90">
        <v>0</v>
      </c>
    </row>
    <row r="9" spans="1:8" x14ac:dyDescent="0.25">
      <c r="A9" s="113" t="s">
        <v>214</v>
      </c>
      <c r="B9" s="113" t="s">
        <v>237</v>
      </c>
      <c r="C9" s="113" t="s">
        <v>365</v>
      </c>
      <c r="D9" s="90">
        <v>0</v>
      </c>
      <c r="E9" s="90">
        <v>0</v>
      </c>
      <c r="F9" s="90">
        <v>1</v>
      </c>
      <c r="G9" s="90">
        <v>1</v>
      </c>
      <c r="H9" s="90">
        <v>0</v>
      </c>
    </row>
    <row r="10" spans="1:8" x14ac:dyDescent="0.25">
      <c r="C10" s="113" t="s">
        <v>367</v>
      </c>
      <c r="D10" s="90">
        <v>0</v>
      </c>
      <c r="E10" s="90">
        <v>0</v>
      </c>
      <c r="F10" s="90">
        <v>0</v>
      </c>
      <c r="G10" s="90">
        <v>0</v>
      </c>
      <c r="H10" s="90">
        <v>0</v>
      </c>
    </row>
    <row r="11" spans="1:8" x14ac:dyDescent="0.25">
      <c r="B11" s="113" t="s">
        <v>238</v>
      </c>
      <c r="C11" s="113" t="s">
        <v>365</v>
      </c>
      <c r="D11" s="90">
        <v>0</v>
      </c>
      <c r="E11" s="90">
        <v>0</v>
      </c>
      <c r="F11" s="90">
        <v>1</v>
      </c>
      <c r="G11" s="90">
        <v>1</v>
      </c>
      <c r="H11" s="90">
        <v>0</v>
      </c>
    </row>
    <row r="12" spans="1:8" x14ac:dyDescent="0.25">
      <c r="C12" s="113" t="s">
        <v>367</v>
      </c>
      <c r="D12" s="90">
        <v>0</v>
      </c>
      <c r="E12" s="90">
        <v>0</v>
      </c>
      <c r="F12" s="90">
        <v>0</v>
      </c>
      <c r="G12" s="90">
        <v>0</v>
      </c>
      <c r="H12" s="90">
        <v>0</v>
      </c>
    </row>
    <row r="13" spans="1:8" x14ac:dyDescent="0.25">
      <c r="A13" s="113" t="s">
        <v>234</v>
      </c>
      <c r="B13" s="113" t="s">
        <v>237</v>
      </c>
      <c r="C13" s="113" t="s">
        <v>365</v>
      </c>
      <c r="D13" s="90">
        <v>0</v>
      </c>
      <c r="E13" s="90">
        <v>0</v>
      </c>
      <c r="F13" s="90">
        <v>1</v>
      </c>
      <c r="G13" s="90">
        <v>1</v>
      </c>
      <c r="H13" s="90">
        <v>0</v>
      </c>
    </row>
    <row r="14" spans="1:8" x14ac:dyDescent="0.25">
      <c r="C14" s="113" t="s">
        <v>367</v>
      </c>
      <c r="D14" s="90">
        <v>0</v>
      </c>
      <c r="E14" s="90">
        <v>0</v>
      </c>
      <c r="F14" s="90">
        <v>0.31</v>
      </c>
      <c r="G14" s="90">
        <v>0.31</v>
      </c>
      <c r="H14" s="90">
        <v>0</v>
      </c>
    </row>
    <row r="15" spans="1:8" x14ac:dyDescent="0.25">
      <c r="B15" s="113" t="s">
        <v>238</v>
      </c>
      <c r="C15" s="113" t="s">
        <v>365</v>
      </c>
      <c r="D15" s="90">
        <v>0</v>
      </c>
      <c r="E15" s="90">
        <v>0</v>
      </c>
      <c r="F15" s="90">
        <v>1</v>
      </c>
      <c r="G15" s="90">
        <v>1</v>
      </c>
      <c r="H15" s="90">
        <v>0</v>
      </c>
    </row>
    <row r="16" spans="1:8" x14ac:dyDescent="0.25">
      <c r="C16" s="113" t="s">
        <v>367</v>
      </c>
      <c r="D16" s="90">
        <v>0</v>
      </c>
      <c r="E16" s="90">
        <v>0</v>
      </c>
      <c r="F16" s="90">
        <v>0.14000000000000001</v>
      </c>
      <c r="G16" s="90">
        <v>0.14000000000000001</v>
      </c>
      <c r="H16" s="90">
        <v>0</v>
      </c>
    </row>
    <row r="17" spans="1:8" x14ac:dyDescent="0.25">
      <c r="B17" s="113" t="s">
        <v>368</v>
      </c>
      <c r="C17" s="113" t="s">
        <v>365</v>
      </c>
      <c r="D17" s="90">
        <v>0</v>
      </c>
      <c r="E17" s="90">
        <v>0</v>
      </c>
      <c r="F17" s="90">
        <v>1</v>
      </c>
      <c r="G17" s="90">
        <v>1</v>
      </c>
      <c r="H17" s="90">
        <v>0</v>
      </c>
    </row>
    <row r="18" spans="1:8" x14ac:dyDescent="0.25">
      <c r="C18" s="113" t="s">
        <v>366</v>
      </c>
      <c r="D18" s="90">
        <v>0</v>
      </c>
      <c r="E18" s="90">
        <v>0</v>
      </c>
      <c r="F18" s="90">
        <v>0</v>
      </c>
      <c r="G18" s="90">
        <v>0</v>
      </c>
      <c r="H18" s="90">
        <v>0</v>
      </c>
    </row>
    <row r="19" spans="1:8" x14ac:dyDescent="0.25">
      <c r="A19" s="113" t="s">
        <v>199</v>
      </c>
      <c r="B19" s="113" t="s">
        <v>237</v>
      </c>
      <c r="C19" s="113" t="s">
        <v>365</v>
      </c>
      <c r="D19" s="90">
        <v>0</v>
      </c>
      <c r="E19" s="90">
        <v>0</v>
      </c>
      <c r="F19" s="90">
        <v>1</v>
      </c>
      <c r="G19" s="90">
        <v>1</v>
      </c>
      <c r="H19" s="90">
        <v>1</v>
      </c>
    </row>
    <row r="20" spans="1:8" x14ac:dyDescent="0.25">
      <c r="C20" s="113" t="s">
        <v>367</v>
      </c>
      <c r="D20" s="90">
        <v>0</v>
      </c>
      <c r="E20" s="90">
        <v>0</v>
      </c>
      <c r="F20" s="90">
        <v>0</v>
      </c>
      <c r="G20" s="90">
        <v>0</v>
      </c>
      <c r="H20" s="90">
        <v>0</v>
      </c>
    </row>
    <row r="21" spans="1:8" x14ac:dyDescent="0.25">
      <c r="B21" s="113" t="s">
        <v>238</v>
      </c>
      <c r="C21" s="113" t="s">
        <v>365</v>
      </c>
      <c r="D21" s="90">
        <v>0</v>
      </c>
      <c r="E21" s="90">
        <v>0</v>
      </c>
      <c r="F21" s="90">
        <v>1</v>
      </c>
      <c r="G21" s="90">
        <v>1</v>
      </c>
      <c r="H21" s="90">
        <v>1</v>
      </c>
    </row>
    <row r="22" spans="1:8" x14ac:dyDescent="0.25">
      <c r="C22" s="113" t="s">
        <v>367</v>
      </c>
      <c r="D22" s="90">
        <v>0</v>
      </c>
      <c r="E22" s="90">
        <v>0</v>
      </c>
      <c r="F22" s="90">
        <v>0</v>
      </c>
      <c r="G22" s="90">
        <v>0</v>
      </c>
      <c r="H22" s="90">
        <v>0</v>
      </c>
    </row>
    <row r="23" spans="1:8" x14ac:dyDescent="0.25">
      <c r="A23" s="113" t="s">
        <v>204</v>
      </c>
      <c r="B23" s="113" t="s">
        <v>102</v>
      </c>
      <c r="C23" s="113" t="s">
        <v>365</v>
      </c>
      <c r="D23" s="90">
        <v>1</v>
      </c>
      <c r="E23" s="90">
        <v>0</v>
      </c>
      <c r="F23" s="90">
        <v>0</v>
      </c>
      <c r="G23" s="90">
        <v>0</v>
      </c>
      <c r="H23" s="90">
        <v>0</v>
      </c>
    </row>
    <row r="24" spans="1:8" x14ac:dyDescent="0.25">
      <c r="C24" s="113" t="s">
        <v>366</v>
      </c>
      <c r="D24" s="90">
        <v>0.13</v>
      </c>
      <c r="E24" s="90">
        <v>0</v>
      </c>
      <c r="F24" s="90">
        <v>0</v>
      </c>
      <c r="G24" s="90">
        <v>0</v>
      </c>
      <c r="H24" s="90">
        <v>0</v>
      </c>
    </row>
    <row r="25" spans="1:8" x14ac:dyDescent="0.25">
      <c r="A25" s="113" t="s">
        <v>202</v>
      </c>
      <c r="B25" s="113" t="s">
        <v>102</v>
      </c>
      <c r="C25" s="113" t="s">
        <v>365</v>
      </c>
      <c r="D25" s="90">
        <v>1</v>
      </c>
      <c r="E25" s="90">
        <v>0</v>
      </c>
      <c r="F25" s="90">
        <v>0</v>
      </c>
      <c r="G25" s="90">
        <v>0</v>
      </c>
      <c r="H25" s="90">
        <v>0</v>
      </c>
    </row>
    <row r="26" spans="1:8" x14ac:dyDescent="0.25">
      <c r="C26" s="113" t="s">
        <v>366</v>
      </c>
      <c r="D26" s="90">
        <v>0.13</v>
      </c>
      <c r="E26" s="90">
        <v>0</v>
      </c>
      <c r="F26" s="90">
        <v>0</v>
      </c>
      <c r="G26" s="90">
        <v>0</v>
      </c>
      <c r="H26" s="90">
        <v>0</v>
      </c>
    </row>
    <row r="27" spans="1:8" x14ac:dyDescent="0.25">
      <c r="A27" s="113" t="s">
        <v>203</v>
      </c>
      <c r="B27" s="113" t="s">
        <v>102</v>
      </c>
      <c r="C27" s="113" t="s">
        <v>365</v>
      </c>
      <c r="D27" s="90">
        <v>1</v>
      </c>
      <c r="E27" s="90">
        <v>0</v>
      </c>
      <c r="F27" s="90">
        <v>0</v>
      </c>
      <c r="G27" s="90">
        <v>0</v>
      </c>
      <c r="H27" s="90">
        <v>0</v>
      </c>
    </row>
    <row r="28" spans="1:8" x14ac:dyDescent="0.25">
      <c r="C28" s="113" t="s">
        <v>366</v>
      </c>
      <c r="D28" s="90">
        <v>0.13</v>
      </c>
      <c r="E28" s="90">
        <v>0</v>
      </c>
      <c r="F28" s="90">
        <v>0</v>
      </c>
      <c r="G28" s="90">
        <v>0</v>
      </c>
      <c r="H28" s="90">
        <v>0</v>
      </c>
    </row>
    <row r="29" spans="1:8" x14ac:dyDescent="0.25">
      <c r="A29" s="113" t="s">
        <v>226</v>
      </c>
      <c r="B29" s="113" t="s">
        <v>105</v>
      </c>
      <c r="C29" s="113" t="s">
        <v>365</v>
      </c>
      <c r="D29" s="90">
        <v>1</v>
      </c>
      <c r="E29" s="90">
        <v>1</v>
      </c>
      <c r="F29" s="90">
        <v>1</v>
      </c>
      <c r="G29" s="90">
        <v>1</v>
      </c>
      <c r="H29" s="90">
        <v>1</v>
      </c>
    </row>
    <row r="30" spans="1:8" x14ac:dyDescent="0.25">
      <c r="C30" s="113" t="s">
        <v>366</v>
      </c>
      <c r="D30" s="90">
        <v>0.3</v>
      </c>
      <c r="E30" s="90">
        <v>0.3</v>
      </c>
      <c r="F30" s="90">
        <v>0.3</v>
      </c>
      <c r="G30" s="90">
        <v>0.3</v>
      </c>
      <c r="H30" s="90">
        <v>0.3</v>
      </c>
    </row>
    <row r="31" spans="1:8" x14ac:dyDescent="0.25">
      <c r="C31" s="113" t="s">
        <v>367</v>
      </c>
      <c r="D31" s="90">
        <v>0</v>
      </c>
      <c r="E31" s="90">
        <v>0</v>
      </c>
      <c r="F31" s="90">
        <v>0</v>
      </c>
      <c r="G31" s="90">
        <v>0</v>
      </c>
      <c r="H31" s="90">
        <v>0</v>
      </c>
    </row>
    <row r="32" spans="1:8" x14ac:dyDescent="0.25">
      <c r="A32" s="113" t="s">
        <v>227</v>
      </c>
      <c r="B32" s="113" t="s">
        <v>105</v>
      </c>
      <c r="C32" s="113" t="s">
        <v>365</v>
      </c>
      <c r="D32" s="90">
        <v>1</v>
      </c>
      <c r="E32" s="90">
        <v>1</v>
      </c>
      <c r="F32" s="90">
        <v>1</v>
      </c>
      <c r="G32" s="90">
        <v>1</v>
      </c>
      <c r="H32" s="90">
        <v>1</v>
      </c>
    </row>
    <row r="33" spans="1:8" x14ac:dyDescent="0.25">
      <c r="C33" s="113" t="s">
        <v>366</v>
      </c>
      <c r="D33" s="90">
        <v>0</v>
      </c>
      <c r="E33" s="90">
        <v>0</v>
      </c>
      <c r="F33" s="90">
        <v>0</v>
      </c>
      <c r="G33" s="90">
        <v>0</v>
      </c>
      <c r="H33" s="90">
        <v>0</v>
      </c>
    </row>
    <row r="34" spans="1:8" x14ac:dyDescent="0.25">
      <c r="C34" s="113" t="s">
        <v>367</v>
      </c>
      <c r="D34" s="90">
        <v>0</v>
      </c>
      <c r="E34" s="90">
        <v>0</v>
      </c>
      <c r="F34" s="90">
        <v>0</v>
      </c>
      <c r="G34" s="90">
        <v>0</v>
      </c>
      <c r="H34" s="90">
        <v>0</v>
      </c>
    </row>
    <row r="35" spans="1:8" x14ac:dyDescent="0.25">
      <c r="A35" s="113" t="s">
        <v>225</v>
      </c>
      <c r="B35" s="113" t="s">
        <v>105</v>
      </c>
      <c r="C35" s="113" t="s">
        <v>365</v>
      </c>
      <c r="D35" s="90">
        <v>1</v>
      </c>
      <c r="E35" s="90">
        <v>1</v>
      </c>
      <c r="F35" s="90">
        <v>1</v>
      </c>
      <c r="G35" s="90">
        <v>1</v>
      </c>
      <c r="H35" s="90">
        <v>1</v>
      </c>
    </row>
    <row r="36" spans="1:8" x14ac:dyDescent="0.25">
      <c r="C36" s="113" t="s">
        <v>366</v>
      </c>
      <c r="D36" s="90">
        <v>0</v>
      </c>
      <c r="E36" s="90">
        <v>0</v>
      </c>
      <c r="F36" s="90">
        <v>0</v>
      </c>
      <c r="G36" s="90">
        <v>0</v>
      </c>
      <c r="H36" s="90">
        <v>0</v>
      </c>
    </row>
    <row r="37" spans="1:8" x14ac:dyDescent="0.25">
      <c r="C37" s="113" t="s">
        <v>367</v>
      </c>
      <c r="D37" s="90">
        <v>0</v>
      </c>
      <c r="E37" s="90">
        <v>0</v>
      </c>
      <c r="F37" s="90">
        <v>0</v>
      </c>
      <c r="G37" s="90">
        <v>0</v>
      </c>
      <c r="H37" s="90">
        <v>0</v>
      </c>
    </row>
    <row r="38" spans="1:8" x14ac:dyDescent="0.25">
      <c r="A38" s="113" t="s">
        <v>224</v>
      </c>
      <c r="B38" s="113" t="s">
        <v>105</v>
      </c>
      <c r="C38" s="113" t="s">
        <v>365</v>
      </c>
      <c r="D38" s="90">
        <v>1</v>
      </c>
      <c r="E38" s="90">
        <v>1</v>
      </c>
      <c r="F38" s="90">
        <v>1</v>
      </c>
      <c r="G38" s="90">
        <v>1</v>
      </c>
      <c r="H38" s="90">
        <v>1</v>
      </c>
    </row>
    <row r="39" spans="1:8" x14ac:dyDescent="0.25">
      <c r="C39" s="113" t="s">
        <v>366</v>
      </c>
      <c r="D39" s="90">
        <v>0</v>
      </c>
      <c r="E39" s="90">
        <v>0</v>
      </c>
      <c r="F39" s="90">
        <v>0</v>
      </c>
      <c r="G39" s="90">
        <v>0</v>
      </c>
      <c r="H39" s="90">
        <v>0</v>
      </c>
    </row>
    <row r="40" spans="1:8" x14ac:dyDescent="0.25">
      <c r="C40" s="113" t="s">
        <v>367</v>
      </c>
      <c r="D40" s="90">
        <v>0</v>
      </c>
      <c r="E40" s="90">
        <v>0</v>
      </c>
      <c r="F40" s="90">
        <v>0</v>
      </c>
      <c r="G40" s="90">
        <v>0</v>
      </c>
      <c r="H40" s="90">
        <v>0</v>
      </c>
    </row>
    <row r="41" spans="1:8" x14ac:dyDescent="0.25">
      <c r="A41" s="113" t="s">
        <v>223</v>
      </c>
      <c r="B41" s="113" t="s">
        <v>105</v>
      </c>
      <c r="C41" s="113" t="s">
        <v>365</v>
      </c>
      <c r="D41" s="90">
        <v>1</v>
      </c>
      <c r="E41" s="90">
        <v>1</v>
      </c>
      <c r="F41" s="90">
        <v>1</v>
      </c>
      <c r="G41" s="90">
        <v>1</v>
      </c>
      <c r="H41" s="90">
        <v>1</v>
      </c>
    </row>
    <row r="42" spans="1:8" x14ac:dyDescent="0.25">
      <c r="C42" s="113" t="s">
        <v>366</v>
      </c>
      <c r="D42" s="90">
        <v>0</v>
      </c>
      <c r="E42" s="90">
        <v>0</v>
      </c>
      <c r="F42" s="90">
        <v>0</v>
      </c>
      <c r="G42" s="90">
        <v>0</v>
      </c>
      <c r="H42" s="90">
        <v>0</v>
      </c>
    </row>
    <row r="43" spans="1:8" x14ac:dyDescent="0.25">
      <c r="C43" s="113" t="s">
        <v>367</v>
      </c>
      <c r="D43" s="90">
        <v>0</v>
      </c>
      <c r="E43" s="90">
        <v>0</v>
      </c>
      <c r="F43" s="90">
        <v>0</v>
      </c>
      <c r="G43" s="90">
        <v>0</v>
      </c>
      <c r="H43" s="90">
        <v>0</v>
      </c>
    </row>
    <row r="44" spans="1:8" x14ac:dyDescent="0.25">
      <c r="A44" s="113" t="s">
        <v>229</v>
      </c>
      <c r="B44" s="113" t="s">
        <v>105</v>
      </c>
      <c r="C44" s="113" t="s">
        <v>365</v>
      </c>
      <c r="D44" s="90">
        <v>0</v>
      </c>
      <c r="E44" s="90">
        <v>1</v>
      </c>
      <c r="F44" s="90">
        <v>1</v>
      </c>
      <c r="G44" s="90">
        <v>1</v>
      </c>
      <c r="H44" s="90">
        <v>1</v>
      </c>
    </row>
    <row r="45" spans="1:8" x14ac:dyDescent="0.25">
      <c r="C45" s="113" t="s">
        <v>366</v>
      </c>
      <c r="D45" s="90">
        <v>0</v>
      </c>
      <c r="E45" s="90">
        <v>0</v>
      </c>
      <c r="F45" s="90">
        <v>0</v>
      </c>
      <c r="G45" s="90">
        <v>0</v>
      </c>
      <c r="H45" s="90">
        <v>0</v>
      </c>
    </row>
    <row r="46" spans="1:8" x14ac:dyDescent="0.25">
      <c r="C46" s="113" t="s">
        <v>367</v>
      </c>
      <c r="D46" s="90">
        <v>0.09</v>
      </c>
      <c r="E46" s="90">
        <v>0.09</v>
      </c>
      <c r="F46" s="90">
        <v>0.09</v>
      </c>
      <c r="G46" s="90">
        <v>0.09</v>
      </c>
      <c r="H46" s="90">
        <v>0.09</v>
      </c>
    </row>
    <row r="47" spans="1:8" x14ac:dyDescent="0.25">
      <c r="B47" s="113" t="s">
        <v>106</v>
      </c>
      <c r="C47" s="113" t="s">
        <v>365</v>
      </c>
      <c r="D47" s="90">
        <v>0</v>
      </c>
      <c r="E47" s="90">
        <v>1</v>
      </c>
      <c r="F47" s="90">
        <v>1</v>
      </c>
      <c r="G47" s="90">
        <v>1</v>
      </c>
      <c r="H47" s="90">
        <v>1</v>
      </c>
    </row>
    <row r="48" spans="1:8" x14ac:dyDescent="0.25">
      <c r="C48" s="113" t="s">
        <v>366</v>
      </c>
      <c r="D48" s="90">
        <v>0</v>
      </c>
      <c r="E48" s="90">
        <v>0</v>
      </c>
      <c r="F48" s="90">
        <v>0</v>
      </c>
      <c r="G48" s="90">
        <v>0</v>
      </c>
      <c r="H48" s="90">
        <v>0</v>
      </c>
    </row>
    <row r="49" spans="1:8" x14ac:dyDescent="0.25">
      <c r="C49" s="113" t="s">
        <v>367</v>
      </c>
      <c r="D49" s="90">
        <v>0</v>
      </c>
      <c r="E49" s="90">
        <v>0</v>
      </c>
      <c r="F49" s="90">
        <v>0</v>
      </c>
      <c r="G49" s="90">
        <v>0</v>
      </c>
      <c r="H49" s="90">
        <v>0</v>
      </c>
    </row>
    <row r="50" spans="1:8" x14ac:dyDescent="0.25">
      <c r="A50" s="113" t="s">
        <v>220</v>
      </c>
      <c r="B50" s="113" t="s">
        <v>105</v>
      </c>
      <c r="C50" s="113" t="s">
        <v>365</v>
      </c>
      <c r="D50" s="90">
        <v>1</v>
      </c>
      <c r="E50" s="90">
        <v>1</v>
      </c>
      <c r="F50" s="90">
        <v>1</v>
      </c>
      <c r="G50" s="90">
        <v>1</v>
      </c>
      <c r="H50" s="90">
        <v>1</v>
      </c>
    </row>
    <row r="51" spans="1:8" x14ac:dyDescent="0.25">
      <c r="C51" s="113" t="s">
        <v>366</v>
      </c>
      <c r="D51" s="90">
        <v>0.69</v>
      </c>
      <c r="E51" s="90">
        <v>0.69</v>
      </c>
      <c r="F51" s="90">
        <v>0.69</v>
      </c>
      <c r="G51" s="90">
        <v>0.69</v>
      </c>
      <c r="H51" s="90">
        <v>0.69</v>
      </c>
    </row>
    <row r="52" spans="1:8" x14ac:dyDescent="0.25">
      <c r="A52" s="113" t="s">
        <v>228</v>
      </c>
      <c r="B52" s="113" t="s">
        <v>105</v>
      </c>
      <c r="C52" s="113" t="s">
        <v>365</v>
      </c>
      <c r="D52" s="90">
        <v>1</v>
      </c>
      <c r="E52" s="90">
        <v>1</v>
      </c>
      <c r="F52" s="90">
        <v>1</v>
      </c>
      <c r="G52" s="90">
        <v>1</v>
      </c>
      <c r="H52" s="90">
        <v>1</v>
      </c>
    </row>
    <row r="53" spans="1:8" x14ac:dyDescent="0.25">
      <c r="C53" s="113" t="s">
        <v>366</v>
      </c>
      <c r="D53" s="90">
        <v>0.76</v>
      </c>
      <c r="E53" s="90">
        <v>0.76</v>
      </c>
      <c r="F53" s="90">
        <v>0.76</v>
      </c>
      <c r="G53" s="90">
        <v>0.76</v>
      </c>
      <c r="H53" s="90">
        <v>0.76</v>
      </c>
    </row>
    <row r="54" spans="1:8" x14ac:dyDescent="0.25">
      <c r="A54" s="113" t="s">
        <v>213</v>
      </c>
      <c r="B54" s="113" t="s">
        <v>100</v>
      </c>
      <c r="C54" s="113" t="s">
        <v>365</v>
      </c>
      <c r="D54" s="90">
        <v>1</v>
      </c>
      <c r="E54" s="90">
        <v>0</v>
      </c>
      <c r="F54" s="90">
        <v>0</v>
      </c>
      <c r="G54" s="90">
        <v>0</v>
      </c>
      <c r="H54" s="90">
        <v>0</v>
      </c>
    </row>
    <row r="55" spans="1:8" x14ac:dyDescent="0.25">
      <c r="C55" s="113" t="s">
        <v>366</v>
      </c>
      <c r="D55" s="90">
        <v>0.32</v>
      </c>
      <c r="E55" s="90">
        <v>0</v>
      </c>
      <c r="F55" s="90">
        <v>0</v>
      </c>
      <c r="G55" s="90">
        <v>0</v>
      </c>
      <c r="H55" s="90">
        <v>0</v>
      </c>
    </row>
    <row r="57" spans="1:8" s="125" customFormat="1" ht="13" x14ac:dyDescent="0.3">
      <c r="A57" s="123" t="s">
        <v>362</v>
      </c>
      <c r="B57" s="124"/>
      <c r="C57" s="124"/>
      <c r="D57" s="93"/>
      <c r="E57" s="93"/>
      <c r="F57" s="93"/>
      <c r="G57" s="93"/>
      <c r="H57" s="93"/>
    </row>
    <row r="58" spans="1:8" ht="13" x14ac:dyDescent="0.3">
      <c r="A58" s="103" t="s">
        <v>189</v>
      </c>
      <c r="B58" s="103" t="s">
        <v>364</v>
      </c>
      <c r="C58" s="120" t="s">
        <v>11</v>
      </c>
      <c r="D58" s="4" t="s">
        <v>127</v>
      </c>
      <c r="E58" s="4" t="s">
        <v>114</v>
      </c>
      <c r="F58" s="4" t="s">
        <v>115</v>
      </c>
      <c r="G58" s="4" t="s">
        <v>116</v>
      </c>
      <c r="H58" s="4" t="s">
        <v>117</v>
      </c>
    </row>
    <row r="59" spans="1:8" x14ac:dyDescent="0.25">
      <c r="A59" s="113" t="s">
        <v>222</v>
      </c>
      <c r="B59" s="113" t="s">
        <v>105</v>
      </c>
      <c r="C59" s="113" t="s">
        <v>365</v>
      </c>
      <c r="D59" s="90">
        <f>IF($C2="Affected fraction",D2,IF(D2=1,1,D2*0.9))</f>
        <v>0</v>
      </c>
      <c r="E59" s="90">
        <f>IF($C2="Affected fraction",E2,IF(E2=1,1,E2*0.9))</f>
        <v>0</v>
      </c>
      <c r="F59" s="90">
        <f>IF($C2="Affected fraction",F2,IF(F2=1,1,F2*0.9))</f>
        <v>1</v>
      </c>
      <c r="G59" s="90">
        <f>IF($C2="Affected fraction",G2,IF(G2=1,1,G2*0.9))</f>
        <v>1</v>
      </c>
      <c r="H59" s="90">
        <f>IF($C2="Affected fraction",H2,IF(H2=1,1,H2*0.9))</f>
        <v>1</v>
      </c>
    </row>
    <row r="60" spans="1:8" x14ac:dyDescent="0.25">
      <c r="C60" s="113" t="s">
        <v>366</v>
      </c>
      <c r="D60" s="90">
        <f>IF($C3="Affected fraction",D3,IF(D3=1,1,D3*0.9))</f>
        <v>0</v>
      </c>
      <c r="E60" s="90">
        <f>IF($C3="Affected fraction",E3,IF(E3=1,1,E3*0.9))</f>
        <v>0</v>
      </c>
      <c r="F60" s="90">
        <v>0.02</v>
      </c>
      <c r="G60" s="90">
        <v>0.02</v>
      </c>
      <c r="H60" s="90">
        <v>0.02</v>
      </c>
    </row>
    <row r="61" spans="1:8" x14ac:dyDescent="0.25">
      <c r="C61" s="113" t="s">
        <v>367</v>
      </c>
      <c r="D61" s="90">
        <f>IF($C4="Affected fraction",D4,IF(D4=1,1,D4*0.9))</f>
        <v>0</v>
      </c>
      <c r="E61" s="90">
        <f>IF($C4="Affected fraction",E4,IF(E4=1,1,E4*0.9))</f>
        <v>0</v>
      </c>
      <c r="F61" s="90">
        <v>0.13</v>
      </c>
      <c r="G61" s="90">
        <v>0.13</v>
      </c>
      <c r="H61" s="90">
        <v>0.13</v>
      </c>
    </row>
    <row r="62" spans="1:8" x14ac:dyDescent="0.25">
      <c r="A62" s="113" t="s">
        <v>221</v>
      </c>
      <c r="B62" s="113" t="s">
        <v>237</v>
      </c>
      <c r="C62" s="113" t="s">
        <v>365</v>
      </c>
      <c r="D62" s="90">
        <v>0</v>
      </c>
      <c r="E62" s="90">
        <v>0</v>
      </c>
      <c r="F62" s="90">
        <v>1</v>
      </c>
      <c r="G62" s="90">
        <v>1</v>
      </c>
      <c r="H62" s="90">
        <v>0</v>
      </c>
    </row>
    <row r="63" spans="1:8" x14ac:dyDescent="0.25">
      <c r="C63" s="113" t="s">
        <v>367</v>
      </c>
      <c r="D63" s="90">
        <v>0</v>
      </c>
      <c r="E63" s="90">
        <v>0</v>
      </c>
      <c r="F63" s="90">
        <v>0</v>
      </c>
      <c r="G63" s="90">
        <v>0</v>
      </c>
      <c r="H63" s="90">
        <v>0</v>
      </c>
    </row>
    <row r="64" spans="1:8" x14ac:dyDescent="0.25">
      <c r="B64" s="113" t="s">
        <v>238</v>
      </c>
      <c r="C64" s="113" t="s">
        <v>365</v>
      </c>
      <c r="D64" s="90">
        <v>0</v>
      </c>
      <c r="E64" s="90">
        <v>0</v>
      </c>
      <c r="F64" s="90">
        <v>1</v>
      </c>
      <c r="G64" s="90">
        <v>1</v>
      </c>
      <c r="H64" s="90">
        <v>0</v>
      </c>
    </row>
    <row r="65" spans="1:8" x14ac:dyDescent="0.25">
      <c r="C65" s="113" t="s">
        <v>367</v>
      </c>
      <c r="D65" s="90">
        <v>0</v>
      </c>
      <c r="E65" s="90">
        <v>0</v>
      </c>
      <c r="F65" s="90">
        <v>0</v>
      </c>
      <c r="G65" s="90">
        <v>0</v>
      </c>
      <c r="H65" s="90">
        <v>0</v>
      </c>
    </row>
    <row r="66" spans="1:8" x14ac:dyDescent="0.25">
      <c r="A66" s="113" t="s">
        <v>214</v>
      </c>
      <c r="B66" s="113" t="s">
        <v>237</v>
      </c>
      <c r="C66" s="113" t="s">
        <v>365</v>
      </c>
      <c r="D66" s="90">
        <v>0</v>
      </c>
      <c r="E66" s="90">
        <v>0</v>
      </c>
      <c r="F66" s="90">
        <v>1</v>
      </c>
      <c r="G66" s="90">
        <v>1</v>
      </c>
      <c r="H66" s="90">
        <v>0</v>
      </c>
    </row>
    <row r="67" spans="1:8" x14ac:dyDescent="0.25">
      <c r="C67" s="113" t="s">
        <v>367</v>
      </c>
      <c r="D67" s="90">
        <v>0</v>
      </c>
      <c r="E67" s="90">
        <v>0</v>
      </c>
      <c r="F67" s="90">
        <v>0</v>
      </c>
      <c r="G67" s="90">
        <v>0</v>
      </c>
      <c r="H67" s="90">
        <v>0</v>
      </c>
    </row>
    <row r="68" spans="1:8" x14ac:dyDescent="0.25">
      <c r="B68" s="113" t="s">
        <v>238</v>
      </c>
      <c r="C68" s="113" t="s">
        <v>365</v>
      </c>
      <c r="D68" s="90">
        <v>0</v>
      </c>
      <c r="E68" s="90">
        <v>0</v>
      </c>
      <c r="F68" s="90">
        <v>1</v>
      </c>
      <c r="G68" s="90">
        <v>1</v>
      </c>
      <c r="H68" s="90">
        <v>0</v>
      </c>
    </row>
    <row r="69" spans="1:8" x14ac:dyDescent="0.25">
      <c r="C69" s="113" t="s">
        <v>367</v>
      </c>
      <c r="D69" s="90">
        <v>0</v>
      </c>
      <c r="E69" s="90">
        <v>0</v>
      </c>
      <c r="F69" s="90">
        <v>0</v>
      </c>
      <c r="G69" s="90">
        <v>0</v>
      </c>
      <c r="H69" s="90">
        <v>0</v>
      </c>
    </row>
    <row r="70" spans="1:8" x14ac:dyDescent="0.25">
      <c r="A70" s="113" t="s">
        <v>234</v>
      </c>
      <c r="B70" s="113" t="s">
        <v>237</v>
      </c>
      <c r="C70" s="113" t="s">
        <v>365</v>
      </c>
      <c r="D70" s="90">
        <v>0</v>
      </c>
      <c r="E70" s="90">
        <v>0</v>
      </c>
      <c r="F70" s="90">
        <v>1</v>
      </c>
      <c r="G70" s="90">
        <v>1</v>
      </c>
      <c r="H70" s="90">
        <v>0</v>
      </c>
    </row>
    <row r="71" spans="1:8" x14ac:dyDescent="0.25">
      <c r="C71" s="113" t="s">
        <v>367</v>
      </c>
      <c r="D71" s="90">
        <f t="shared" ref="D71:E73" si="0">IF($C14="Affected fraction",D14,IF(D14=1,1,D14*0.9))</f>
        <v>0</v>
      </c>
      <c r="E71" s="90">
        <f t="shared" si="0"/>
        <v>0</v>
      </c>
      <c r="F71" s="90">
        <v>0.14000000000000001</v>
      </c>
      <c r="G71" s="90">
        <v>0.14000000000000001</v>
      </c>
      <c r="H71" s="90">
        <f>IF($C14="Affected fraction",H14,IF(H14=1,1,H14*0.9))</f>
        <v>0</v>
      </c>
    </row>
    <row r="72" spans="1:8" x14ac:dyDescent="0.25">
      <c r="B72" s="113" t="s">
        <v>238</v>
      </c>
      <c r="C72" s="113" t="s">
        <v>365</v>
      </c>
      <c r="D72" s="90">
        <f t="shared" si="0"/>
        <v>0</v>
      </c>
      <c r="E72" s="90">
        <f t="shared" si="0"/>
        <v>0</v>
      </c>
      <c r="F72" s="90">
        <f>IF($C15="Affected fraction",F15,IF(F15=1,1,F15*0.9))</f>
        <v>1</v>
      </c>
      <c r="G72" s="90">
        <f>IF($C15="Affected fraction",G15,IF(G15=1,1,G15*0.9))</f>
        <v>1</v>
      </c>
      <c r="H72" s="90">
        <f>IF($C15="Affected fraction",H15,IF(H15=1,1,H15*0.9))</f>
        <v>0</v>
      </c>
    </row>
    <row r="73" spans="1:8" x14ac:dyDescent="0.25">
      <c r="C73" s="113" t="s">
        <v>367</v>
      </c>
      <c r="D73" s="90">
        <f t="shared" si="0"/>
        <v>0</v>
      </c>
      <c r="E73" s="90">
        <f t="shared" si="0"/>
        <v>0</v>
      </c>
      <c r="F73" s="90">
        <v>0</v>
      </c>
      <c r="G73" s="90">
        <v>0</v>
      </c>
      <c r="H73" s="90">
        <f>IF($C16="Affected fraction",H16,IF(H16=1,1,H16*0.9))</f>
        <v>0</v>
      </c>
    </row>
    <row r="74" spans="1:8" x14ac:dyDescent="0.25">
      <c r="B74" s="113" t="s">
        <v>368</v>
      </c>
      <c r="C74" s="113" t="s">
        <v>365</v>
      </c>
      <c r="D74" s="90">
        <v>0</v>
      </c>
      <c r="E74" s="90">
        <v>0</v>
      </c>
      <c r="F74" s="90">
        <v>1</v>
      </c>
      <c r="G74" s="90">
        <v>1</v>
      </c>
      <c r="H74" s="90">
        <v>0</v>
      </c>
    </row>
    <row r="75" spans="1:8" x14ac:dyDescent="0.25">
      <c r="C75" s="113" t="s">
        <v>366</v>
      </c>
      <c r="D75" s="90">
        <v>0</v>
      </c>
      <c r="E75" s="90">
        <v>0</v>
      </c>
      <c r="F75" s="90">
        <v>0</v>
      </c>
      <c r="G75" s="90">
        <v>0</v>
      </c>
      <c r="H75" s="90">
        <v>0</v>
      </c>
    </row>
    <row r="76" spans="1:8" x14ac:dyDescent="0.25">
      <c r="A76" s="113" t="s">
        <v>199</v>
      </c>
      <c r="B76" s="113" t="s">
        <v>237</v>
      </c>
      <c r="C76" s="113" t="s">
        <v>365</v>
      </c>
      <c r="D76" s="90">
        <f>IF($C19="Affected fraction",D19,IF(D19=1,1,D19*0.9))</f>
        <v>0</v>
      </c>
      <c r="E76" s="90">
        <f>IF($C19="Affected fraction",E19,IF(E19=1,1,E19*0.9))</f>
        <v>0</v>
      </c>
      <c r="F76" s="90">
        <f>IF($C19="Affected fraction",F19,IF(F19=1,1,F19*0.9))</f>
        <v>1</v>
      </c>
      <c r="G76" s="90">
        <f>IF($C19="Affected fraction",G19,IF(G19=1,1,G19*0.9))</f>
        <v>1</v>
      </c>
      <c r="H76" s="90">
        <f>IF($C19="Affected fraction",H19,IF(H19=1,1,H19*0.9))</f>
        <v>1</v>
      </c>
    </row>
    <row r="77" spans="1:8" x14ac:dyDescent="0.25">
      <c r="C77" s="113" t="s">
        <v>367</v>
      </c>
      <c r="D77" s="90">
        <f t="shared" ref="D77:H85" si="1">IF($C20="Affected fraction",D20,IF(D20=1,1,D20*0.9))</f>
        <v>0</v>
      </c>
      <c r="E77" s="90">
        <f t="shared" si="1"/>
        <v>0</v>
      </c>
      <c r="F77" s="90">
        <v>0</v>
      </c>
      <c r="G77" s="90">
        <v>0</v>
      </c>
      <c r="H77" s="90">
        <v>0</v>
      </c>
    </row>
    <row r="78" spans="1:8" x14ac:dyDescent="0.25">
      <c r="B78" s="113" t="s">
        <v>238</v>
      </c>
      <c r="C78" s="113" t="s">
        <v>365</v>
      </c>
      <c r="D78" s="90">
        <f t="shared" si="1"/>
        <v>0</v>
      </c>
      <c r="E78" s="90">
        <f t="shared" si="1"/>
        <v>0</v>
      </c>
      <c r="F78" s="90">
        <v>1</v>
      </c>
      <c r="G78" s="90">
        <v>1</v>
      </c>
      <c r="H78" s="90">
        <v>1</v>
      </c>
    </row>
    <row r="79" spans="1:8" x14ac:dyDescent="0.25">
      <c r="C79" s="113" t="s">
        <v>367</v>
      </c>
      <c r="D79" s="90">
        <f t="shared" si="1"/>
        <v>0</v>
      </c>
      <c r="E79" s="90">
        <f t="shared" si="1"/>
        <v>0</v>
      </c>
      <c r="F79" s="90">
        <v>0</v>
      </c>
      <c r="G79" s="90">
        <v>0</v>
      </c>
      <c r="H79" s="90">
        <v>0</v>
      </c>
    </row>
    <row r="80" spans="1:8" x14ac:dyDescent="0.25">
      <c r="A80" s="113" t="s">
        <v>204</v>
      </c>
      <c r="B80" s="113" t="s">
        <v>102</v>
      </c>
      <c r="C80" s="113" t="s">
        <v>365</v>
      </c>
      <c r="D80" s="90">
        <f t="shared" si="1"/>
        <v>1</v>
      </c>
      <c r="E80" s="90">
        <f t="shared" si="1"/>
        <v>0</v>
      </c>
      <c r="F80" s="90">
        <f t="shared" si="1"/>
        <v>0</v>
      </c>
      <c r="G80" s="90">
        <f t="shared" si="1"/>
        <v>0</v>
      </c>
      <c r="H80" s="90">
        <f t="shared" si="1"/>
        <v>0</v>
      </c>
    </row>
    <row r="81" spans="1:8" x14ac:dyDescent="0.25">
      <c r="C81" s="113" t="s">
        <v>366</v>
      </c>
      <c r="D81" s="90">
        <v>0.11</v>
      </c>
      <c r="E81" s="90">
        <f>IF($C24="Affected fraction",E24,IF(E24=1,1,E24*0.9))</f>
        <v>0</v>
      </c>
      <c r="F81" s="90">
        <f t="shared" si="1"/>
        <v>0</v>
      </c>
      <c r="G81" s="90">
        <f t="shared" si="1"/>
        <v>0</v>
      </c>
      <c r="H81" s="90">
        <f t="shared" si="1"/>
        <v>0</v>
      </c>
    </row>
    <row r="82" spans="1:8" x14ac:dyDescent="0.25">
      <c r="A82" s="113" t="s">
        <v>202</v>
      </c>
      <c r="B82" s="113" t="s">
        <v>102</v>
      </c>
      <c r="C82" s="113" t="s">
        <v>365</v>
      </c>
      <c r="D82" s="90">
        <f>IF($C25="Affected fraction",D25,IF(D25=1,1,D25*0.9))</f>
        <v>1</v>
      </c>
      <c r="E82" s="90">
        <f>IF($C25="Affected fraction",E25,IF(E25=1,1,E25*0.9))</f>
        <v>0</v>
      </c>
      <c r="F82" s="90">
        <f t="shared" si="1"/>
        <v>0</v>
      </c>
      <c r="G82" s="90">
        <f t="shared" si="1"/>
        <v>0</v>
      </c>
      <c r="H82" s="90">
        <f t="shared" si="1"/>
        <v>0</v>
      </c>
    </row>
    <row r="83" spans="1:8" x14ac:dyDescent="0.25">
      <c r="C83" s="113" t="s">
        <v>366</v>
      </c>
      <c r="D83" s="90">
        <v>0.11</v>
      </c>
      <c r="E83" s="90">
        <f>IF($C26="Affected fraction",E26,IF(E26=1,1,E26*0.9))</f>
        <v>0</v>
      </c>
      <c r="F83" s="90">
        <f t="shared" si="1"/>
        <v>0</v>
      </c>
      <c r="G83" s="90">
        <f t="shared" si="1"/>
        <v>0</v>
      </c>
      <c r="H83" s="90">
        <f t="shared" si="1"/>
        <v>0</v>
      </c>
    </row>
    <row r="84" spans="1:8" x14ac:dyDescent="0.25">
      <c r="A84" s="113" t="s">
        <v>203</v>
      </c>
      <c r="B84" s="113" t="s">
        <v>102</v>
      </c>
      <c r="C84" s="113" t="s">
        <v>365</v>
      </c>
      <c r="D84" s="90">
        <f>IF($C27="Affected fraction",D27,IF(D27=1,1,D27*0.9))</f>
        <v>1</v>
      </c>
      <c r="E84" s="90">
        <f>IF($C27="Affected fraction",E27,IF(E27=1,1,E27*0.9))</f>
        <v>0</v>
      </c>
      <c r="F84" s="90">
        <f t="shared" si="1"/>
        <v>0</v>
      </c>
      <c r="G84" s="90">
        <f t="shared" si="1"/>
        <v>0</v>
      </c>
      <c r="H84" s="90">
        <f t="shared" si="1"/>
        <v>0</v>
      </c>
    </row>
    <row r="85" spans="1:8" x14ac:dyDescent="0.25">
      <c r="C85" s="113" t="s">
        <v>366</v>
      </c>
      <c r="D85" s="90">
        <v>0.11</v>
      </c>
      <c r="E85" s="90">
        <f>IF($C28="Affected fraction",E28,IF(E28=1,1,E28*0.9))</f>
        <v>0</v>
      </c>
      <c r="F85" s="90">
        <f t="shared" si="1"/>
        <v>0</v>
      </c>
      <c r="G85" s="90">
        <f t="shared" si="1"/>
        <v>0</v>
      </c>
      <c r="H85" s="90">
        <f t="shared" si="1"/>
        <v>0</v>
      </c>
    </row>
    <row r="86" spans="1:8" x14ac:dyDescent="0.25">
      <c r="A86" s="113" t="s">
        <v>226</v>
      </c>
      <c r="B86" s="113" t="s">
        <v>105</v>
      </c>
      <c r="C86" s="113" t="s">
        <v>365</v>
      </c>
      <c r="D86" s="90">
        <v>1</v>
      </c>
      <c r="E86" s="90">
        <v>1</v>
      </c>
      <c r="F86" s="90">
        <v>1</v>
      </c>
      <c r="G86" s="90">
        <v>1</v>
      </c>
      <c r="H86" s="90">
        <v>1</v>
      </c>
    </row>
    <row r="87" spans="1:8" x14ac:dyDescent="0.25">
      <c r="C87" s="113" t="s">
        <v>366</v>
      </c>
      <c r="D87" s="90">
        <v>7.0000000000000007E-2</v>
      </c>
      <c r="E87" s="90">
        <v>7.0000000000000007E-2</v>
      </c>
      <c r="F87" s="90">
        <v>7.0000000000000007E-2</v>
      </c>
      <c r="G87" s="90">
        <v>7.0000000000000007E-2</v>
      </c>
      <c r="H87" s="90">
        <v>7.0000000000000007E-2</v>
      </c>
    </row>
    <row r="88" spans="1:8" x14ac:dyDescent="0.25">
      <c r="C88" s="113" t="s">
        <v>367</v>
      </c>
      <c r="D88" s="90">
        <v>0</v>
      </c>
      <c r="E88" s="90">
        <v>0</v>
      </c>
      <c r="F88" s="90">
        <v>0</v>
      </c>
      <c r="G88" s="90">
        <v>0</v>
      </c>
      <c r="H88" s="90">
        <v>0</v>
      </c>
    </row>
    <row r="89" spans="1:8" x14ac:dyDescent="0.25">
      <c r="A89" s="113" t="s">
        <v>227</v>
      </c>
      <c r="B89" s="113" t="s">
        <v>105</v>
      </c>
      <c r="C89" s="113" t="s">
        <v>365</v>
      </c>
      <c r="D89" s="90">
        <v>1</v>
      </c>
      <c r="E89" s="90">
        <v>1</v>
      </c>
      <c r="F89" s="90">
        <v>1</v>
      </c>
      <c r="G89" s="90">
        <v>1</v>
      </c>
      <c r="H89" s="90">
        <v>1</v>
      </c>
    </row>
    <row r="90" spans="1:8" x14ac:dyDescent="0.25">
      <c r="C90" s="113" t="s">
        <v>366</v>
      </c>
      <c r="D90" s="90">
        <v>0</v>
      </c>
      <c r="E90" s="90">
        <v>0</v>
      </c>
      <c r="F90" s="90">
        <v>0</v>
      </c>
      <c r="G90" s="90">
        <v>0</v>
      </c>
      <c r="H90" s="90">
        <v>0</v>
      </c>
    </row>
    <row r="91" spans="1:8" x14ac:dyDescent="0.25">
      <c r="C91" s="113" t="s">
        <v>367</v>
      </c>
      <c r="D91" s="90">
        <v>0</v>
      </c>
      <c r="E91" s="90">
        <v>0</v>
      </c>
      <c r="F91" s="90">
        <v>0</v>
      </c>
      <c r="G91" s="90">
        <v>0</v>
      </c>
      <c r="H91" s="90">
        <v>0</v>
      </c>
    </row>
    <row r="92" spans="1:8" x14ac:dyDescent="0.25">
      <c r="A92" s="113" t="s">
        <v>225</v>
      </c>
      <c r="B92" s="113" t="s">
        <v>105</v>
      </c>
      <c r="C92" s="113" t="s">
        <v>365</v>
      </c>
      <c r="D92" s="90">
        <v>1</v>
      </c>
      <c r="E92" s="90">
        <v>1</v>
      </c>
      <c r="F92" s="90">
        <v>1</v>
      </c>
      <c r="G92" s="90">
        <v>1</v>
      </c>
      <c r="H92" s="90">
        <v>1</v>
      </c>
    </row>
    <row r="93" spans="1:8" x14ac:dyDescent="0.25">
      <c r="C93" s="113" t="s">
        <v>366</v>
      </c>
      <c r="D93" s="90">
        <v>0</v>
      </c>
      <c r="E93" s="90">
        <v>0</v>
      </c>
      <c r="F93" s="90">
        <v>0</v>
      </c>
      <c r="G93" s="90">
        <v>0</v>
      </c>
      <c r="H93" s="90">
        <v>0</v>
      </c>
    </row>
    <row r="94" spans="1:8" x14ac:dyDescent="0.25">
      <c r="C94" s="113" t="s">
        <v>367</v>
      </c>
      <c r="D94" s="90">
        <v>0</v>
      </c>
      <c r="E94" s="90">
        <v>0</v>
      </c>
      <c r="F94" s="90">
        <v>0</v>
      </c>
      <c r="G94" s="90">
        <v>0</v>
      </c>
      <c r="H94" s="90">
        <v>0</v>
      </c>
    </row>
    <row r="95" spans="1:8" x14ac:dyDescent="0.25">
      <c r="A95" s="113" t="s">
        <v>224</v>
      </c>
      <c r="B95" s="113" t="s">
        <v>105</v>
      </c>
      <c r="C95" s="113" t="s">
        <v>365</v>
      </c>
      <c r="D95" s="90">
        <v>1</v>
      </c>
      <c r="E95" s="90">
        <v>1</v>
      </c>
      <c r="F95" s="90">
        <v>1</v>
      </c>
      <c r="G95" s="90">
        <v>1</v>
      </c>
      <c r="H95" s="90">
        <v>1</v>
      </c>
    </row>
    <row r="96" spans="1:8" x14ac:dyDescent="0.25">
      <c r="C96" s="113" t="s">
        <v>366</v>
      </c>
      <c r="D96" s="90">
        <v>0</v>
      </c>
      <c r="E96" s="90">
        <v>0</v>
      </c>
      <c r="F96" s="90">
        <v>0</v>
      </c>
      <c r="G96" s="90">
        <v>0</v>
      </c>
      <c r="H96" s="90">
        <v>0</v>
      </c>
    </row>
    <row r="97" spans="1:8" x14ac:dyDescent="0.25">
      <c r="C97" s="113" t="s">
        <v>367</v>
      </c>
      <c r="D97" s="90">
        <v>0</v>
      </c>
      <c r="E97" s="90">
        <v>0</v>
      </c>
      <c r="F97" s="90">
        <v>0</v>
      </c>
      <c r="G97" s="90">
        <v>0</v>
      </c>
      <c r="H97" s="90">
        <v>0</v>
      </c>
    </row>
    <row r="98" spans="1:8" x14ac:dyDescent="0.25">
      <c r="A98" s="113" t="s">
        <v>223</v>
      </c>
      <c r="B98" s="113" t="s">
        <v>105</v>
      </c>
      <c r="C98" s="113" t="s">
        <v>365</v>
      </c>
      <c r="D98" s="90">
        <v>1</v>
      </c>
      <c r="E98" s="90">
        <v>1</v>
      </c>
      <c r="F98" s="90">
        <v>1</v>
      </c>
      <c r="G98" s="90">
        <v>1</v>
      </c>
      <c r="H98" s="90">
        <v>1</v>
      </c>
    </row>
    <row r="99" spans="1:8" x14ac:dyDescent="0.25">
      <c r="C99" s="113" t="s">
        <v>366</v>
      </c>
      <c r="D99" s="90">
        <v>0</v>
      </c>
      <c r="E99" s="90">
        <v>0</v>
      </c>
      <c r="F99" s="90">
        <v>0</v>
      </c>
      <c r="G99" s="90">
        <v>0</v>
      </c>
      <c r="H99" s="90">
        <v>0</v>
      </c>
    </row>
    <row r="100" spans="1:8" x14ac:dyDescent="0.25">
      <c r="C100" s="113" t="s">
        <v>367</v>
      </c>
      <c r="D100" s="90">
        <v>0</v>
      </c>
      <c r="E100" s="90">
        <v>0</v>
      </c>
      <c r="F100" s="90">
        <v>0</v>
      </c>
      <c r="G100" s="90">
        <v>0</v>
      </c>
      <c r="H100" s="90">
        <v>0</v>
      </c>
    </row>
    <row r="101" spans="1:8" x14ac:dyDescent="0.25">
      <c r="A101" s="113" t="s">
        <v>229</v>
      </c>
      <c r="B101" s="113" t="s">
        <v>105</v>
      </c>
      <c r="C101" s="113" t="s">
        <v>365</v>
      </c>
      <c r="D101" s="90">
        <f>IF($C44="Affected fraction",D44,IF(D44=1,1,D44*0.9))</f>
        <v>0</v>
      </c>
      <c r="E101" s="90">
        <f>IF($C44="Affected fraction",E44,IF(E44=1,1,E44*0.9))</f>
        <v>1</v>
      </c>
      <c r="F101" s="90">
        <f>IF($C44="Affected fraction",F44,IF(F44=1,1,F44*0.9))</f>
        <v>1</v>
      </c>
      <c r="G101" s="90">
        <f>IF($C44="Affected fraction",G44,IF(G44=1,1,G44*0.9))</f>
        <v>1</v>
      </c>
      <c r="H101" s="90">
        <f>IF($C44="Affected fraction",H44,IF(H44=1,1,H44*0.9))</f>
        <v>1</v>
      </c>
    </row>
    <row r="102" spans="1:8" x14ac:dyDescent="0.25">
      <c r="C102" s="113" t="s">
        <v>366</v>
      </c>
      <c r="D102" s="90">
        <v>0</v>
      </c>
      <c r="E102" s="90">
        <v>0</v>
      </c>
      <c r="F102" s="90">
        <v>0</v>
      </c>
      <c r="G102" s="90">
        <v>0</v>
      </c>
      <c r="H102" s="90">
        <v>0</v>
      </c>
    </row>
    <row r="103" spans="1:8" x14ac:dyDescent="0.25">
      <c r="C103" s="113" t="s">
        <v>367</v>
      </c>
      <c r="D103" s="90">
        <v>7.0000000000000007E-2</v>
      </c>
      <c r="E103" s="90">
        <v>7.0000000000000007E-2</v>
      </c>
      <c r="F103" s="90">
        <v>7.0000000000000007E-2</v>
      </c>
      <c r="G103" s="90">
        <v>7.0000000000000007E-2</v>
      </c>
      <c r="H103" s="90">
        <v>7.0000000000000007E-2</v>
      </c>
    </row>
    <row r="104" spans="1:8" x14ac:dyDescent="0.25">
      <c r="B104" s="113" t="s">
        <v>106</v>
      </c>
      <c r="C104" s="113" t="s">
        <v>365</v>
      </c>
      <c r="D104" s="90">
        <v>0</v>
      </c>
      <c r="E104" s="90">
        <v>1</v>
      </c>
      <c r="F104" s="90">
        <v>1</v>
      </c>
      <c r="G104" s="90">
        <v>1</v>
      </c>
      <c r="H104" s="90">
        <v>1</v>
      </c>
    </row>
    <row r="105" spans="1:8" x14ac:dyDescent="0.25">
      <c r="C105" s="113" t="s">
        <v>366</v>
      </c>
      <c r="D105" s="90">
        <v>0</v>
      </c>
      <c r="E105" s="90">
        <v>0</v>
      </c>
      <c r="F105" s="90">
        <v>0</v>
      </c>
      <c r="G105" s="90">
        <v>0</v>
      </c>
      <c r="H105" s="90">
        <v>0</v>
      </c>
    </row>
    <row r="106" spans="1:8" x14ac:dyDescent="0.25">
      <c r="C106" s="113" t="s">
        <v>367</v>
      </c>
      <c r="D106" s="90">
        <v>0</v>
      </c>
      <c r="E106" s="90">
        <v>0</v>
      </c>
      <c r="F106" s="90">
        <v>0</v>
      </c>
      <c r="G106" s="90">
        <v>0</v>
      </c>
      <c r="H106" s="90">
        <v>0</v>
      </c>
    </row>
    <row r="107" spans="1:8" x14ac:dyDescent="0.25">
      <c r="A107" s="113" t="s">
        <v>220</v>
      </c>
      <c r="B107" s="113" t="s">
        <v>105</v>
      </c>
      <c r="C107" s="113" t="s">
        <v>365</v>
      </c>
      <c r="D107" s="90">
        <v>1</v>
      </c>
      <c r="E107" s="90">
        <v>1</v>
      </c>
      <c r="F107" s="90">
        <v>1</v>
      </c>
      <c r="G107" s="90">
        <v>1</v>
      </c>
      <c r="H107" s="90">
        <v>1</v>
      </c>
    </row>
    <row r="108" spans="1:8" x14ac:dyDescent="0.25">
      <c r="C108" s="113" t="s">
        <v>366</v>
      </c>
      <c r="D108" s="90">
        <v>0.51</v>
      </c>
      <c r="E108" s="90">
        <v>0.51</v>
      </c>
      <c r="F108" s="90">
        <v>0.51</v>
      </c>
      <c r="G108" s="90">
        <v>0.51</v>
      </c>
      <c r="H108" s="90">
        <v>0.51</v>
      </c>
    </row>
    <row r="109" spans="1:8" x14ac:dyDescent="0.25">
      <c r="A109" s="113" t="s">
        <v>228</v>
      </c>
      <c r="B109" s="113" t="s">
        <v>105</v>
      </c>
      <c r="C109" s="113" t="s">
        <v>365</v>
      </c>
      <c r="D109" s="90">
        <v>1</v>
      </c>
      <c r="E109" s="90">
        <v>1</v>
      </c>
      <c r="F109" s="90">
        <v>1</v>
      </c>
      <c r="G109" s="90">
        <v>1</v>
      </c>
      <c r="H109" s="90">
        <v>1</v>
      </c>
    </row>
    <row r="110" spans="1:8" x14ac:dyDescent="0.25">
      <c r="C110" s="113" t="s">
        <v>366</v>
      </c>
      <c r="D110" s="90">
        <v>0.62</v>
      </c>
      <c r="E110" s="90">
        <v>0.62</v>
      </c>
      <c r="F110" s="90">
        <v>0.62</v>
      </c>
      <c r="G110" s="90">
        <v>0.62</v>
      </c>
      <c r="H110" s="90">
        <v>0.62</v>
      </c>
    </row>
    <row r="111" spans="1:8" x14ac:dyDescent="0.25">
      <c r="A111" s="113" t="s">
        <v>213</v>
      </c>
      <c r="B111" s="113" t="s">
        <v>100</v>
      </c>
      <c r="C111" s="113" t="s">
        <v>365</v>
      </c>
      <c r="D111" s="90">
        <v>1</v>
      </c>
      <c r="E111" s="90">
        <v>0</v>
      </c>
      <c r="F111" s="90">
        <v>0</v>
      </c>
      <c r="G111" s="90">
        <v>0</v>
      </c>
      <c r="H111" s="90">
        <v>0</v>
      </c>
    </row>
    <row r="112" spans="1:8" x14ac:dyDescent="0.25">
      <c r="C112" s="113" t="s">
        <v>366</v>
      </c>
      <c r="D112" s="90">
        <v>0.14000000000000001</v>
      </c>
      <c r="E112" s="90">
        <v>0</v>
      </c>
      <c r="F112" s="90">
        <v>0</v>
      </c>
      <c r="G112" s="90">
        <v>0</v>
      </c>
      <c r="H112" s="90">
        <v>0</v>
      </c>
    </row>
    <row r="114" spans="1:8" s="125" customFormat="1" ht="13" x14ac:dyDescent="0.3">
      <c r="A114" s="123" t="s">
        <v>363</v>
      </c>
      <c r="B114" s="124"/>
      <c r="C114" s="124"/>
      <c r="D114" s="93"/>
      <c r="E114" s="93"/>
      <c r="F114" s="93"/>
      <c r="G114" s="93"/>
      <c r="H114" s="93"/>
    </row>
    <row r="115" spans="1:8" ht="13" x14ac:dyDescent="0.3">
      <c r="A115" s="103" t="s">
        <v>189</v>
      </c>
      <c r="B115" s="103" t="s">
        <v>364</v>
      </c>
      <c r="C115" s="120" t="s">
        <v>11</v>
      </c>
      <c r="D115" s="4" t="s">
        <v>127</v>
      </c>
      <c r="E115" s="4" t="s">
        <v>114</v>
      </c>
      <c r="F115" s="4" t="s">
        <v>115</v>
      </c>
      <c r="G115" s="4" t="s">
        <v>116</v>
      </c>
      <c r="H115" s="4" t="s">
        <v>117</v>
      </c>
    </row>
    <row r="116" spans="1:8" x14ac:dyDescent="0.25">
      <c r="A116" s="113" t="s">
        <v>222</v>
      </c>
      <c r="B116" s="113" t="s">
        <v>105</v>
      </c>
      <c r="C116" s="113" t="s">
        <v>365</v>
      </c>
      <c r="D116" s="90">
        <f t="shared" ref="D116:E118" si="2">IF($C2="Affected fraction",D2,IF(D2=1,1,D2*1.05))</f>
        <v>0</v>
      </c>
      <c r="E116" s="90">
        <f t="shared" si="2"/>
        <v>0</v>
      </c>
      <c r="F116" s="90">
        <f>IF($C59="Affected fraction",F59,IF(F59=1,1,F59*0.9))</f>
        <v>1</v>
      </c>
      <c r="G116" s="90">
        <f>IF($C59="Affected fraction",G59,IF(G59=1,1,G59*0.9))</f>
        <v>1</v>
      </c>
      <c r="H116" s="90">
        <f>IF($C59="Affected fraction",H59,IF(H59=1,1,H59*0.9))</f>
        <v>1</v>
      </c>
    </row>
    <row r="117" spans="1:8" x14ac:dyDescent="0.25">
      <c r="C117" s="113" t="s">
        <v>366</v>
      </c>
      <c r="D117" s="90">
        <f t="shared" si="2"/>
        <v>0</v>
      </c>
      <c r="E117" s="90">
        <f t="shared" si="2"/>
        <v>0</v>
      </c>
      <c r="F117" s="90">
        <v>0.21</v>
      </c>
      <c r="G117" s="90">
        <v>0.21</v>
      </c>
      <c r="H117" s="90">
        <v>0.21</v>
      </c>
    </row>
    <row r="118" spans="1:8" x14ac:dyDescent="0.25">
      <c r="C118" s="113" t="s">
        <v>367</v>
      </c>
      <c r="D118" s="90">
        <f t="shared" si="2"/>
        <v>0</v>
      </c>
      <c r="E118" s="90">
        <f t="shared" si="2"/>
        <v>0</v>
      </c>
      <c r="F118" s="90">
        <v>0.18</v>
      </c>
      <c r="G118" s="90">
        <v>0.18</v>
      </c>
      <c r="H118" s="90">
        <v>0.18</v>
      </c>
    </row>
    <row r="119" spans="1:8" x14ac:dyDescent="0.25">
      <c r="A119" s="113" t="s">
        <v>221</v>
      </c>
      <c r="B119" s="113" t="s">
        <v>237</v>
      </c>
      <c r="C119" s="113" t="s">
        <v>365</v>
      </c>
      <c r="D119" s="90">
        <v>0</v>
      </c>
      <c r="E119" s="90">
        <v>0</v>
      </c>
      <c r="F119" s="90">
        <v>1</v>
      </c>
      <c r="G119" s="90">
        <v>1</v>
      </c>
      <c r="H119" s="90">
        <v>0</v>
      </c>
    </row>
    <row r="120" spans="1:8" x14ac:dyDescent="0.25">
      <c r="C120" s="113" t="s">
        <v>367</v>
      </c>
      <c r="D120" s="90">
        <v>0</v>
      </c>
      <c r="E120" s="90">
        <v>0</v>
      </c>
      <c r="F120" s="90">
        <v>0</v>
      </c>
      <c r="G120" s="90">
        <v>0</v>
      </c>
      <c r="H120" s="90">
        <v>0</v>
      </c>
    </row>
    <row r="121" spans="1:8" x14ac:dyDescent="0.25">
      <c r="B121" s="113" t="s">
        <v>238</v>
      </c>
      <c r="C121" s="113" t="s">
        <v>365</v>
      </c>
      <c r="D121" s="90">
        <v>0</v>
      </c>
      <c r="E121" s="90">
        <v>0</v>
      </c>
      <c r="F121" s="90">
        <v>1</v>
      </c>
      <c r="G121" s="90">
        <v>1</v>
      </c>
      <c r="H121" s="90">
        <v>0</v>
      </c>
    </row>
    <row r="122" spans="1:8" x14ac:dyDescent="0.25">
      <c r="C122" s="113" t="s">
        <v>367</v>
      </c>
      <c r="D122" s="90">
        <v>0</v>
      </c>
      <c r="E122" s="90">
        <v>0</v>
      </c>
      <c r="F122" s="90">
        <v>0</v>
      </c>
      <c r="G122" s="90">
        <v>0</v>
      </c>
      <c r="H122" s="90">
        <v>0</v>
      </c>
    </row>
    <row r="123" spans="1:8" x14ac:dyDescent="0.25">
      <c r="A123" s="113" t="s">
        <v>214</v>
      </c>
      <c r="B123" s="113" t="s">
        <v>237</v>
      </c>
      <c r="C123" s="113" t="s">
        <v>365</v>
      </c>
      <c r="D123" s="90">
        <v>0</v>
      </c>
      <c r="E123" s="90">
        <v>0</v>
      </c>
      <c r="F123" s="90">
        <v>1</v>
      </c>
      <c r="G123" s="90">
        <v>1</v>
      </c>
      <c r="H123" s="90">
        <v>0</v>
      </c>
    </row>
    <row r="124" spans="1:8" x14ac:dyDescent="0.25">
      <c r="C124" s="113" t="s">
        <v>367</v>
      </c>
      <c r="D124" s="90">
        <v>0</v>
      </c>
      <c r="E124" s="90">
        <v>0</v>
      </c>
      <c r="F124" s="90">
        <v>0</v>
      </c>
      <c r="G124" s="90">
        <v>0</v>
      </c>
      <c r="H124" s="90">
        <v>0</v>
      </c>
    </row>
    <row r="125" spans="1:8" x14ac:dyDescent="0.25">
      <c r="B125" s="113" t="s">
        <v>238</v>
      </c>
      <c r="C125" s="113" t="s">
        <v>365</v>
      </c>
      <c r="D125" s="90">
        <v>0</v>
      </c>
      <c r="E125" s="90">
        <v>0</v>
      </c>
      <c r="F125" s="90">
        <v>1</v>
      </c>
      <c r="G125" s="90">
        <v>1</v>
      </c>
      <c r="H125" s="90">
        <v>0</v>
      </c>
    </row>
    <row r="126" spans="1:8" x14ac:dyDescent="0.25">
      <c r="C126" s="113" t="s">
        <v>367</v>
      </c>
      <c r="D126" s="90">
        <v>0</v>
      </c>
      <c r="E126" s="90">
        <v>0</v>
      </c>
      <c r="F126" s="90">
        <v>0</v>
      </c>
      <c r="G126" s="90">
        <v>0</v>
      </c>
      <c r="H126" s="90">
        <v>0</v>
      </c>
    </row>
    <row r="127" spans="1:8" x14ac:dyDescent="0.25">
      <c r="A127" s="113" t="s">
        <v>234</v>
      </c>
      <c r="B127" s="113" t="s">
        <v>237</v>
      </c>
      <c r="C127" s="113" t="s">
        <v>365</v>
      </c>
      <c r="D127" s="90">
        <v>0</v>
      </c>
      <c r="E127" s="90">
        <v>0</v>
      </c>
      <c r="F127" s="90">
        <v>1</v>
      </c>
      <c r="G127" s="90">
        <v>1</v>
      </c>
      <c r="H127" s="90">
        <v>0</v>
      </c>
    </row>
    <row r="128" spans="1:8" x14ac:dyDescent="0.25">
      <c r="C128" s="113" t="s">
        <v>367</v>
      </c>
      <c r="D128" s="90">
        <f t="shared" ref="D128:E130" si="3">IF($C14="Affected fraction",D14,IF(D14=1,1,D14*1.05))</f>
        <v>0</v>
      </c>
      <c r="E128" s="90">
        <f t="shared" si="3"/>
        <v>0</v>
      </c>
      <c r="F128" s="90">
        <v>0.45</v>
      </c>
      <c r="G128" s="90">
        <v>0.45</v>
      </c>
      <c r="H128" s="90">
        <f>IF($C14="Affected fraction",H14,IF(H14=1,1,H14*1.05))</f>
        <v>0</v>
      </c>
    </row>
    <row r="129" spans="1:8" x14ac:dyDescent="0.25">
      <c r="B129" s="113" t="s">
        <v>238</v>
      </c>
      <c r="C129" s="113" t="s">
        <v>365</v>
      </c>
      <c r="D129" s="90">
        <f t="shared" si="3"/>
        <v>0</v>
      </c>
      <c r="E129" s="90">
        <f t="shared" si="3"/>
        <v>0</v>
      </c>
      <c r="F129" s="90">
        <f>IF($C15="Affected fraction",F15,IF(F15=1,1,F15*1.05))</f>
        <v>1</v>
      </c>
      <c r="G129" s="90">
        <f>IF($C15="Affected fraction",G15,IF(G15=1,1,G15*1.05))</f>
        <v>1</v>
      </c>
      <c r="H129" s="90">
        <f>IF($C15="Affected fraction",H15,IF(H15=1,1,H15*1.05))</f>
        <v>0</v>
      </c>
    </row>
    <row r="130" spans="1:8" x14ac:dyDescent="0.25">
      <c r="C130" s="113" t="s">
        <v>367</v>
      </c>
      <c r="D130" s="90">
        <f t="shared" si="3"/>
        <v>0</v>
      </c>
      <c r="E130" s="90">
        <f t="shared" si="3"/>
        <v>0</v>
      </c>
      <c r="F130" s="90">
        <v>0.2</v>
      </c>
      <c r="G130" s="90">
        <v>0.2</v>
      </c>
      <c r="H130" s="90">
        <f>IF($C16="Affected fraction",H16,IF(H16=1,1,H16*1.05))</f>
        <v>0</v>
      </c>
    </row>
    <row r="131" spans="1:8" x14ac:dyDescent="0.25">
      <c r="B131" s="113" t="s">
        <v>368</v>
      </c>
      <c r="C131" s="113" t="s">
        <v>365</v>
      </c>
      <c r="D131" s="90">
        <v>0</v>
      </c>
      <c r="E131" s="90">
        <v>0</v>
      </c>
      <c r="F131" s="90">
        <v>1</v>
      </c>
      <c r="G131" s="90">
        <v>1</v>
      </c>
      <c r="H131" s="90">
        <v>0</v>
      </c>
    </row>
    <row r="132" spans="1:8" x14ac:dyDescent="0.25">
      <c r="C132" s="113" t="s">
        <v>366</v>
      </c>
      <c r="D132" s="90">
        <v>0</v>
      </c>
      <c r="E132" s="90">
        <v>0</v>
      </c>
      <c r="F132" s="90">
        <v>0</v>
      </c>
      <c r="G132" s="90">
        <v>0</v>
      </c>
      <c r="H132" s="90">
        <v>0</v>
      </c>
    </row>
    <row r="133" spans="1:8" x14ac:dyDescent="0.25">
      <c r="A133" s="113" t="s">
        <v>199</v>
      </c>
      <c r="B133" s="113" t="s">
        <v>237</v>
      </c>
      <c r="C133" s="113" t="s">
        <v>365</v>
      </c>
      <c r="D133" s="90">
        <f>IF($C19="Affected fraction",D19,IF(D19=1,1,D19*1.05))</f>
        <v>0</v>
      </c>
      <c r="E133" s="90">
        <f>IF($C19="Affected fraction",E19,IF(E19=1,1,E19*1.05))</f>
        <v>0</v>
      </c>
      <c r="F133" s="90">
        <f>IF($C19="Affected fraction",F19,IF(F19=1,1,F19*1.05))</f>
        <v>1</v>
      </c>
      <c r="G133" s="90">
        <f>IF($C19="Affected fraction",G19,IF(G19=1,1,G19*1.05))</f>
        <v>1</v>
      </c>
      <c r="H133" s="90">
        <f>IF($C19="Affected fraction",H19,IF(H19=1,1,H19*1.05))</f>
        <v>1</v>
      </c>
    </row>
    <row r="134" spans="1:8" x14ac:dyDescent="0.25">
      <c r="C134" s="113" t="s">
        <v>367</v>
      </c>
      <c r="D134" s="90">
        <f t="shared" ref="D134:H142" si="4">IF($C20="Affected fraction",D20,IF(D20=1,1,D20*1.05))</f>
        <v>0</v>
      </c>
      <c r="E134" s="90">
        <f t="shared" si="4"/>
        <v>0</v>
      </c>
      <c r="F134" s="90">
        <v>0</v>
      </c>
      <c r="G134" s="90">
        <v>0</v>
      </c>
      <c r="H134" s="90">
        <v>0</v>
      </c>
    </row>
    <row r="135" spans="1:8" x14ac:dyDescent="0.25">
      <c r="B135" s="113" t="s">
        <v>238</v>
      </c>
      <c r="C135" s="113" t="s">
        <v>365</v>
      </c>
      <c r="D135" s="90">
        <f t="shared" si="4"/>
        <v>0</v>
      </c>
      <c r="E135" s="90">
        <f t="shared" si="4"/>
        <v>0</v>
      </c>
      <c r="F135" s="90">
        <v>1</v>
      </c>
      <c r="G135" s="90">
        <v>1</v>
      </c>
      <c r="H135" s="90">
        <v>1</v>
      </c>
    </row>
    <row r="136" spans="1:8" x14ac:dyDescent="0.25">
      <c r="C136" s="113" t="s">
        <v>367</v>
      </c>
      <c r="D136" s="90">
        <f t="shared" si="4"/>
        <v>0</v>
      </c>
      <c r="E136" s="90">
        <f t="shared" si="4"/>
        <v>0</v>
      </c>
      <c r="F136" s="90">
        <v>0</v>
      </c>
      <c r="G136" s="90">
        <v>0</v>
      </c>
      <c r="H136" s="90">
        <v>0</v>
      </c>
    </row>
    <row r="137" spans="1:8" x14ac:dyDescent="0.25">
      <c r="A137" s="113" t="s">
        <v>204</v>
      </c>
      <c r="B137" s="113" t="s">
        <v>102</v>
      </c>
      <c r="C137" s="113" t="s">
        <v>365</v>
      </c>
      <c r="D137" s="90">
        <f>IF($C80="Affected fraction",D80,IF(D80=1,1,D80*0.9))</f>
        <v>1</v>
      </c>
      <c r="E137" s="90">
        <f t="shared" si="4"/>
        <v>0</v>
      </c>
      <c r="F137" s="90">
        <f t="shared" si="4"/>
        <v>0</v>
      </c>
      <c r="G137" s="90">
        <f t="shared" si="4"/>
        <v>0</v>
      </c>
      <c r="H137" s="90">
        <f t="shared" si="4"/>
        <v>0</v>
      </c>
    </row>
    <row r="138" spans="1:8" x14ac:dyDescent="0.25">
      <c r="C138" s="113" t="s">
        <v>366</v>
      </c>
      <c r="D138" s="90">
        <v>0.16</v>
      </c>
      <c r="E138" s="90">
        <f t="shared" si="4"/>
        <v>0</v>
      </c>
      <c r="F138" s="90">
        <f t="shared" si="4"/>
        <v>0</v>
      </c>
      <c r="G138" s="90">
        <f t="shared" si="4"/>
        <v>0</v>
      </c>
      <c r="H138" s="90">
        <f t="shared" si="4"/>
        <v>0</v>
      </c>
    </row>
    <row r="139" spans="1:8" x14ac:dyDescent="0.25">
      <c r="A139" s="113" t="s">
        <v>202</v>
      </c>
      <c r="B139" s="113" t="s">
        <v>102</v>
      </c>
      <c r="C139" s="113" t="s">
        <v>365</v>
      </c>
      <c r="D139" s="90">
        <f>IF($C82="Affected fraction",D82,IF(D82=1,1,D82*0.9))</f>
        <v>1</v>
      </c>
      <c r="E139" s="90">
        <f t="shared" si="4"/>
        <v>0</v>
      </c>
      <c r="F139" s="90">
        <f t="shared" si="4"/>
        <v>0</v>
      </c>
      <c r="G139" s="90">
        <f t="shared" si="4"/>
        <v>0</v>
      </c>
      <c r="H139" s="90">
        <f t="shared" si="4"/>
        <v>0</v>
      </c>
    </row>
    <row r="140" spans="1:8" x14ac:dyDescent="0.25">
      <c r="C140" s="113" t="s">
        <v>366</v>
      </c>
      <c r="D140" s="90">
        <v>0.16</v>
      </c>
      <c r="E140" s="90">
        <f t="shared" si="4"/>
        <v>0</v>
      </c>
      <c r="F140" s="90">
        <f t="shared" si="4"/>
        <v>0</v>
      </c>
      <c r="G140" s="90">
        <f t="shared" si="4"/>
        <v>0</v>
      </c>
      <c r="H140" s="90">
        <f t="shared" si="4"/>
        <v>0</v>
      </c>
    </row>
    <row r="141" spans="1:8" x14ac:dyDescent="0.25">
      <c r="A141" s="113" t="s">
        <v>203</v>
      </c>
      <c r="B141" s="113" t="s">
        <v>102</v>
      </c>
      <c r="C141" s="113" t="s">
        <v>365</v>
      </c>
      <c r="D141" s="90">
        <f>IF($C84="Affected fraction",D84,IF(D84=1,1,D84*0.9))</f>
        <v>1</v>
      </c>
      <c r="E141" s="90">
        <f t="shared" si="4"/>
        <v>0</v>
      </c>
      <c r="F141" s="90">
        <f t="shared" si="4"/>
        <v>0</v>
      </c>
      <c r="G141" s="90">
        <f t="shared" si="4"/>
        <v>0</v>
      </c>
      <c r="H141" s="90">
        <f t="shared" si="4"/>
        <v>0</v>
      </c>
    </row>
    <row r="142" spans="1:8" x14ac:dyDescent="0.25">
      <c r="C142" s="113" t="s">
        <v>366</v>
      </c>
      <c r="D142" s="90">
        <v>0.16</v>
      </c>
      <c r="E142" s="90">
        <f t="shared" si="4"/>
        <v>0</v>
      </c>
      <c r="F142" s="90">
        <f t="shared" si="4"/>
        <v>0</v>
      </c>
      <c r="G142" s="90">
        <f t="shared" si="4"/>
        <v>0</v>
      </c>
      <c r="H142" s="90">
        <f t="shared" si="4"/>
        <v>0</v>
      </c>
    </row>
    <row r="143" spans="1:8" x14ac:dyDescent="0.25">
      <c r="A143" s="113" t="s">
        <v>226</v>
      </c>
      <c r="B143" s="113" t="s">
        <v>105</v>
      </c>
      <c r="C143" s="113" t="s">
        <v>365</v>
      </c>
      <c r="D143" s="90">
        <v>1</v>
      </c>
      <c r="E143" s="90">
        <v>1</v>
      </c>
      <c r="F143" s="90">
        <v>1</v>
      </c>
      <c r="G143" s="90">
        <v>1</v>
      </c>
      <c r="H143" s="90">
        <v>1</v>
      </c>
    </row>
    <row r="144" spans="1:8" x14ac:dyDescent="0.25">
      <c r="C144" s="113" t="s">
        <v>366</v>
      </c>
      <c r="D144" s="90">
        <v>0.51</v>
      </c>
      <c r="E144" s="90">
        <v>0.51</v>
      </c>
      <c r="F144" s="90">
        <v>0.51</v>
      </c>
      <c r="G144" s="90">
        <v>0.51</v>
      </c>
      <c r="H144" s="90">
        <v>0.51</v>
      </c>
    </row>
    <row r="145" spans="1:8" x14ac:dyDescent="0.25">
      <c r="C145" s="113" t="s">
        <v>367</v>
      </c>
      <c r="D145" s="90">
        <v>0</v>
      </c>
      <c r="E145" s="90">
        <v>0</v>
      </c>
      <c r="F145" s="90">
        <v>0</v>
      </c>
      <c r="G145" s="90">
        <v>0</v>
      </c>
      <c r="H145" s="90">
        <v>0</v>
      </c>
    </row>
    <row r="146" spans="1:8" x14ac:dyDescent="0.25">
      <c r="A146" s="113" t="s">
        <v>227</v>
      </c>
      <c r="B146" s="113" t="s">
        <v>105</v>
      </c>
      <c r="C146" s="113" t="s">
        <v>365</v>
      </c>
      <c r="D146" s="90">
        <v>1</v>
      </c>
      <c r="E146" s="90">
        <v>1</v>
      </c>
      <c r="F146" s="90">
        <v>1</v>
      </c>
      <c r="G146" s="90">
        <v>1</v>
      </c>
      <c r="H146" s="90">
        <v>1</v>
      </c>
    </row>
    <row r="147" spans="1:8" x14ac:dyDescent="0.25">
      <c r="C147" s="113" t="s">
        <v>366</v>
      </c>
      <c r="D147" s="90">
        <v>0</v>
      </c>
      <c r="E147" s="90">
        <v>0</v>
      </c>
      <c r="F147" s="90">
        <v>0</v>
      </c>
      <c r="G147" s="90">
        <v>0</v>
      </c>
      <c r="H147" s="90">
        <v>0</v>
      </c>
    </row>
    <row r="148" spans="1:8" x14ac:dyDescent="0.25">
      <c r="C148" s="113" t="s">
        <v>367</v>
      </c>
      <c r="D148" s="90">
        <v>0</v>
      </c>
      <c r="E148" s="90">
        <v>0</v>
      </c>
      <c r="F148" s="90">
        <v>0</v>
      </c>
      <c r="G148" s="90">
        <v>0</v>
      </c>
      <c r="H148" s="90">
        <v>0</v>
      </c>
    </row>
    <row r="149" spans="1:8" x14ac:dyDescent="0.25">
      <c r="A149" s="113" t="s">
        <v>225</v>
      </c>
      <c r="B149" s="113" t="s">
        <v>105</v>
      </c>
      <c r="C149" s="113" t="s">
        <v>365</v>
      </c>
      <c r="D149" s="90">
        <v>1</v>
      </c>
      <c r="E149" s="90">
        <v>1</v>
      </c>
      <c r="F149" s="90">
        <v>1</v>
      </c>
      <c r="G149" s="90">
        <v>1</v>
      </c>
      <c r="H149" s="90">
        <v>1</v>
      </c>
    </row>
    <row r="150" spans="1:8" x14ac:dyDescent="0.25">
      <c r="C150" s="113" t="s">
        <v>366</v>
      </c>
      <c r="D150" s="90">
        <v>0</v>
      </c>
      <c r="E150" s="90">
        <v>0</v>
      </c>
      <c r="F150" s="90">
        <v>0</v>
      </c>
      <c r="G150" s="90">
        <v>0</v>
      </c>
      <c r="H150" s="90">
        <v>0</v>
      </c>
    </row>
    <row r="151" spans="1:8" x14ac:dyDescent="0.25">
      <c r="C151" s="113" t="s">
        <v>367</v>
      </c>
      <c r="D151" s="90">
        <v>0</v>
      </c>
      <c r="E151" s="90">
        <v>0</v>
      </c>
      <c r="F151" s="90">
        <v>0</v>
      </c>
      <c r="G151" s="90">
        <v>0</v>
      </c>
      <c r="H151" s="90">
        <v>0</v>
      </c>
    </row>
    <row r="152" spans="1:8" x14ac:dyDescent="0.25">
      <c r="A152" s="113" t="s">
        <v>224</v>
      </c>
      <c r="B152" s="113" t="s">
        <v>105</v>
      </c>
      <c r="C152" s="113" t="s">
        <v>365</v>
      </c>
      <c r="D152" s="90">
        <v>1</v>
      </c>
      <c r="E152" s="90">
        <v>1</v>
      </c>
      <c r="F152" s="90">
        <v>1</v>
      </c>
      <c r="G152" s="90">
        <v>1</v>
      </c>
      <c r="H152" s="90">
        <v>1</v>
      </c>
    </row>
    <row r="153" spans="1:8" x14ac:dyDescent="0.25">
      <c r="C153" s="113" t="s">
        <v>366</v>
      </c>
      <c r="D153" s="90">
        <v>0</v>
      </c>
      <c r="E153" s="90">
        <v>0</v>
      </c>
      <c r="F153" s="90">
        <v>0</v>
      </c>
      <c r="G153" s="90">
        <v>0</v>
      </c>
      <c r="H153" s="90">
        <v>0</v>
      </c>
    </row>
    <row r="154" spans="1:8" x14ac:dyDescent="0.25">
      <c r="C154" s="113" t="s">
        <v>367</v>
      </c>
      <c r="D154" s="90">
        <v>0</v>
      </c>
      <c r="E154" s="90">
        <v>0</v>
      </c>
      <c r="F154" s="90">
        <v>0</v>
      </c>
      <c r="G154" s="90">
        <v>0</v>
      </c>
      <c r="H154" s="90">
        <v>0</v>
      </c>
    </row>
    <row r="155" spans="1:8" x14ac:dyDescent="0.25">
      <c r="A155" s="113" t="s">
        <v>223</v>
      </c>
      <c r="B155" s="113" t="s">
        <v>105</v>
      </c>
      <c r="C155" s="113" t="s">
        <v>365</v>
      </c>
      <c r="D155" s="90">
        <v>1</v>
      </c>
      <c r="E155" s="90">
        <v>1</v>
      </c>
      <c r="F155" s="90">
        <v>1</v>
      </c>
      <c r="G155" s="90">
        <v>1</v>
      </c>
      <c r="H155" s="90">
        <v>1</v>
      </c>
    </row>
    <row r="156" spans="1:8" x14ac:dyDescent="0.25">
      <c r="C156" s="113" t="s">
        <v>366</v>
      </c>
      <c r="D156" s="90">
        <v>0</v>
      </c>
      <c r="E156" s="90">
        <v>0</v>
      </c>
      <c r="F156" s="90">
        <v>0</v>
      </c>
      <c r="G156" s="90">
        <v>0</v>
      </c>
      <c r="H156" s="90">
        <v>0</v>
      </c>
    </row>
    <row r="157" spans="1:8" x14ac:dyDescent="0.25">
      <c r="C157" s="113" t="s">
        <v>367</v>
      </c>
      <c r="D157" s="90">
        <v>0</v>
      </c>
      <c r="E157" s="90">
        <v>0</v>
      </c>
      <c r="F157" s="90">
        <v>0</v>
      </c>
      <c r="G157" s="90">
        <v>0</v>
      </c>
      <c r="H157" s="90">
        <v>0</v>
      </c>
    </row>
    <row r="158" spans="1:8" x14ac:dyDescent="0.25">
      <c r="A158" s="113" t="s">
        <v>229</v>
      </c>
      <c r="B158" s="113" t="s">
        <v>105</v>
      </c>
      <c r="C158" s="113" t="s">
        <v>365</v>
      </c>
      <c r="D158" s="90">
        <f t="shared" ref="D158:H159" si="5">IF($C101="Affected fraction",D101,IF(D101=1,1,D101*0.9))</f>
        <v>0</v>
      </c>
      <c r="E158" s="90">
        <f t="shared" si="5"/>
        <v>1</v>
      </c>
      <c r="F158" s="90">
        <f t="shared" si="5"/>
        <v>1</v>
      </c>
      <c r="G158" s="90">
        <f t="shared" si="5"/>
        <v>1</v>
      </c>
      <c r="H158" s="90">
        <f t="shared" si="5"/>
        <v>1</v>
      </c>
    </row>
    <row r="159" spans="1:8" x14ac:dyDescent="0.25">
      <c r="C159" s="113" t="s">
        <v>366</v>
      </c>
      <c r="D159" s="90">
        <f t="shared" si="5"/>
        <v>0</v>
      </c>
      <c r="E159" s="90">
        <f t="shared" si="5"/>
        <v>0</v>
      </c>
      <c r="F159" s="90">
        <f t="shared" si="5"/>
        <v>0</v>
      </c>
      <c r="G159" s="90">
        <f t="shared" si="5"/>
        <v>0</v>
      </c>
      <c r="H159" s="90">
        <f t="shared" si="5"/>
        <v>0</v>
      </c>
    </row>
    <row r="160" spans="1:8" x14ac:dyDescent="0.25">
      <c r="C160" s="113" t="s">
        <v>367</v>
      </c>
      <c r="D160" s="90">
        <v>0.1</v>
      </c>
      <c r="E160" s="90">
        <v>0.1</v>
      </c>
      <c r="F160" s="90">
        <v>0.1</v>
      </c>
      <c r="G160" s="90">
        <v>0.1</v>
      </c>
      <c r="H160" s="90">
        <v>0.1</v>
      </c>
    </row>
    <row r="161" spans="1:8" x14ac:dyDescent="0.25">
      <c r="B161" s="113" t="s">
        <v>106</v>
      </c>
      <c r="C161" s="113" t="s">
        <v>365</v>
      </c>
      <c r="D161" s="90">
        <v>0</v>
      </c>
      <c r="E161" s="90">
        <v>1</v>
      </c>
      <c r="F161" s="90">
        <v>1</v>
      </c>
      <c r="G161" s="90">
        <v>1</v>
      </c>
      <c r="H161" s="90">
        <v>1</v>
      </c>
    </row>
    <row r="162" spans="1:8" x14ac:dyDescent="0.25">
      <c r="C162" s="113" t="s">
        <v>366</v>
      </c>
      <c r="D162" s="90">
        <v>0</v>
      </c>
      <c r="E162" s="90">
        <v>0</v>
      </c>
      <c r="F162" s="90">
        <v>0</v>
      </c>
      <c r="G162" s="90">
        <v>0</v>
      </c>
      <c r="H162" s="90">
        <v>0</v>
      </c>
    </row>
    <row r="163" spans="1:8" x14ac:dyDescent="0.25">
      <c r="C163" s="113" t="s">
        <v>367</v>
      </c>
      <c r="D163" s="90">
        <v>0</v>
      </c>
      <c r="E163" s="90">
        <v>0</v>
      </c>
      <c r="F163" s="90">
        <v>0</v>
      </c>
      <c r="G163" s="90">
        <v>0</v>
      </c>
      <c r="H163" s="90">
        <v>0</v>
      </c>
    </row>
    <row r="164" spans="1:8" x14ac:dyDescent="0.25">
      <c r="A164" s="113" t="s">
        <v>220</v>
      </c>
      <c r="B164" s="113" t="s">
        <v>105</v>
      </c>
      <c r="C164" s="113" t="s">
        <v>365</v>
      </c>
      <c r="D164" s="90">
        <v>1</v>
      </c>
      <c r="E164" s="90">
        <v>1</v>
      </c>
      <c r="F164" s="90">
        <v>1</v>
      </c>
      <c r="G164" s="90">
        <v>1</v>
      </c>
      <c r="H164" s="90">
        <v>1</v>
      </c>
    </row>
    <row r="165" spans="1:8" x14ac:dyDescent="0.25">
      <c r="C165" s="113" t="s">
        <v>366</v>
      </c>
      <c r="D165" s="90">
        <v>0.8</v>
      </c>
      <c r="E165" s="90">
        <v>0.8</v>
      </c>
      <c r="F165" s="90">
        <v>0.8</v>
      </c>
      <c r="G165" s="90">
        <v>0.8</v>
      </c>
      <c r="H165" s="90">
        <v>0.8</v>
      </c>
    </row>
    <row r="166" spans="1:8" x14ac:dyDescent="0.25">
      <c r="A166" s="113" t="s">
        <v>228</v>
      </c>
      <c r="B166" s="113" t="s">
        <v>105</v>
      </c>
      <c r="C166" s="113" t="s">
        <v>365</v>
      </c>
      <c r="D166" s="90">
        <v>1</v>
      </c>
      <c r="E166" s="90">
        <v>1</v>
      </c>
      <c r="F166" s="90">
        <v>1</v>
      </c>
      <c r="G166" s="90">
        <v>1</v>
      </c>
      <c r="H166" s="90">
        <v>1</v>
      </c>
    </row>
    <row r="167" spans="1:8" x14ac:dyDescent="0.25">
      <c r="C167" s="113" t="s">
        <v>366</v>
      </c>
      <c r="D167" s="90">
        <v>0.85</v>
      </c>
      <c r="E167" s="90">
        <v>0.85</v>
      </c>
      <c r="F167" s="90">
        <v>0.85</v>
      </c>
      <c r="G167" s="90">
        <v>0.85</v>
      </c>
      <c r="H167" s="90">
        <v>0.85</v>
      </c>
    </row>
    <row r="168" spans="1:8" x14ac:dyDescent="0.25">
      <c r="A168" s="113" t="s">
        <v>213</v>
      </c>
      <c r="B168" s="113" t="s">
        <v>100</v>
      </c>
      <c r="C168" s="113" t="s">
        <v>365</v>
      </c>
      <c r="D168" s="90">
        <v>1</v>
      </c>
      <c r="E168" s="90">
        <v>0</v>
      </c>
      <c r="F168" s="90">
        <v>0</v>
      </c>
      <c r="G168" s="90">
        <v>0</v>
      </c>
      <c r="H168" s="90">
        <v>0</v>
      </c>
    </row>
    <row r="169" spans="1:8" x14ac:dyDescent="0.25">
      <c r="C169" s="113" t="s">
        <v>366</v>
      </c>
      <c r="D169" s="90">
        <v>0.47</v>
      </c>
      <c r="E169" s="90">
        <v>0</v>
      </c>
      <c r="F169" s="90">
        <v>0</v>
      </c>
      <c r="G169" s="90">
        <v>0</v>
      </c>
      <c r="H169" s="90">
        <v>0</v>
      </c>
    </row>
  </sheetData>
  <sheetProtection algorithmName="SHA-512" hashValue="Yj8AiPivPVW0wgJbdhEQ4FHJdYy+5gA01v1AFaFE36wFsvNZKbBUJ0TtGvT4E7YXLH3wvdINIK2kPrJNmsclwQ==" saltValue="rqvGkbte7j85lJiSqtpqBQ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B00-000000000000}">
  <sheetPr codeName="Sheet28">
    <tabColor theme="0" tint="-0.249977111117893"/>
  </sheetPr>
  <dimension ref="A1:H31"/>
  <sheetViews>
    <sheetView zoomScale="85" zoomScaleNormal="85" workbookViewId="0">
      <selection activeCell="D16" sqref="D16"/>
    </sheetView>
  </sheetViews>
  <sheetFormatPr defaultColWidth="12.6328125" defaultRowHeight="12.5" x14ac:dyDescent="0.25"/>
  <cols>
    <col min="1" max="1" width="28" style="8" customWidth="1"/>
    <col min="2" max="2" width="27.453125" style="8" customWidth="1"/>
    <col min="3" max="3" width="23.6328125" style="8" customWidth="1"/>
    <col min="4" max="7" width="17.36328125" style="8" customWidth="1"/>
    <col min="8" max="9" width="12.6328125" style="8" customWidth="1"/>
    <col min="10" max="16384" width="12.6328125" style="8"/>
  </cols>
  <sheetData>
    <row r="1" spans="1:8" ht="13" x14ac:dyDescent="0.3">
      <c r="A1" s="1" t="s">
        <v>189</v>
      </c>
      <c r="B1" s="1" t="s">
        <v>364</v>
      </c>
      <c r="C1" s="1"/>
      <c r="D1" s="4" t="s">
        <v>140</v>
      </c>
      <c r="E1" s="4" t="s">
        <v>141</v>
      </c>
      <c r="F1" s="4" t="s">
        <v>142</v>
      </c>
      <c r="G1" s="4" t="s">
        <v>143</v>
      </c>
      <c r="H1" s="4"/>
    </row>
    <row r="2" spans="1:8" x14ac:dyDescent="0.25">
      <c r="A2" s="3" t="s">
        <v>198</v>
      </c>
      <c r="B2" s="8" t="s">
        <v>122</v>
      </c>
      <c r="C2" s="3" t="s">
        <v>365</v>
      </c>
      <c r="D2" s="90">
        <v>1</v>
      </c>
      <c r="E2" s="90">
        <v>1</v>
      </c>
      <c r="F2" s="90">
        <v>1</v>
      </c>
      <c r="G2" s="90">
        <v>1</v>
      </c>
      <c r="H2" s="5"/>
    </row>
    <row r="3" spans="1:8" x14ac:dyDescent="0.25">
      <c r="C3" s="8" t="s">
        <v>366</v>
      </c>
      <c r="D3" s="90">
        <v>0</v>
      </c>
      <c r="E3" s="90">
        <v>0</v>
      </c>
      <c r="F3" s="90">
        <v>0</v>
      </c>
      <c r="G3" s="90">
        <v>0</v>
      </c>
      <c r="H3" s="3"/>
    </row>
    <row r="4" spans="1:8" x14ac:dyDescent="0.25">
      <c r="A4" s="3" t="s">
        <v>217</v>
      </c>
      <c r="B4" s="8" t="s">
        <v>122</v>
      </c>
      <c r="C4" s="3" t="s">
        <v>365</v>
      </c>
      <c r="D4" s="90">
        <v>1</v>
      </c>
      <c r="E4" s="90">
        <v>1</v>
      </c>
      <c r="F4" s="90">
        <v>1</v>
      </c>
      <c r="G4" s="90">
        <v>1</v>
      </c>
      <c r="H4" s="3"/>
    </row>
    <row r="5" spans="1:8" x14ac:dyDescent="0.25">
      <c r="C5" s="8" t="s">
        <v>366</v>
      </c>
      <c r="D5" s="90">
        <v>0.59</v>
      </c>
      <c r="E5" s="90">
        <v>0.59</v>
      </c>
      <c r="F5" s="90">
        <v>0.59</v>
      </c>
      <c r="G5" s="90">
        <v>0.59</v>
      </c>
      <c r="H5" s="5"/>
    </row>
    <row r="6" spans="1:8" x14ac:dyDescent="0.25">
      <c r="A6" s="3" t="s">
        <v>216</v>
      </c>
      <c r="B6" s="8" t="s">
        <v>122</v>
      </c>
      <c r="C6" s="3" t="s">
        <v>365</v>
      </c>
      <c r="D6" s="90">
        <v>1</v>
      </c>
      <c r="E6" s="90">
        <v>1</v>
      </c>
      <c r="F6" s="90">
        <v>1</v>
      </c>
      <c r="G6" s="90">
        <v>1</v>
      </c>
      <c r="H6" s="5"/>
    </row>
    <row r="7" spans="1:8" x14ac:dyDescent="0.25">
      <c r="C7" s="8" t="s">
        <v>366</v>
      </c>
      <c r="D7" s="90">
        <v>0.59</v>
      </c>
      <c r="E7" s="90">
        <v>0.59</v>
      </c>
      <c r="F7" s="90">
        <v>0.59</v>
      </c>
      <c r="G7" s="90">
        <v>0.59</v>
      </c>
      <c r="H7" s="3"/>
    </row>
    <row r="8" spans="1:8" x14ac:dyDescent="0.25">
      <c r="A8" s="3" t="s">
        <v>219</v>
      </c>
      <c r="B8" s="3" t="s">
        <v>260</v>
      </c>
      <c r="C8" s="3" t="s">
        <v>365</v>
      </c>
      <c r="D8" s="116">
        <v>1</v>
      </c>
      <c r="E8" s="116">
        <v>1</v>
      </c>
      <c r="F8" s="116">
        <v>1</v>
      </c>
      <c r="G8" s="116">
        <v>1</v>
      </c>
      <c r="H8" s="3"/>
    </row>
    <row r="9" spans="1:8" x14ac:dyDescent="0.25">
      <c r="A9" s="3"/>
      <c r="B9" s="3"/>
      <c r="C9" s="3" t="s">
        <v>244</v>
      </c>
      <c r="D9" s="116">
        <v>0.09</v>
      </c>
      <c r="E9" s="116">
        <v>0.09</v>
      </c>
      <c r="F9" s="116">
        <v>0.09</v>
      </c>
      <c r="G9" s="116">
        <v>0.09</v>
      </c>
      <c r="H9" s="3"/>
    </row>
    <row r="11" spans="1:8" s="92" customFormat="1" ht="13" x14ac:dyDescent="0.3">
      <c r="A11" s="92" t="s">
        <v>362</v>
      </c>
    </row>
    <row r="12" spans="1:8" ht="13" x14ac:dyDescent="0.3">
      <c r="A12" s="1" t="s">
        <v>189</v>
      </c>
      <c r="B12" s="1" t="s">
        <v>364</v>
      </c>
      <c r="C12" s="1"/>
      <c r="D12" s="4" t="s">
        <v>140</v>
      </c>
      <c r="E12" s="4" t="s">
        <v>141</v>
      </c>
      <c r="F12" s="4" t="s">
        <v>142</v>
      </c>
      <c r="G12" s="4" t="s">
        <v>143</v>
      </c>
    </row>
    <row r="13" spans="1:8" x14ac:dyDescent="0.25">
      <c r="A13" s="3" t="s">
        <v>198</v>
      </c>
      <c r="B13" s="8" t="s">
        <v>122</v>
      </c>
      <c r="C13" s="3" t="s">
        <v>365</v>
      </c>
      <c r="D13" s="90">
        <f>IF($C2="Affected fraction",D2,IF(D2=1,1,D2*0.9))</f>
        <v>1</v>
      </c>
      <c r="E13" s="90">
        <f>IF($C2="Affected fraction",E2,IF(E2=1,1,E2*0.9))</f>
        <v>1</v>
      </c>
      <c r="F13" s="90">
        <f>IF($C2="Affected fraction",F2,IF(F2=1,1,F2*0.9))</f>
        <v>1</v>
      </c>
      <c r="G13" s="90">
        <f>IF($C2="Affected fraction",G2,IF(G2=1,1,G2*0.9))</f>
        <v>1</v>
      </c>
    </row>
    <row r="14" spans="1:8" x14ac:dyDescent="0.25">
      <c r="C14" s="8" t="s">
        <v>366</v>
      </c>
      <c r="D14" s="90">
        <v>0</v>
      </c>
      <c r="E14" s="90">
        <v>0</v>
      </c>
      <c r="F14" s="90">
        <v>0</v>
      </c>
      <c r="G14" s="90">
        <v>0</v>
      </c>
    </row>
    <row r="15" spans="1:8" x14ac:dyDescent="0.25">
      <c r="A15" s="3" t="s">
        <v>217</v>
      </c>
      <c r="B15" s="8" t="s">
        <v>122</v>
      </c>
      <c r="C15" s="3" t="s">
        <v>365</v>
      </c>
      <c r="D15" s="90">
        <f t="shared" ref="D15:G19" si="0">IF($C4="Affected fraction",D4,IF(D4=1,1,D4*0.9))</f>
        <v>1</v>
      </c>
      <c r="E15" s="90">
        <f t="shared" si="0"/>
        <v>1</v>
      </c>
      <c r="F15" s="90">
        <f t="shared" si="0"/>
        <v>1</v>
      </c>
      <c r="G15" s="90">
        <f t="shared" si="0"/>
        <v>1</v>
      </c>
    </row>
    <row r="16" spans="1:8" x14ac:dyDescent="0.25">
      <c r="C16" s="8" t="s">
        <v>366</v>
      </c>
      <c r="D16" s="90">
        <f t="shared" si="0"/>
        <v>0.53100000000000003</v>
      </c>
      <c r="E16" s="90">
        <f t="shared" si="0"/>
        <v>0.53100000000000003</v>
      </c>
      <c r="F16" s="90">
        <f t="shared" si="0"/>
        <v>0.53100000000000003</v>
      </c>
      <c r="G16" s="90">
        <f t="shared" si="0"/>
        <v>0.53100000000000003</v>
      </c>
    </row>
    <row r="17" spans="1:7" x14ac:dyDescent="0.25">
      <c r="A17" s="3" t="s">
        <v>216</v>
      </c>
      <c r="B17" s="8" t="s">
        <v>122</v>
      </c>
      <c r="C17" s="3" t="s">
        <v>365</v>
      </c>
      <c r="D17" s="90">
        <f t="shared" si="0"/>
        <v>1</v>
      </c>
      <c r="E17" s="90">
        <f t="shared" si="0"/>
        <v>1</v>
      </c>
      <c r="F17" s="90">
        <f t="shared" si="0"/>
        <v>1</v>
      </c>
      <c r="G17" s="90">
        <f t="shared" si="0"/>
        <v>1</v>
      </c>
    </row>
    <row r="18" spans="1:7" x14ac:dyDescent="0.25">
      <c r="C18" s="8" t="s">
        <v>366</v>
      </c>
      <c r="D18" s="90">
        <f t="shared" si="0"/>
        <v>0.53100000000000003</v>
      </c>
      <c r="E18" s="90">
        <f t="shared" si="0"/>
        <v>0.53100000000000003</v>
      </c>
      <c r="F18" s="90">
        <f t="shared" si="0"/>
        <v>0.53100000000000003</v>
      </c>
      <c r="G18" s="90">
        <f t="shared" si="0"/>
        <v>0.53100000000000003</v>
      </c>
    </row>
    <row r="19" spans="1:7" x14ac:dyDescent="0.25">
      <c r="A19" s="3" t="s">
        <v>219</v>
      </c>
      <c r="B19" s="3" t="s">
        <v>260</v>
      </c>
      <c r="C19" s="3" t="s">
        <v>365</v>
      </c>
      <c r="D19" s="116">
        <f t="shared" si="0"/>
        <v>1</v>
      </c>
      <c r="E19" s="116">
        <f t="shared" si="0"/>
        <v>1</v>
      </c>
      <c r="F19" s="116">
        <f t="shared" si="0"/>
        <v>1</v>
      </c>
      <c r="G19" s="116">
        <f t="shared" si="0"/>
        <v>1</v>
      </c>
    </row>
    <row r="20" spans="1:7" x14ac:dyDescent="0.25">
      <c r="A20" s="3"/>
      <c r="B20" s="3"/>
      <c r="C20" s="3" t="s">
        <v>244</v>
      </c>
      <c r="D20" s="116">
        <v>0.02</v>
      </c>
      <c r="E20" s="116">
        <v>0.02</v>
      </c>
      <c r="F20" s="116">
        <v>0.02</v>
      </c>
      <c r="G20" s="116">
        <v>0.02</v>
      </c>
    </row>
    <row r="22" spans="1:7" s="92" customFormat="1" ht="13" x14ac:dyDescent="0.3">
      <c r="A22" s="92" t="s">
        <v>363</v>
      </c>
    </row>
    <row r="23" spans="1:7" ht="13" x14ac:dyDescent="0.3">
      <c r="A23" s="1" t="s">
        <v>189</v>
      </c>
      <c r="B23" s="1" t="s">
        <v>364</v>
      </c>
      <c r="C23" s="1"/>
      <c r="D23" s="4" t="s">
        <v>140</v>
      </c>
      <c r="E23" s="4" t="s">
        <v>141</v>
      </c>
      <c r="F23" s="4" t="s">
        <v>142</v>
      </c>
      <c r="G23" s="4" t="s">
        <v>143</v>
      </c>
    </row>
    <row r="24" spans="1:7" x14ac:dyDescent="0.25">
      <c r="A24" s="3" t="s">
        <v>198</v>
      </c>
      <c r="B24" s="8" t="s">
        <v>122</v>
      </c>
      <c r="C24" s="3" t="s">
        <v>365</v>
      </c>
      <c r="D24" s="90">
        <f>IF($C2="Affected fraction",D2,IF(D2=1,1,D2*1.05))</f>
        <v>1</v>
      </c>
      <c r="E24" s="90">
        <f>IF($C2="Affected fraction",E2,IF(E2=1,1,E2*1.05))</f>
        <v>1</v>
      </c>
      <c r="F24" s="90">
        <f>IF($C2="Affected fraction",F2,IF(F2=1,1,F2*1.05))</f>
        <v>1</v>
      </c>
      <c r="G24" s="90">
        <f>IF($C2="Affected fraction",G2,IF(G2=1,1,G2*1.05))</f>
        <v>1</v>
      </c>
    </row>
    <row r="25" spans="1:7" x14ac:dyDescent="0.25">
      <c r="C25" s="8" t="s">
        <v>366</v>
      </c>
      <c r="D25" s="90">
        <v>0</v>
      </c>
      <c r="E25" s="90">
        <v>0</v>
      </c>
      <c r="F25" s="90">
        <v>0</v>
      </c>
      <c r="G25" s="90">
        <v>0</v>
      </c>
    </row>
    <row r="26" spans="1:7" x14ac:dyDescent="0.25">
      <c r="A26" s="3" t="s">
        <v>217</v>
      </c>
      <c r="B26" s="8" t="s">
        <v>122</v>
      </c>
      <c r="C26" s="3" t="s">
        <v>365</v>
      </c>
      <c r="D26" s="90">
        <f>IF($C4="Affected fraction",D4,IF(D4=1,1,D4*1.05))</f>
        <v>1</v>
      </c>
      <c r="E26" s="90">
        <f>IF($C4="Affected fraction",E4,IF(E4=1,1,E4*1.05))</f>
        <v>1</v>
      </c>
      <c r="F26" s="90">
        <f>IF($C4="Affected fraction",F4,IF(F4=1,1,F4*1.05))</f>
        <v>1</v>
      </c>
      <c r="G26" s="90">
        <f>IF($C4="Affected fraction",G4,IF(G4=1,1,G4*1.05))</f>
        <v>1</v>
      </c>
    </row>
    <row r="27" spans="1:7" x14ac:dyDescent="0.25">
      <c r="C27" s="8" t="s">
        <v>366</v>
      </c>
      <c r="D27" s="90">
        <f>IF($C5="Affected fraction",D5,IF(D5=1,1,D5*1.1))</f>
        <v>0.64900000000000002</v>
      </c>
      <c r="E27" s="90">
        <f>IF($C5="Affected fraction",E5,IF(E5=1,1,E5*1.1))</f>
        <v>0.64900000000000002</v>
      </c>
      <c r="F27" s="90">
        <f>IF($C5="Affected fraction",F5,IF(F5=1,1,F5*1.1))</f>
        <v>0.64900000000000002</v>
      </c>
      <c r="G27" s="90">
        <f>IF($C5="Affected fraction",G5,IF(G5=1,1,G5*1.1))</f>
        <v>0.64900000000000002</v>
      </c>
    </row>
    <row r="28" spans="1:7" x14ac:dyDescent="0.25">
      <c r="A28" s="3" t="s">
        <v>216</v>
      </c>
      <c r="B28" s="8" t="s">
        <v>122</v>
      </c>
      <c r="C28" s="3" t="s">
        <v>365</v>
      </c>
      <c r="D28" s="90">
        <f>IF($C6="Affected fraction",D6,IF(D6=1,1,D6*1.05))</f>
        <v>1</v>
      </c>
      <c r="E28" s="90">
        <f>IF($C6="Affected fraction",E6,IF(E6=1,1,E6*1.05))</f>
        <v>1</v>
      </c>
      <c r="F28" s="90">
        <f>IF($C6="Affected fraction",F6,IF(F6=1,1,F6*1.05))</f>
        <v>1</v>
      </c>
      <c r="G28" s="90">
        <f>IF($C6="Affected fraction",G6,IF(G6=1,1,G6*1.05))</f>
        <v>1</v>
      </c>
    </row>
    <row r="29" spans="1:7" x14ac:dyDescent="0.25">
      <c r="C29" s="8" t="s">
        <v>366</v>
      </c>
      <c r="D29" s="90">
        <f>IF($C7="Affected fraction",D7,IF(D7=1,1,D7*1.1))</f>
        <v>0.64900000000000002</v>
      </c>
      <c r="E29" s="90">
        <f>IF($C7="Affected fraction",E7,IF(E7=1,1,E7*1.1))</f>
        <v>0.64900000000000002</v>
      </c>
      <c r="F29" s="90">
        <f>IF($C7="Affected fraction",F7,IF(F7=1,1,F7*1.1))</f>
        <v>0.64900000000000002</v>
      </c>
      <c r="G29" s="90">
        <f>IF($C7="Affected fraction",G7,IF(G7=1,1,G7*1.1))</f>
        <v>0.64900000000000002</v>
      </c>
    </row>
    <row r="30" spans="1:7" x14ac:dyDescent="0.25">
      <c r="A30" s="3" t="s">
        <v>219</v>
      </c>
      <c r="B30" s="3" t="s">
        <v>260</v>
      </c>
      <c r="C30" s="3" t="s">
        <v>365</v>
      </c>
      <c r="D30" s="116">
        <f t="shared" ref="D30:G30" si="1">IF($C8="Affected fraction",D8,IF(D8=1,1,D8*1.05))</f>
        <v>1</v>
      </c>
      <c r="E30" s="116">
        <f t="shared" si="1"/>
        <v>1</v>
      </c>
      <c r="F30" s="116">
        <f t="shared" si="1"/>
        <v>1</v>
      </c>
      <c r="G30" s="116">
        <f t="shared" si="1"/>
        <v>1</v>
      </c>
    </row>
    <row r="31" spans="1:7" x14ac:dyDescent="0.25">
      <c r="A31" s="3"/>
      <c r="B31" s="3"/>
      <c r="C31" s="3" t="s">
        <v>244</v>
      </c>
      <c r="D31" s="116">
        <v>0.14000000000000001</v>
      </c>
      <c r="E31" s="116">
        <v>0.14000000000000001</v>
      </c>
      <c r="F31" s="116">
        <v>0.14000000000000001</v>
      </c>
      <c r="G31" s="116">
        <v>0.14000000000000001</v>
      </c>
    </row>
  </sheetData>
  <sheetProtection algorithmName="SHA-512" hashValue="fJ0X8LepypeRQ+piK4T/kpxeAtopjGEREEAjDDEGcZ8CYbvEZh2fcCBZPGPNRjY89cwJWRtmM8UeU8aM7f3NnA==" saltValue="SqAsDweFiAvYcItDn4ES5w==" spinCount="100000" sheet="1" objects="1" scenarios="1" selectLockedCells="1"/>
  <pageMargins left="0.7" right="0.7" top="0.75" bottom="0.75" header="0.3" footer="0.3"/>
  <legacyDrawing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856A3DB4B0A5FF4A85E5854FA9B1BD84" ma:contentTypeVersion="11" ma:contentTypeDescription="Create a new document." ma:contentTypeScope="" ma:versionID="f77cb9dc30d15950233dec29875e7d3d">
  <xsd:schema xmlns:xsd="http://www.w3.org/2001/XMLSchema" xmlns:xs="http://www.w3.org/2001/XMLSchema" xmlns:p="http://schemas.microsoft.com/office/2006/metadata/properties" xmlns:ns2="5de2aea6-bdc3-4e5f-b0ae-84d85b5764e4" targetNamespace="http://schemas.microsoft.com/office/2006/metadata/properties" ma:root="true" ma:fieldsID="c7972fb108f377c3e0c6a81e726e76be" ns2:_="">
    <xsd:import namespace="5de2aea6-bdc3-4e5f-b0ae-84d85b5764e4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DateTaken" minOccurs="0"/>
                <xsd:element ref="ns2:MediaServiceObjectDetectorVersions" minOccurs="0"/>
                <xsd:element ref="ns2:MediaLengthInSeconds" minOccurs="0"/>
                <xsd:element ref="ns2:MediaServiceSearchProperties" minOccurs="0"/>
                <xsd:element ref="ns2:lcf76f155ced4ddcb4097134ff3c332f" minOccurs="0"/>
                <xsd:element ref="ns2:MediaServiceOCR" minOccurs="0"/>
                <xsd:element ref="ns2:MediaServiceGenerationTime" minOccurs="0"/>
                <xsd:element ref="ns2:MediaServiceEventHashCode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5de2aea6-bdc3-4e5f-b0ae-84d85b5764e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DateTaken" ma:index="1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ServiceObjectDetectorVersions" ma:index="11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MediaServiceSearchProperties" ma:index="13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lcf76f155ced4ddcb4097134ff3c332f" ma:index="15" nillable="true" ma:taxonomy="true" ma:internalName="lcf76f155ced4ddcb4097134ff3c332f" ma:taxonomyFieldName="MediaServiceImageTags" ma:displayName="Image Tags" ma:readOnly="false" ma:fieldId="{5cf76f15-5ced-4ddc-b409-7134ff3c332f}" ma:taxonomyMulti="true" ma:sspId="9012861f-df9c-4ac0-92bd-da4c61c7cfda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5de2aea6-bdc3-4e5f-b0ae-84d85b5764e4">
      <Terms xmlns="http://schemas.microsoft.com/office/infopath/2007/PartnerControls"/>
    </lcf76f155ced4ddcb4097134ff3c332f>
  </documentManagement>
</p:properties>
</file>

<file path=customXml/itemProps1.xml><?xml version="1.0" encoding="utf-8"?>
<ds:datastoreItem xmlns:ds="http://schemas.openxmlformats.org/officeDocument/2006/customXml" ds:itemID="{BFA00B2B-FC7F-4ED6-BC3D-3DE83488E245}">
  <ds:schemaRefs>
    <ds:schemaRef ds:uri="http://schemas.microsoft.com/sharepoint/v3/contenttype/forms"/>
  </ds:schemaRefs>
</ds:datastoreItem>
</file>

<file path=customXml/itemProps2.xml><?xml version="1.0" encoding="utf-8"?>
<ds:datastoreItem xmlns:ds="http://schemas.openxmlformats.org/officeDocument/2006/customXml" ds:itemID="{89AE9A51-FA73-431C-A4D5-36C1DFA1FEFD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5de2aea6-bdc3-4e5f-b0ae-84d85b5764e4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3.xml><?xml version="1.0" encoding="utf-8"?>
<ds:datastoreItem xmlns:ds="http://schemas.openxmlformats.org/officeDocument/2006/customXml" ds:itemID="{AA1364B1-D0AC-4AFC-8837-019122E84913}">
  <ds:schemaRefs>
    <ds:schemaRef ds:uri="http://schemas.microsoft.com/office/2006/metadata/properties"/>
    <ds:schemaRef ds:uri="http://schemas.microsoft.com/office/infopath/2007/PartnerControls"/>
    <ds:schemaRef ds:uri="5de2aea6-bdc3-4e5f-b0ae-84d85b5764e4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28</vt:i4>
      </vt:variant>
      <vt:variant>
        <vt:lpstr>Named Ranges</vt:lpstr>
      </vt:variant>
      <vt:variant>
        <vt:i4>45</vt:i4>
      </vt:variant>
    </vt:vector>
  </HeadingPairs>
  <TitlesOfParts>
    <vt:vector size="73" baseType="lpstr">
      <vt:lpstr>Données pop de l'année de ref</vt:lpstr>
      <vt:lpstr>Projections démographiques</vt:lpstr>
      <vt:lpstr>Causes du décès</vt:lpstr>
      <vt:lpstr>Dist. de l'état nutritionnel</vt:lpstr>
      <vt:lpstr>Dist. l'allaitement maternel</vt:lpstr>
      <vt:lpstr>Tendances temporelles</vt:lpstr>
      <vt:lpstr>Données économiques</vt:lpstr>
      <vt:lpstr>Paquets ANJE</vt:lpstr>
      <vt:lpstr>Traitement de la MAS</vt:lpstr>
      <vt:lpstr>Coûts et couvertures des prgms</vt:lpstr>
      <vt:lpstr>Dépendances du programme</vt:lpstr>
      <vt:lpstr>Programmes de référence</vt:lpstr>
      <vt:lpstr>Incidence des conditions</vt:lpstr>
      <vt:lpstr>Programmes-population cible</vt:lpstr>
      <vt:lpstr>Options de la courbe de coût</vt:lpstr>
      <vt:lpstr>Programmes-planification fam.</vt:lpstr>
      <vt:lpstr>Programmes - population touchée</vt:lpstr>
      <vt:lpstr>Programme - secteurs à risque</vt:lpstr>
      <vt:lpstr>Population des sect. à risque</vt:lpstr>
      <vt:lpstr>Rapport des cotes ANJE</vt:lpstr>
      <vt:lpstr>Rapports des cotes</vt:lpstr>
      <vt:lpstr>Programmes-rés. des naissances</vt:lpstr>
      <vt:lpstr>Risques des rés. des naissances</vt:lpstr>
      <vt:lpstr>Risques relatifs</vt:lpstr>
      <vt:lpstr>Programmes-anémie</vt:lpstr>
      <vt:lpstr>Programmes-émaciation</vt:lpstr>
      <vt:lpstr>Programmes pour les enfants</vt:lpstr>
      <vt:lpstr>Programmes pour les FE</vt:lpstr>
      <vt:lpstr>'Paquets ANJE'!abortion</vt:lpstr>
      <vt:lpstr>abortion</vt:lpstr>
      <vt:lpstr>comm_deliv</vt:lpstr>
      <vt:lpstr>diarrhoea_1_5mo</vt:lpstr>
      <vt:lpstr>diarrhoea_12_23mo</vt:lpstr>
      <vt:lpstr>diarrhoea_1mo</vt:lpstr>
      <vt:lpstr>diarrhoea_24_59mo</vt:lpstr>
      <vt:lpstr>diarrhoea_6_11mo</vt:lpstr>
      <vt:lpstr>end_year</vt:lpstr>
      <vt:lpstr>famplan_unmet_need</vt:lpstr>
      <vt:lpstr>food_insecure</vt:lpstr>
      <vt:lpstr>frac_children_health_facility</vt:lpstr>
      <vt:lpstr>frac_diarrhea_severe</vt:lpstr>
      <vt:lpstr>frac_maize</vt:lpstr>
      <vt:lpstr>frac_malaria_risk</vt:lpstr>
      <vt:lpstr>frac_mam_1_5months</vt:lpstr>
      <vt:lpstr>frac_mam_12_23months</vt:lpstr>
      <vt:lpstr>frac_mam_1month</vt:lpstr>
      <vt:lpstr>frac_mam_24_59months</vt:lpstr>
      <vt:lpstr>frac_mam_6_11months</vt:lpstr>
      <vt:lpstr>frac_other_staples</vt:lpstr>
      <vt:lpstr>frac_PW_health_facility</vt:lpstr>
      <vt:lpstr>frac_rice</vt:lpstr>
      <vt:lpstr>frac_sam_1_5months</vt:lpstr>
      <vt:lpstr>frac_sam_12_23months</vt:lpstr>
      <vt:lpstr>frac_sam_1month</vt:lpstr>
      <vt:lpstr>frac_sam_24_59months</vt:lpstr>
      <vt:lpstr>frac_sam_6_11months</vt:lpstr>
      <vt:lpstr>frac_subsistence_farming</vt:lpstr>
      <vt:lpstr>frac_wheat</vt:lpstr>
      <vt:lpstr>infant_mortality</vt:lpstr>
      <vt:lpstr>iron_deficiency_anaemia</vt:lpstr>
      <vt:lpstr>manage_mam</vt:lpstr>
      <vt:lpstr>maternal_mortality</vt:lpstr>
      <vt:lpstr>neonatal_mortality</vt:lpstr>
      <vt:lpstr>Percentage_of_pregnant_women_attending_health_facility</vt:lpstr>
      <vt:lpstr>preterm_AGA</vt:lpstr>
      <vt:lpstr>preterm_SGA</vt:lpstr>
      <vt:lpstr>school_attendance</vt:lpstr>
      <vt:lpstr>start_year</vt:lpstr>
      <vt:lpstr>'Paquets ANJE'!stillbirth</vt:lpstr>
      <vt:lpstr>stillbirth</vt:lpstr>
      <vt:lpstr>term_AGA</vt:lpstr>
      <vt:lpstr>term_SGA</vt:lpstr>
      <vt:lpstr>U5_mortality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Tharindu Wickramaarachchi</dc:creator>
  <cp:keywords>lang=fr</cp:keywords>
  <dc:description/>
  <cp:lastModifiedBy>Tharindu Wickramaarachchi</cp:lastModifiedBy>
  <cp:revision/>
  <dcterms:created xsi:type="dcterms:W3CDTF">2017-08-01T10:42:13Z</dcterms:created>
  <dcterms:modified xsi:type="dcterms:W3CDTF">2025-07-30T03:46:45Z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0x010100856A3DB4B0A5FF4A85E5854FA9B1BD84</vt:lpwstr>
  </property>
  <property fmtid="{D5CDD505-2E9C-101B-9397-08002B2CF9AE}" pid="3" name="MediaServiceImageTags">
    <vt:lpwstr/>
  </property>
</Properties>
</file>