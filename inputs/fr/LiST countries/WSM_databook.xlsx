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724C038A-C8B4-44E2-86E9-F783DD3300B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A39" i="2"/>
  <c r="H38" i="2"/>
  <c r="G38" i="2"/>
  <c r="I38" i="2" s="1"/>
  <c r="A35" i="2"/>
  <c r="A34" i="2"/>
  <c r="A31" i="2"/>
  <c r="A29" i="2"/>
  <c r="A28" i="2"/>
  <c r="A27" i="2"/>
  <c r="A21" i="2"/>
  <c r="A20" i="2"/>
  <c r="A19" i="2"/>
  <c r="A18" i="2"/>
  <c r="A15" i="2"/>
  <c r="H13" i="2"/>
  <c r="G13" i="2"/>
  <c r="H12" i="2"/>
  <c r="G12" i="2"/>
  <c r="I12" i="2" s="1"/>
  <c r="H11" i="2"/>
  <c r="G11" i="2"/>
  <c r="H10" i="2"/>
  <c r="G10" i="2"/>
  <c r="I10" i="2" s="1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A3" i="2"/>
  <c r="H2" i="2"/>
  <c r="G2" i="2"/>
  <c r="I2" i="2" s="1"/>
  <c r="A2" i="2"/>
  <c r="A40" i="2" s="1"/>
  <c r="C33" i="1"/>
  <c r="C20" i="1"/>
  <c r="I3" i="2" l="1"/>
  <c r="I7" i="2"/>
  <c r="I11" i="2"/>
  <c r="I39" i="2"/>
  <c r="A23" i="2"/>
  <c r="A36" i="2"/>
  <c r="I5" i="2"/>
  <c r="I9" i="2"/>
  <c r="I13" i="2"/>
  <c r="A26" i="2"/>
  <c r="A37" i="2"/>
  <c r="A16" i="2"/>
  <c r="A24" i="2"/>
  <c r="A32" i="2"/>
  <c r="A17" i="2"/>
  <c r="A25" i="2"/>
  <c r="A33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<sst xmlns="http://schemas.openxmlformats.org/spreadsheetml/2006/main" count="2101" uniqueCount="337">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</sst>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29873.677734375029</v>
      </c>
    </row>
    <row r="8" spans="1:3" ht="15" customHeight="1" x14ac:dyDescent="0.25">
      <c r="B8" s="5" t="s">
        <v>19</v>
      </c>
      <c r="C8" s="44">
        <v>1.0999999999999999E-2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0.81079986572265594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3.4700000000000002E-2</v>
      </c>
    </row>
    <row r="24" spans="1:3" ht="15" customHeight="1" x14ac:dyDescent="0.25">
      <c r="B24" s="15" t="s">
        <v>33</v>
      </c>
      <c r="C24" s="45">
        <v>0.47039999999999998</v>
      </c>
    </row>
    <row r="25" spans="1:3" ht="15" customHeight="1" x14ac:dyDescent="0.25">
      <c r="B25" s="15" t="s">
        <v>34</v>
      </c>
      <c r="C25" s="45">
        <v>0.44009999999999999</v>
      </c>
    </row>
    <row r="26" spans="1:3" ht="15" customHeight="1" x14ac:dyDescent="0.25">
      <c r="B26" s="15" t="s">
        <v>35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6.5631199999999996</v>
      </c>
    </row>
    <row r="38" spans="1:5" ht="15" customHeight="1" x14ac:dyDescent="0.25">
      <c r="B38" s="11" t="s">
        <v>45</v>
      </c>
      <c r="C38" s="43">
        <v>14.3725</v>
      </c>
      <c r="D38" s="12"/>
      <c r="E38" s="13"/>
    </row>
    <row r="39" spans="1:5" ht="15" customHeight="1" x14ac:dyDescent="0.25">
      <c r="B39" s="11" t="s">
        <v>46</v>
      </c>
      <c r="C39" s="43">
        <v>16.718489999999999</v>
      </c>
      <c r="D39" s="12"/>
      <c r="E39" s="12"/>
    </row>
    <row r="40" spans="1:5" ht="15" customHeight="1" x14ac:dyDescent="0.25">
      <c r="B40" s="11" t="s">
        <v>47</v>
      </c>
      <c r="C40" s="100">
        <v>0.59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6.1190999999999997E-3</v>
      </c>
      <c r="D45" s="12"/>
    </row>
    <row r="46" spans="1:5" ht="15.75" customHeight="1" x14ac:dyDescent="0.25">
      <c r="B46" s="11" t="s">
        <v>52</v>
      </c>
      <c r="C46" s="45">
        <v>6.5748799999999996E-2</v>
      </c>
      <c r="D46" s="12"/>
    </row>
    <row r="47" spans="1:5" ht="15.75" customHeight="1" x14ac:dyDescent="0.25">
      <c r="B47" s="11" t="s">
        <v>53</v>
      </c>
      <c r="C47" s="45">
        <v>7.5182200000000005E-2</v>
      </c>
      <c r="D47" s="12"/>
      <c r="E47" s="13"/>
    </row>
    <row r="48" spans="1:5" ht="15" customHeight="1" x14ac:dyDescent="0.25">
      <c r="B48" s="11" t="s">
        <v>54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0.57259000000000004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q0q3xARfIh+au4LXoj5lZNh7BMjjWzh48DbOUqBk65anZO5iAyX90hSLJySANGEaxH/tljHYDeyuIL88bG9cFw==" saltValue="BHF3dza+YO/H+WvMMp6n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6017</v>
      </c>
      <c r="C2" s="49">
        <v>13475.5</v>
      </c>
      <c r="D2" s="49">
        <v>17368.5</v>
      </c>
      <c r="E2" s="49">
        <v>13245</v>
      </c>
      <c r="F2" s="49">
        <v>9776</v>
      </c>
      <c r="G2" s="17">
        <f t="shared" ref="G2:G13" si="0">C2+D2+E2+F2</f>
        <v>53865</v>
      </c>
      <c r="H2" s="17">
        <f t="shared" ref="H2:H13" si="1">(B2 + stillbirth*B2/(1000-stillbirth))/(1-abortion)</f>
        <v>6889.9803603062192</v>
      </c>
      <c r="I2" s="17">
        <f t="shared" ref="I2:I13" si="2">G2-H2</f>
        <v>46975.019639693783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6015</v>
      </c>
      <c r="C3" s="50">
        <v>13898.5</v>
      </c>
      <c r="D3" s="50">
        <v>17478.5</v>
      </c>
      <c r="E3" s="50">
        <v>13599</v>
      </c>
      <c r="F3" s="50">
        <v>9752</v>
      </c>
      <c r="G3" s="17">
        <f t="shared" si="0"/>
        <v>54728</v>
      </c>
      <c r="H3" s="17">
        <f t="shared" si="1"/>
        <v>6887.6901890048057</v>
      </c>
      <c r="I3" s="17">
        <f t="shared" si="2"/>
        <v>47840.309810995197</v>
      </c>
    </row>
    <row r="4" spans="1:9" ht="15.75" customHeight="1" x14ac:dyDescent="0.25">
      <c r="A4" s="5">
        <f t="shared" si="3"/>
        <v>2026</v>
      </c>
      <c r="B4" s="49">
        <v>6059</v>
      </c>
      <c r="C4" s="50">
        <v>14336</v>
      </c>
      <c r="D4" s="50">
        <v>17658.5</v>
      </c>
      <c r="E4" s="50">
        <v>13935.5</v>
      </c>
      <c r="F4" s="50">
        <v>9702.5</v>
      </c>
      <c r="G4" s="17">
        <f t="shared" si="0"/>
        <v>55632.5</v>
      </c>
      <c r="H4" s="17">
        <f t="shared" si="1"/>
        <v>6938.0739576359301</v>
      </c>
      <c r="I4" s="17">
        <f t="shared" si="2"/>
        <v>48694.426042364066</v>
      </c>
    </row>
    <row r="5" spans="1:9" ht="15.75" customHeight="1" x14ac:dyDescent="0.25">
      <c r="A5" s="5">
        <f t="shared" si="3"/>
        <v>2027</v>
      </c>
      <c r="B5" s="49">
        <v>6053</v>
      </c>
      <c r="C5" s="50">
        <v>14772.5</v>
      </c>
      <c r="D5" s="50">
        <v>17899</v>
      </c>
      <c r="E5" s="50">
        <v>14251</v>
      </c>
      <c r="F5" s="50">
        <v>9651</v>
      </c>
      <c r="G5" s="17">
        <f t="shared" si="0"/>
        <v>56573.5</v>
      </c>
      <c r="H5" s="17">
        <f t="shared" si="1"/>
        <v>6931.2034437316852</v>
      </c>
      <c r="I5" s="17">
        <f t="shared" si="2"/>
        <v>49642.296556268317</v>
      </c>
    </row>
    <row r="6" spans="1:9" ht="15.75" customHeight="1" x14ac:dyDescent="0.25">
      <c r="A6" s="5">
        <f t="shared" si="3"/>
        <v>2028</v>
      </c>
      <c r="B6" s="49">
        <v>6096</v>
      </c>
      <c r="C6" s="50">
        <v>15174.5</v>
      </c>
      <c r="D6" s="50">
        <v>18216</v>
      </c>
      <c r="E6" s="50">
        <v>14528.5</v>
      </c>
      <c r="F6" s="50">
        <v>9600.5</v>
      </c>
      <c r="G6" s="17">
        <f t="shared" si="0"/>
        <v>57519.5</v>
      </c>
      <c r="H6" s="17">
        <f t="shared" si="1"/>
        <v>6980.4421267121015</v>
      </c>
      <c r="I6" s="17">
        <f t="shared" si="2"/>
        <v>50539.0578732879</v>
      </c>
    </row>
    <row r="7" spans="1:9" ht="15.75" customHeight="1" x14ac:dyDescent="0.25">
      <c r="A7" s="5">
        <f t="shared" si="3"/>
        <v>2029</v>
      </c>
      <c r="B7" s="49">
        <v>6140</v>
      </c>
      <c r="C7" s="50">
        <v>15511.5</v>
      </c>
      <c r="D7" s="50">
        <v>18630.5</v>
      </c>
      <c r="E7" s="50">
        <v>14741</v>
      </c>
      <c r="F7" s="50">
        <v>9563.5</v>
      </c>
      <c r="G7" s="17">
        <f t="shared" si="0"/>
        <v>58446.5</v>
      </c>
      <c r="H7" s="17">
        <f t="shared" si="1"/>
        <v>7030.825895343226</v>
      </c>
      <c r="I7" s="17">
        <f t="shared" si="2"/>
        <v>51415.674104656777</v>
      </c>
    </row>
    <row r="8" spans="1:9" ht="15.75" customHeight="1" x14ac:dyDescent="0.25">
      <c r="A8" s="5">
        <f t="shared" si="3"/>
        <v>2030</v>
      </c>
      <c r="B8" s="49">
        <v>6200</v>
      </c>
      <c r="C8" s="50">
        <v>15770.5</v>
      </c>
      <c r="D8" s="50">
        <v>19142.5</v>
      </c>
      <c r="E8" s="50">
        <v>14880.5</v>
      </c>
      <c r="F8" s="50">
        <v>9574</v>
      </c>
      <c r="G8" s="17">
        <f t="shared" si="0"/>
        <v>59367.5</v>
      </c>
      <c r="H8" s="17">
        <f t="shared" si="1"/>
        <v>7099.5310343856681</v>
      </c>
      <c r="I8" s="17">
        <f t="shared" si="2"/>
        <v>52267.968965614331</v>
      </c>
    </row>
    <row r="9" spans="1:9" ht="15.75" customHeight="1" x14ac:dyDescent="0.25">
      <c r="A9" s="5">
        <f t="shared" si="3"/>
        <v>2031</v>
      </c>
      <c r="B9" s="49">
        <v>6249</v>
      </c>
      <c r="C9" s="50">
        <v>15951</v>
      </c>
      <c r="D9" s="50">
        <v>19744.5</v>
      </c>
      <c r="E9" s="50">
        <v>14905</v>
      </c>
      <c r="F9" s="50">
        <v>9656</v>
      </c>
      <c r="G9" s="17">
        <f t="shared" si="0"/>
        <v>60256.5</v>
      </c>
      <c r="H9" s="17">
        <f t="shared" si="1"/>
        <v>7155.6402312703294</v>
      </c>
      <c r="I9" s="17">
        <f t="shared" si="2"/>
        <v>53100.859768729671</v>
      </c>
    </row>
    <row r="10" spans="1:9" ht="15.75" customHeight="1" x14ac:dyDescent="0.25">
      <c r="A10" s="5">
        <f t="shared" si="3"/>
        <v>2032</v>
      </c>
      <c r="B10" s="49">
        <v>6306</v>
      </c>
      <c r="C10" s="50">
        <v>16067.5</v>
      </c>
      <c r="D10" s="50">
        <v>20402.5</v>
      </c>
      <c r="E10" s="50">
        <v>14866</v>
      </c>
      <c r="F10" s="50">
        <v>9864</v>
      </c>
      <c r="G10" s="17">
        <f t="shared" si="0"/>
        <v>61200</v>
      </c>
      <c r="H10" s="17">
        <f t="shared" si="1"/>
        <v>7220.9101133606491</v>
      </c>
      <c r="I10" s="17">
        <f t="shared" si="2"/>
        <v>53979.089886639355</v>
      </c>
    </row>
    <row r="11" spans="1:9" ht="15.75" customHeight="1" x14ac:dyDescent="0.25">
      <c r="A11" s="5">
        <f t="shared" si="3"/>
        <v>2033</v>
      </c>
      <c r="B11" s="49">
        <v>6369</v>
      </c>
      <c r="C11" s="50">
        <v>16143</v>
      </c>
      <c r="D11" s="50">
        <v>21057</v>
      </c>
      <c r="E11" s="50">
        <v>14864</v>
      </c>
      <c r="F11" s="50">
        <v>10170.5</v>
      </c>
      <c r="G11" s="17">
        <f t="shared" si="0"/>
        <v>62234.5</v>
      </c>
      <c r="H11" s="17">
        <f t="shared" si="1"/>
        <v>7293.0505093552129</v>
      </c>
      <c r="I11" s="17">
        <f t="shared" si="2"/>
        <v>54941.449490644787</v>
      </c>
    </row>
    <row r="12" spans="1:9" ht="15.75" customHeight="1" x14ac:dyDescent="0.25">
      <c r="A12" s="5">
        <f t="shared" si="3"/>
        <v>2034</v>
      </c>
      <c r="B12" s="49">
        <v>6438</v>
      </c>
      <c r="C12" s="50">
        <v>16195</v>
      </c>
      <c r="D12" s="50">
        <v>21675</v>
      </c>
      <c r="E12" s="50">
        <v>14911.5</v>
      </c>
      <c r="F12" s="50">
        <v>10506</v>
      </c>
      <c r="G12" s="17">
        <f t="shared" si="0"/>
        <v>63287.5</v>
      </c>
      <c r="H12" s="17">
        <f t="shared" si="1"/>
        <v>7372.0614192540206</v>
      </c>
      <c r="I12" s="17">
        <f t="shared" si="2"/>
        <v>55915.438580745977</v>
      </c>
    </row>
    <row r="13" spans="1:9" ht="15.75" customHeight="1" x14ac:dyDescent="0.25">
      <c r="A13" s="5">
        <f t="shared" si="3"/>
        <v>2035</v>
      </c>
      <c r="B13" s="49">
        <v>6501</v>
      </c>
      <c r="C13" s="50">
        <v>16232</v>
      </c>
      <c r="D13" s="50">
        <v>22250.5</v>
      </c>
      <c r="E13" s="50">
        <v>15021.5</v>
      </c>
      <c r="F13" s="50">
        <v>10860</v>
      </c>
      <c r="G13" s="17">
        <f t="shared" si="0"/>
        <v>64364</v>
      </c>
      <c r="H13" s="17">
        <f t="shared" si="1"/>
        <v>7444.2018152485853</v>
      </c>
      <c r="I13" s="17">
        <f t="shared" si="2"/>
        <v>56919.798184751417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Tv/zomqQldH4NphT2yynU756eS6Fukxji/GE4j2r20ERuoMhUBPtWAsjaXIdLuMW5jHNKQ5GRcwnUOAg1FgAg==" saltValue="qK76ri/H/AqzBYu6dZs2a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7.2663600000000161E-2</v>
      </c>
    </row>
    <row r="5" spans="1:8" ht="15.75" customHeight="1" x14ac:dyDescent="0.25">
      <c r="B5" s="19" t="s">
        <v>80</v>
      </c>
      <c r="C5" s="101">
        <v>3.2022400000000013E-2</v>
      </c>
    </row>
    <row r="6" spans="1:8" ht="15.75" customHeight="1" x14ac:dyDescent="0.25">
      <c r="B6" s="19" t="s">
        <v>81</v>
      </c>
      <c r="C6" s="101">
        <v>0.18112940000000011</v>
      </c>
    </row>
    <row r="7" spans="1:8" ht="15.75" customHeight="1" x14ac:dyDescent="0.25">
      <c r="B7" s="19" t="s">
        <v>82</v>
      </c>
      <c r="C7" s="101">
        <v>0.43143469999999928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0.18141010000000021</v>
      </c>
    </row>
    <row r="10" spans="1:8" ht="15.75" customHeight="1" x14ac:dyDescent="0.25">
      <c r="B10" s="19" t="s">
        <v>85</v>
      </c>
      <c r="C10" s="101">
        <v>0.1013398000000002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88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89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90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95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4.7837044999999988E-2</v>
      </c>
    </row>
    <row r="27" spans="1:8" ht="15.75" customHeight="1" x14ac:dyDescent="0.25">
      <c r="B27" s="19" t="s">
        <v>102</v>
      </c>
      <c r="C27" s="101">
        <v>1.836863E-2</v>
      </c>
    </row>
    <row r="28" spans="1:8" ht="15.75" customHeight="1" x14ac:dyDescent="0.25">
      <c r="B28" s="19" t="s">
        <v>103</v>
      </c>
      <c r="C28" s="101">
        <v>0.231175139</v>
      </c>
    </row>
    <row r="29" spans="1:8" ht="15.75" customHeight="1" x14ac:dyDescent="0.25">
      <c r="B29" s="19" t="s">
        <v>104</v>
      </c>
      <c r="C29" s="101">
        <v>0.138527135</v>
      </c>
    </row>
    <row r="30" spans="1:8" ht="15.75" customHeight="1" x14ac:dyDescent="0.25">
      <c r="B30" s="19" t="s">
        <v>2</v>
      </c>
      <c r="C30" s="101">
        <v>4.9111505E-2</v>
      </c>
    </row>
    <row r="31" spans="1:8" ht="15.75" customHeight="1" x14ac:dyDescent="0.25">
      <c r="B31" s="19" t="s">
        <v>105</v>
      </c>
      <c r="C31" s="101">
        <v>6.9658183999999998E-2</v>
      </c>
    </row>
    <row r="32" spans="1:8" ht="15.75" customHeight="1" x14ac:dyDescent="0.25">
      <c r="B32" s="19" t="s">
        <v>106</v>
      </c>
      <c r="C32" s="101">
        <v>0.14941447299999999</v>
      </c>
    </row>
    <row r="33" spans="2:3" ht="15.75" customHeight="1" x14ac:dyDescent="0.25">
      <c r="B33" s="19" t="s">
        <v>107</v>
      </c>
      <c r="C33" s="101">
        <v>0.122223571</v>
      </c>
    </row>
    <row r="34" spans="2:3" ht="15.75" customHeight="1" x14ac:dyDescent="0.25">
      <c r="B34" s="19" t="s">
        <v>108</v>
      </c>
      <c r="C34" s="101">
        <v>0.173684317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w0m43DxpvqiX4cWX5t4kpz6qxfNyzlQpOYnEqUHlj9hgq+adVxrwr/H1F8I/54nCWxQv5izStlKy3fd26wsXag==" saltValue="FzY2vhJzln/BezgW4ik0H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114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115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119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120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Q37znXEGhWB5pv1EuT5OdX9peFE0IbEeRkOOazyU6YqAi3cr3kfRe+xg17ZxziOaII2EcqQ7VpsdLXVAut/7w==" saltValue="gtLSdMRsxcO8WrqiQ/2c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132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LiGs5avqrzROJZ4MJahX5/pKb+uZfrjaxPBDh/OMMw7B2svf8msLeATOLXdhLeY00gbV4xgfPLD6Q91/fu00fQ==" saltValue="zayiMTbTUTYFfNzTKnYWn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0PsTXwDKlqOyBTo3n/R1FDFuJU7sBw26TxH7hlH4No1+W0tS81GjYywXxTxpTY4WTprwEgZWLEeTM4N1PMnlQ==" saltValue="KR8Fh6yJDSpJBIsjU26+o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bR0rYbW2xFJbZOAMCEcfR+M12kg9ngxWM2UsLSFAvMiD48gjLG0UOjPX0GQYrLW5iZFMrW/NPa/ttYl5uFZ4WQ==" saltValue="rPhS7wc51PtuNC761iqJ1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gaVT5z11wm0CvEo6TnRJ6ET2xxU2336b2ix4cDNF86VpOXjfU63FViHY0pko/Gi/5gOD3v4sRcsgvtMEDJQwcw==" saltValue="ecJ2YRXh0SYI3KqpS08fm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AWlYHT+5yR90xIuZ0rgPiHhyzccJsGHL5oMjSuuZqDCDlEyoSi0vmDmgEylAB6csJgEQYekUEgSo53RUdR1ZQw==" saltValue="La7x9/x0zWy9diiFRSx50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57.302229105544832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39.863831220809203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403.00131444088152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1.1645825935762411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1.1113E-2</v>
      </c>
      <c r="C10" s="98">
        <v>0.95</v>
      </c>
      <c r="D10" s="56">
        <v>12.99613066460511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12.99613066460511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12.99613066460511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12.99613066460511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1.1113E-2</v>
      </c>
      <c r="C14" s="98">
        <v>0.95</v>
      </c>
      <c r="D14" s="56">
        <v>12.99613066460511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12.99613066460511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0.70289646450045573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0.50451279999999998</v>
      </c>
      <c r="C18" s="98">
        <v>0.95</v>
      </c>
      <c r="D18" s="56">
        <v>9.2940558205318631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0.50451279999999998</v>
      </c>
      <c r="C19" s="98">
        <v>0.95</v>
      </c>
      <c r="D19" s="56">
        <v>9.2940558205318631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17.806239734868129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22.41875682582225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4.2693071752319298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0.62744799530607998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1.1113E-2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18.370182834175559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0.58558969999999999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0.2004783</v>
      </c>
      <c r="C29" s="98">
        <v>0.95</v>
      </c>
      <c r="D29" s="56">
        <v>111.9883457710268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1.255919796850113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1.507574989137179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0.7196437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0.1203943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1.57512E-2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0.88436999999999999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0.33004980000000012</v>
      </c>
      <c r="C38" s="98">
        <v>0.95</v>
      </c>
      <c r="D38" s="56">
        <v>5.6275122920448464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xIjPK1aF/qKU2NzTWrkCoit7ruk6FrAJapnyTabgZG6AqWd218JxjFj7V0SASpJpcmkN8cn3rWxpPyy54rM6MQ==" saltValue="jXDhepjdMNZy6KJa0nZg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YIre2MmKE/q+145aMMMOPrUJ4daroT+j+GLVDqB2l85QtnUnmUkiMbYGce6PunBSx7JZtuz8lfBPO+XDp1akWA==" saltValue="B7KczzJqqfv8POA78lUn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BwY1mG8gRh8vPf1AcKaddYIjVw/c+O1mkTsRBmNkLsWhmtKj1zln2INKzphM5bdkx9t3ptBhuiw3zA06YZ3qUw==" saltValue="uv0XKqrBA9Gk1ORhlU5R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208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qzSZXr79dSt+pIe109X+otM3H9oQ9SZ0Pj5l4+FS1cVlQ3EidkH4VhAVdL/ciFgOh5y8NYGWH0xxggDpZLUm9g==" saltValue="r7hCxlxzMbfHfZpX/psn3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szSB2rwKnOh4D+3/6zpLLZgHkw1JDMg68PXIINm6pwc0tSqE3TDGvcVh23RIuuVd3Pypr5QOcFpJWt5YPkhlw==" saltValue="w3aRaZRzHGMvrTwZ6e5Nl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vV1JttwxxMX6PZyj5Huj/7FGeQstKV8YUOKXO8MFfyduzDSKczSGtIFrdXdbHwWY4PJ+JhwNJS5xL8z5deDP6w==" saltValue="s75UFDhrD/zyRn8mnEfKk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hrD/I9xicT0fLHbxg89i+M+AkQPknKxo+QkXkl8+sHK24qOO/Xalsj+9dKPdqtMn384M3gJTMy3PZeizBLlPA==" saltValue="AVH9kVjQxgzK8U5QCXxQ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qdHPfLyFiTsxwv4ngZ6YiXM3OIOeS/hO75xigg9VeSxIYS0Z1r/pO1/bDZP8Q6RtWKdZEcokZNAVnAGaKXjdg==" saltValue="niNLCoxRII++r45cgAUzr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+dM8ZEhDT6Q7m1c8JyAlvzcBDV3JvfMa1F3mil5ON+BOx2JnJdOuAT7ffPhUN7ejQD2oYN3z0oBI0fjX0xGDg==" saltValue="jUUueRAezJtMgOswNndnq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y3bp6kjIPgDjLDaep3KbnR0fY4dvfngMD/zpqgPbFUCEOUSmAu7Y5QcJICXCTFAv4kRiXKKLJOZ1QJ6WMV/vA==" saltValue="/Ee5iOaoqBeYXsCdFhoIo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dn00k+RcXOCf29a636QQw3hC9vCN7IMBnea1yArog62ApmTAUSgJ+CFGNK4e89jdpD10NVC7hV3wDVDScFaOA==" saltValue="Ro2WVOgjR1zcxdd7VHN7h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O9Y8uvXnfGRA0pCg9vOkc/oFb9i08ek7O0i5RGy9Dm+fGGG1UzMLX9P3svGz7TkJtkb/Fyb8Uazzh2Mh+4tog==" saltValue="bceknobitwNcLut684FE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BV6iwADq5UmbjU9t8k/S54KJS2q4slKaYCOhxOvAi69Fl2XqupZ8J9cdD+RnZFyzbglFRIWciMj09AM9H86sw==" saltValue="zRDtQLEmdH52y+9zrWYh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DEBeHINsHiKER53oc9S8kxPjMysNstWXfju3DSmUfO6K89DMMRfVYP+jTs0RuQRkek0Y09AtIE2HQARP5H6cw==" saltValue="RZ8+JMIdePyeA+Pdp3hp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1wfe74QC654KutnG6IP1mo0AQ385hakFGOVyZIwaYP1ZD3c8ZlunLyBaU21d/HkU0Dg8L0an2QUI0cEzE98yQg==" saltValue="Xj349REzp67a5zZdh+M7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7tRKRVUmR0t4plUCtdilLoF+E+g6FybpUPwTr+GCnFCPbfClYScYQEBfn1Bflr+fhWWK8S6pvEqMN7a/6bNuw==" saltValue="l0Sbbq6ELr8hF2Ky+98k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j86OgWdkbjQi66ffM+H8s1qWeU5c0ma/+lUf7TLL8VunYK6u0S0hH9qKpT6moMCH2VbjqkBRRIdXe3yVZq5hg==" saltValue="zUr9bd4ALPTDACJSgMbw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0.10956943318984946</v>
      </c>
      <c r="G18" s="90">
        <f>MIN(MAX(1-0.89/(1-frac_sam_12_23months+(frac_sam_12_23months*0.89)),0),1)</f>
        <v>0.1088943945820906</v>
      </c>
      <c r="H18" s="90">
        <f>MIN(MAX(1-0.89/(1-frac_sam_24_59months+(frac_sam_24_59months*0.89)),0),1)</f>
        <v>0.10934382152969846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0.10694827884033253</v>
      </c>
      <c r="G20" s="90">
        <f>MIN(MAX(1-0.89/(1-frac_mam_12_23months+(frac_mam_12_23months*0.89)),0),1)</f>
        <v>0.10771762466615686</v>
      </c>
      <c r="H20" s="90">
        <f>MIN(MAX(1-0.89/(1-frac_mam_24_59months+(frac_mam_24_59months*0.89)),0),1)</f>
        <v>0.10885592071440253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9.9564786768462366E-3</v>
      </c>
      <c r="G73" s="90">
        <f>MIN(MAX(1-0.99/(1-frac_sam_12_23months+(frac_sam_12_23months*0.99)),0),1)</f>
        <v>9.8883233237643253E-3</v>
      </c>
      <c r="H73" s="90">
        <f>MIN(MAX(1-0.99/(1-frac_sam_24_59months+(frac_sam_24_59months*0.99)),0),1)</f>
        <v>9.9336893187759179E-3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9.6923579600773913E-3</v>
      </c>
      <c r="G75" s="90">
        <f>MIN(MAX(1-0.99/(1-frac_mam_12_23months+(frac_mam_12_23months*0.99)),0),1)</f>
        <v>9.7697348248269034E-3</v>
      </c>
      <c r="H75" s="90">
        <f>MIN(MAX(1-0.99/(1-frac_mam_24_59months+(frac_mam_24_59months*0.99)),0),1)</f>
        <v>9.8844416329518792E-3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0.19929603708988863</v>
      </c>
      <c r="G128" s="90">
        <f>MIN(MAX(1-0.8/(1-frac_sam_12_23months+(frac_sam_12_23months*0.8)),0),1)</f>
        <v>0.19819124774431152</v>
      </c>
      <c r="H128" s="90">
        <f>MIN(MAX(1-0.8/(1-frac_sam_24_59months+(frac_sam_24_59months*0.8)),0),1)</f>
        <v>0.19892694662354116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0.19499847723899444</v>
      </c>
      <c r="G130" s="90">
        <f>MIN(MAX(1-0.8/(1-frac_mam_12_23months+(frac_mam_12_23months*0.8)),0),1)</f>
        <v>0.19626202364384127</v>
      </c>
      <c r="H130" s="90">
        <f>MIN(MAX(1-0.8/(1-frac_mam_24_59months+(frac_mam_24_59months*0.8)),0),1)</f>
        <v>0.19812823886027708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//Sg8y8XXy2Hj/G5BVJmcMAdHbpu0adEGxlxbcnUZnBsw7cSVA//+HIIx6B3El/n+jncsqRXuxePS9lwEdCQQ==" saltValue="GJmHYBVQT8014meAmgdz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O6ufH5cZW9oZayz8K5zCv0qKWjHV9T4bD0vO5Rr58a/7jYFFnwgFN7fRIGrLHaCPVYfVXUJxztwjnTyv2JQVQ==" saltValue="uMXUQo+uHQ77JpVLLq4TG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2024-08-06T09:59:39Z</dcterms:modified>
</cp:coreProperties>
</file>