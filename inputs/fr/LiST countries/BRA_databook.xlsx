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3AD07AD-1DDC-4BE5-B21E-E6225A960DB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I6" i="2"/>
  <c r="A19" i="2"/>
  <c r="A24" i="2"/>
  <c r="I4" i="2"/>
  <c r="I8" i="2"/>
  <c r="I12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<sst xmlns="http://schemas.openxmlformats.org/spreadsheetml/2006/main" count="2159" uniqueCount="368">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</sst>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12879996.5</v>
      </c>
    </row>
    <row r="8" spans="1:3" ht="15" customHeight="1" x14ac:dyDescent="0.25">
      <c r="B8" s="5" t="s">
        <v>37</v>
      </c>
      <c r="C8" s="44">
        <v>4.3999999999999997E-2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0.83181569999999994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0.18279999999999999</v>
      </c>
    </row>
    <row r="24" spans="1:3" ht="15" customHeight="1" x14ac:dyDescent="0.25">
      <c r="B24" s="15" t="s">
        <v>51</v>
      </c>
      <c r="C24" s="45">
        <v>0.54590000000000005</v>
      </c>
    </row>
    <row r="25" spans="1:3" ht="15" customHeight="1" x14ac:dyDescent="0.25">
      <c r="B25" s="15" t="s">
        <v>52</v>
      </c>
      <c r="C25" s="45">
        <v>0.23910000000000001</v>
      </c>
    </row>
    <row r="26" spans="1:3" ht="15" customHeight="1" x14ac:dyDescent="0.25">
      <c r="B26" s="15" t="s">
        <v>53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0.34994163924792399</v>
      </c>
    </row>
    <row r="30" spans="1:3" ht="14.25" customHeight="1" x14ac:dyDescent="0.25">
      <c r="B30" s="25" t="s">
        <v>56</v>
      </c>
      <c r="C30" s="99">
        <v>0.10516916316476101</v>
      </c>
    </row>
    <row r="31" spans="1:3" ht="14.25" customHeight="1" x14ac:dyDescent="0.25">
      <c r="B31" s="25" t="s">
        <v>57</v>
      </c>
      <c r="C31" s="99">
        <v>8.4505866375242988E-2</v>
      </c>
    </row>
    <row r="32" spans="1:3" ht="14.25" customHeight="1" x14ac:dyDescent="0.25">
      <c r="B32" s="25" t="s">
        <v>58</v>
      </c>
      <c r="C32" s="99">
        <v>0.46038333121207198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8.4704599999999992</v>
      </c>
    </row>
    <row r="38" spans="1:5" ht="15" customHeight="1" x14ac:dyDescent="0.25">
      <c r="B38" s="11" t="s">
        <v>63</v>
      </c>
      <c r="C38" s="43">
        <v>12.875</v>
      </c>
      <c r="D38" s="12"/>
      <c r="E38" s="13"/>
    </row>
    <row r="39" spans="1:5" ht="15" customHeight="1" x14ac:dyDescent="0.25">
      <c r="B39" s="11" t="s">
        <v>64</v>
      </c>
      <c r="C39" s="43">
        <v>14.41098</v>
      </c>
      <c r="D39" s="12"/>
      <c r="E39" s="12"/>
    </row>
    <row r="40" spans="1:5" ht="15" customHeight="1" x14ac:dyDescent="0.25">
      <c r="B40" s="11" t="s">
        <v>65</v>
      </c>
      <c r="C40" s="100">
        <v>0.72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9.4821000000000003E-3</v>
      </c>
      <c r="D45" s="12"/>
    </row>
    <row r="46" spans="1:5" ht="15.75" customHeight="1" x14ac:dyDescent="0.25">
      <c r="B46" s="11" t="s">
        <v>70</v>
      </c>
      <c r="C46" s="45">
        <v>0.1019704</v>
      </c>
      <c r="D46" s="12"/>
    </row>
    <row r="47" spans="1:5" ht="15.75" customHeight="1" x14ac:dyDescent="0.25">
      <c r="B47" s="11" t="s">
        <v>71</v>
      </c>
      <c r="C47" s="45">
        <v>7.1473700000000001E-2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0.56287600000000004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8.6980708860000006E-2</v>
      </c>
    </row>
    <row r="63" spans="1:4" ht="15.75" customHeight="1" x14ac:dyDescent="0.3">
      <c r="A63" s="4"/>
    </row>
  </sheetData>
  <sheetProtection algorithmName="SHA-512" hashValue="WO4Ty5Et/5hsohqPk7155JTKVtnyNlojiA7eRN/bEcws4Rd0eoYHhvXB1YxTQaPu2GFYOmfKKEhem8pfTe5bgg==" saltValue="gaTzB+cUt1voIJ4acnG0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2572100</v>
      </c>
      <c r="C2" s="49">
        <v>7301316</v>
      </c>
      <c r="D2" s="49">
        <v>15891051.5</v>
      </c>
      <c r="E2" s="49">
        <v>16413838.500000002</v>
      </c>
      <c r="F2" s="49">
        <v>15948186.5</v>
      </c>
      <c r="G2" s="17">
        <f t="shared" ref="G2:G13" si="0">C2+D2+E2+F2</f>
        <v>55554392.5</v>
      </c>
      <c r="H2" s="17">
        <f t="shared" ref="H2:H13" si="1">(B2 + stillbirth*B2/(1000-stillbirth))/(1-abortion)</f>
        <v>2943389.5059470925</v>
      </c>
      <c r="I2" s="17">
        <f t="shared" ref="I2:I13" si="2">G2-H2</f>
        <v>52611002.994052909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2528724</v>
      </c>
      <c r="C3" s="50">
        <v>7211480</v>
      </c>
      <c r="D3" s="50">
        <v>15731697.5</v>
      </c>
      <c r="E3" s="50">
        <v>16288397.5</v>
      </c>
      <c r="F3" s="50">
        <v>16165471.5</v>
      </c>
      <c r="G3" s="17">
        <f t="shared" si="0"/>
        <v>55397046.5</v>
      </c>
      <c r="H3" s="17">
        <f t="shared" si="1"/>
        <v>2893752.0644751582</v>
      </c>
      <c r="I3" s="17">
        <f t="shared" si="2"/>
        <v>52503294.435524844</v>
      </c>
    </row>
    <row r="4" spans="1:9" ht="15.75" customHeight="1" x14ac:dyDescent="0.25">
      <c r="A4" s="5">
        <f t="shared" si="3"/>
        <v>2026</v>
      </c>
      <c r="B4" s="49">
        <v>2492914</v>
      </c>
      <c r="C4" s="50">
        <v>7133131</v>
      </c>
      <c r="D4" s="50">
        <v>15551253</v>
      </c>
      <c r="E4" s="50">
        <v>16178066.5</v>
      </c>
      <c r="F4" s="50">
        <v>16341990</v>
      </c>
      <c r="G4" s="17">
        <f t="shared" si="0"/>
        <v>55204440.5</v>
      </c>
      <c r="H4" s="17">
        <f t="shared" si="1"/>
        <v>2852772.7953145639</v>
      </c>
      <c r="I4" s="17">
        <f t="shared" si="2"/>
        <v>52351667.704685435</v>
      </c>
    </row>
    <row r="5" spans="1:9" ht="15.75" customHeight="1" x14ac:dyDescent="0.25">
      <c r="A5" s="5">
        <f t="shared" si="3"/>
        <v>2027</v>
      </c>
      <c r="B5" s="49">
        <v>2461631</v>
      </c>
      <c r="C5" s="50">
        <v>7073603.5</v>
      </c>
      <c r="D5" s="50">
        <v>15346297</v>
      </c>
      <c r="E5" s="50">
        <v>16089223</v>
      </c>
      <c r="F5" s="50">
        <v>16467720.5</v>
      </c>
      <c r="G5" s="17">
        <f t="shared" si="0"/>
        <v>54976844</v>
      </c>
      <c r="H5" s="17">
        <f t="shared" si="1"/>
        <v>2816974.0106971143</v>
      </c>
      <c r="I5" s="17">
        <f t="shared" si="2"/>
        <v>52159869.989302889</v>
      </c>
    </row>
    <row r="6" spans="1:9" ht="15.75" customHeight="1" x14ac:dyDescent="0.25">
      <c r="A6" s="5">
        <f t="shared" si="3"/>
        <v>2028</v>
      </c>
      <c r="B6" s="49">
        <v>2433369</v>
      </c>
      <c r="C6" s="50">
        <v>7033997</v>
      </c>
      <c r="D6" s="50">
        <v>15116048.5</v>
      </c>
      <c r="E6" s="50">
        <v>16028374</v>
      </c>
      <c r="F6" s="50">
        <v>16537266</v>
      </c>
      <c r="G6" s="17">
        <f t="shared" si="0"/>
        <v>54715685.5</v>
      </c>
      <c r="H6" s="17">
        <f t="shared" si="1"/>
        <v>2784632.3154997746</v>
      </c>
      <c r="I6" s="17">
        <f t="shared" si="2"/>
        <v>51931053.184500225</v>
      </c>
    </row>
    <row r="7" spans="1:9" ht="15.75" customHeight="1" x14ac:dyDescent="0.25">
      <c r="A7" s="5">
        <f t="shared" si="3"/>
        <v>2029</v>
      </c>
      <c r="B7" s="49">
        <v>2410757</v>
      </c>
      <c r="C7" s="50">
        <v>7015177.5</v>
      </c>
      <c r="D7" s="50">
        <v>14883269.5</v>
      </c>
      <c r="E7" s="50">
        <v>15978235.499999998</v>
      </c>
      <c r="F7" s="50">
        <v>16554173.5</v>
      </c>
      <c r="G7" s="17">
        <f t="shared" si="0"/>
        <v>54430856</v>
      </c>
      <c r="H7" s="17">
        <f t="shared" si="1"/>
        <v>2758756.2128954916</v>
      </c>
      <c r="I7" s="17">
        <f t="shared" si="2"/>
        <v>51672099.78710451</v>
      </c>
    </row>
    <row r="8" spans="1:9" ht="15.75" customHeight="1" x14ac:dyDescent="0.25">
      <c r="A8" s="5">
        <f t="shared" si="3"/>
        <v>2030</v>
      </c>
      <c r="B8" s="49">
        <v>2388528</v>
      </c>
      <c r="C8" s="50">
        <v>7010191.5</v>
      </c>
      <c r="D8" s="50">
        <v>14672118</v>
      </c>
      <c r="E8" s="50">
        <v>15924241.999999998</v>
      </c>
      <c r="F8" s="50">
        <v>16520779.999999998</v>
      </c>
      <c r="G8" s="17">
        <f t="shared" si="0"/>
        <v>54127331.5</v>
      </c>
      <c r="H8" s="17">
        <f t="shared" si="1"/>
        <v>2733318.3973643314</v>
      </c>
      <c r="I8" s="17">
        <f t="shared" si="2"/>
        <v>51394013.102635667</v>
      </c>
    </row>
    <row r="9" spans="1:9" ht="15.75" customHeight="1" x14ac:dyDescent="0.25">
      <c r="A9" s="5">
        <f t="shared" si="3"/>
        <v>2031</v>
      </c>
      <c r="B9" s="49">
        <v>2366895</v>
      </c>
      <c r="C9" s="50">
        <v>6991206</v>
      </c>
      <c r="D9" s="50">
        <v>14487943</v>
      </c>
      <c r="E9" s="50">
        <v>15860319</v>
      </c>
      <c r="F9" s="50">
        <v>16442911</v>
      </c>
      <c r="G9" s="17">
        <f t="shared" si="0"/>
        <v>53782379</v>
      </c>
      <c r="H9" s="17">
        <f t="shared" si="1"/>
        <v>2708562.6160252881</v>
      </c>
      <c r="I9" s="17">
        <f t="shared" si="2"/>
        <v>51073816.383974709</v>
      </c>
    </row>
    <row r="10" spans="1:9" ht="15.75" customHeight="1" x14ac:dyDescent="0.25">
      <c r="A10" s="5">
        <f t="shared" si="3"/>
        <v>2032</v>
      </c>
      <c r="B10" s="49">
        <v>2344074</v>
      </c>
      <c r="C10" s="50">
        <v>6960954</v>
      </c>
      <c r="D10" s="50">
        <v>14333208.5</v>
      </c>
      <c r="E10" s="50">
        <v>15782591</v>
      </c>
      <c r="F10" s="50">
        <v>16329625.500000002</v>
      </c>
      <c r="G10" s="17">
        <f t="shared" si="0"/>
        <v>53406379</v>
      </c>
      <c r="H10" s="17">
        <f t="shared" si="1"/>
        <v>2682447.3437126959</v>
      </c>
      <c r="I10" s="17">
        <f t="shared" si="2"/>
        <v>50723931.656287305</v>
      </c>
    </row>
    <row r="11" spans="1:9" ht="15.75" customHeight="1" x14ac:dyDescent="0.25">
      <c r="A11" s="5">
        <f t="shared" si="3"/>
        <v>2033</v>
      </c>
      <c r="B11" s="49">
        <v>2325924</v>
      </c>
      <c r="C11" s="50">
        <v>6938473.5</v>
      </c>
      <c r="D11" s="50">
        <v>14210478</v>
      </c>
      <c r="E11" s="50">
        <v>15679108.5</v>
      </c>
      <c r="F11" s="50">
        <v>16200371.5</v>
      </c>
      <c r="G11" s="17">
        <f t="shared" si="0"/>
        <v>53028431.5</v>
      </c>
      <c r="H11" s="17">
        <f t="shared" si="1"/>
        <v>2661677.3427279205</v>
      </c>
      <c r="I11" s="17">
        <f t="shared" si="2"/>
        <v>50366754.157272078</v>
      </c>
    </row>
    <row r="12" spans="1:9" ht="15.75" customHeight="1" x14ac:dyDescent="0.25">
      <c r="A12" s="5">
        <f t="shared" si="3"/>
        <v>2034</v>
      </c>
      <c r="B12" s="49">
        <v>2307978</v>
      </c>
      <c r="C12" s="50">
        <v>6892351</v>
      </c>
      <c r="D12" s="50">
        <v>14114666.5</v>
      </c>
      <c r="E12" s="50">
        <v>15553131</v>
      </c>
      <c r="F12" s="50">
        <v>16075359.5</v>
      </c>
      <c r="G12" s="17">
        <f t="shared" si="0"/>
        <v>52635508</v>
      </c>
      <c r="H12" s="17">
        <f t="shared" si="1"/>
        <v>2641140.7896880987</v>
      </c>
      <c r="I12" s="17">
        <f t="shared" si="2"/>
        <v>49994367.210311905</v>
      </c>
    </row>
    <row r="13" spans="1:9" ht="15.75" customHeight="1" x14ac:dyDescent="0.25">
      <c r="A13" s="5">
        <f t="shared" si="3"/>
        <v>2035</v>
      </c>
      <c r="B13" s="49">
        <v>2289062</v>
      </c>
      <c r="C13" s="50">
        <v>6797001.5</v>
      </c>
      <c r="D13" s="50">
        <v>14034295.5</v>
      </c>
      <c r="E13" s="50">
        <v>15414352</v>
      </c>
      <c r="F13" s="50">
        <v>15963456.999999998</v>
      </c>
      <c r="G13" s="17">
        <f t="shared" si="0"/>
        <v>52209106</v>
      </c>
      <c r="H13" s="17">
        <f t="shared" si="1"/>
        <v>2619494.2145570791</v>
      </c>
      <c r="I13" s="17">
        <f t="shared" si="2"/>
        <v>49589611.785442919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0pvgVRBdXd/6MbsJ6wAXUr3amsoDzxSFh+KDbSybjFeXTU2ewbxpsHb4URa3jmySaeEru37LwIY2Gj/bH120Q==" saltValue="lXbfU5mDbE+kPO1iXiyg5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0.13749251374925139</v>
      </c>
    </row>
    <row r="5" spans="1:8" ht="15.75" customHeight="1" x14ac:dyDescent="0.25">
      <c r="B5" s="19" t="s">
        <v>98</v>
      </c>
      <c r="C5" s="101">
        <v>1.6327201632720171E-2</v>
      </c>
    </row>
    <row r="6" spans="1:8" ht="15.75" customHeight="1" x14ac:dyDescent="0.25">
      <c r="B6" s="19" t="s">
        <v>99</v>
      </c>
      <c r="C6" s="101">
        <v>0.14921611492161169</v>
      </c>
    </row>
    <row r="7" spans="1:8" ht="15.75" customHeight="1" x14ac:dyDescent="0.25">
      <c r="B7" s="19" t="s">
        <v>100</v>
      </c>
      <c r="C7" s="101">
        <v>0.28350592835059218</v>
      </c>
    </row>
    <row r="8" spans="1:8" ht="15.75" customHeight="1" x14ac:dyDescent="0.25">
      <c r="B8" s="19" t="s">
        <v>101</v>
      </c>
      <c r="C8" s="101">
        <v>1.020000102000012E-5</v>
      </c>
    </row>
    <row r="9" spans="1:8" ht="15.75" customHeight="1" x14ac:dyDescent="0.25">
      <c r="B9" s="19" t="s">
        <v>102</v>
      </c>
      <c r="C9" s="101">
        <v>0.21483992148399311</v>
      </c>
    </row>
    <row r="10" spans="1:8" ht="15.75" customHeight="1" x14ac:dyDescent="0.25">
      <c r="B10" s="19" t="s">
        <v>103</v>
      </c>
      <c r="C10" s="101">
        <v>0.19860811986081151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106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107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110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113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5.7909057E-2</v>
      </c>
    </row>
    <row r="27" spans="1:8" ht="15.75" customHeight="1" x14ac:dyDescent="0.25">
      <c r="B27" s="19" t="s">
        <v>120</v>
      </c>
      <c r="C27" s="101">
        <v>2.6758759999999999E-2</v>
      </c>
    </row>
    <row r="28" spans="1:8" ht="15.75" customHeight="1" x14ac:dyDescent="0.25">
      <c r="B28" s="19" t="s">
        <v>121</v>
      </c>
      <c r="C28" s="101">
        <v>6.3008400000000006E-2</v>
      </c>
    </row>
    <row r="29" spans="1:8" ht="15.75" customHeight="1" x14ac:dyDescent="0.25">
      <c r="B29" s="19" t="s">
        <v>122</v>
      </c>
      <c r="C29" s="101">
        <v>0.22726674099999999</v>
      </c>
    </row>
    <row r="30" spans="1:8" ht="15.75" customHeight="1" x14ac:dyDescent="0.25">
      <c r="B30" s="19" t="s">
        <v>2</v>
      </c>
      <c r="C30" s="101">
        <v>8.1734795999999998E-2</v>
      </c>
    </row>
    <row r="31" spans="1:8" ht="15.75" customHeight="1" x14ac:dyDescent="0.25">
      <c r="B31" s="19" t="s">
        <v>123</v>
      </c>
      <c r="C31" s="101">
        <v>8.8591216E-2</v>
      </c>
    </row>
    <row r="32" spans="1:8" ht="15.75" customHeight="1" x14ac:dyDescent="0.25">
      <c r="B32" s="19" t="s">
        <v>124</v>
      </c>
      <c r="C32" s="101">
        <v>4.6972499000000001E-2</v>
      </c>
    </row>
    <row r="33" spans="2:3" ht="15.75" customHeight="1" x14ac:dyDescent="0.25">
      <c r="B33" s="19" t="s">
        <v>125</v>
      </c>
      <c r="C33" s="101">
        <v>0.18240123999999999</v>
      </c>
    </row>
    <row r="34" spans="2:3" ht="15.75" customHeight="1" x14ac:dyDescent="0.25">
      <c r="B34" s="19" t="s">
        <v>126</v>
      </c>
      <c r="C34" s="101">
        <v>0.22535729099999999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X/nJPneyhwWesgOwgMnmCkp7JPEHKi6wfpGM9/IEGN7w2+90AE418gsEuvdSNjICK4Gfc/+9aabPnRku2TbyEA==" saltValue="UT0eswh6tYurMLgcA7vs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132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133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137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138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gyM/snmFonJGecMQsDo5bE9s4+VFGQnZxwjdfg9Ub+ygIbh7sXzWP4WecmB8zFiiQUpQlMPyOam4fO69EtAcg==" saltValue="HRWEgZQjJ++Anwjmzrql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6.7721300000000095E-2</v>
      </c>
      <c r="D5" s="52">
        <f t="shared" si="0"/>
        <v>0.23034629999999989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nfIw6VSWTtjchF1e1Yz5+k0pCOfW7FC9xOBeOzMqWkpu89phLsbOqNXUHFEx8TV9MQZehr2sZ5pmG+rIdTsbaQ==" saltValue="Arg9ZrfharoTrvcefYhH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EDV75qy65nKfnrG9TPWOwzYjBhXbDwEYkPdlm4SHVKrntiNlOGgb+RvXJ3NcHrHv9lzIaZoP8bIn8GZGlfXqg==" saltValue="Q92rRYXbIUugl1UpxpKE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8917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0.57762999999999998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0.60899999999999999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1.7156243673110892E-2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98621.013819999993</v>
      </c>
      <c r="C22" s="109">
        <v>98524.768769999995</v>
      </c>
      <c r="D22" s="109">
        <v>98388.349350000004</v>
      </c>
      <c r="E22" s="109">
        <v>97765.106839999993</v>
      </c>
      <c r="F22" s="109">
        <v>96946.711869999999</v>
      </c>
      <c r="G22" s="109">
        <v>96201.574160000004</v>
      </c>
      <c r="H22" s="109">
        <v>95439.803610000003</v>
      </c>
      <c r="I22" s="109">
        <v>94480.39976</v>
      </c>
      <c r="J22" s="109">
        <v>93263.897190000003</v>
      </c>
      <c r="K22" s="109">
        <v>91567.682209999999</v>
      </c>
      <c r="L22" s="109">
        <v>89174.384900000005</v>
      </c>
      <c r="M22" s="109">
        <v>85705.736510000002</v>
      </c>
      <c r="N22" s="109">
        <v>80721.243359999993</v>
      </c>
      <c r="O22" s="109">
        <v>73831.275460000004</v>
      </c>
    </row>
  </sheetData>
  <sheetProtection algorithmName="SHA-512" hashValue="F0MjLmiAPXwMI7aPzMM2JtQEmr0heGjdigg68C6kZA7sa2mU/XHcRy1ZYPKfyOrAegk78FFkyjcZ+55L8DuPug==" saltValue="0XiuERajZD5bZrrCxoqJz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mS5auVRSFPSOoRkuSv1GVbTOMUOaqUmEJsVjG2Px32Y49I1IYsTs0oiT0ARmoK2TUinASNiWsdN7JFIB8SqSw==" saltValue="6mViSX+P2kNDw42+cjGFo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/KlnRiFNd4WRrRqzjEIEl1Ziv7+GaGH1gmuYUARAPvrtvZ1SHf/zG2djD/IkPci1eu9D8oNS8cb8nJs58sZVug==" saltValue="QVgmdH1LiH9gSNye27//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0.44994896638918952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0.25711131554737809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0.46083239999999998</v>
      </c>
      <c r="C10" s="98">
        <v>0.95</v>
      </c>
      <c r="D10" s="56">
        <v>13.656625510767499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13.656625510767499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13.656625510767499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13.656625510767499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0.46083239999999998</v>
      </c>
      <c r="C14" s="98">
        <v>0.95</v>
      </c>
      <c r="D14" s="56">
        <v>13.656625510767499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13.656625510767499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5.8835597567123799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0.48685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1.6E-2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0.27722980000000003</v>
      </c>
      <c r="C19" s="98">
        <v>0.95</v>
      </c>
      <c r="D19" s="56">
        <v>19.805611394811169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4.6821164540834266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0.89690882780986203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0.51813429999999994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0.56700000000000006</v>
      </c>
      <c r="C29" s="98">
        <v>0.95</v>
      </c>
      <c r="D29" s="56">
        <v>206.81375092158379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124.66848615801089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0.45041619999999999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0.98627039999999999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hpkXjfJJJ25yLAAsN4FaruDGYFB++KkTQgLYTBMzzxKueS3tPKx3D31EqRQPZ2noD5j9sBFZjuxXw9nELmXIaQ==" saltValue="nCeVwDs2LzG04bmwqUxD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pE2GNQgb7FDRVFlL04SIArHN/4EzP3Fcl6z31q/W0wjdwAZVixqn41JtN/SnZFQNHigEYwQJ2b0UvcnsGuVRA==" saltValue="rtUiy+n/Zoft/raRoZV9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JRJlQYsezPmt2AEEuGTdfq2RFc4PxxOGRZISoS1Ohd+nUISs6oI9Ny+5SIEXbRVN6dS5autD29+DvhHI8WWhg==" saltValue="2cWmq1vFlssjL7xpvAPk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237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sheetProtection algorithmName="SHA-512" hashValue="uP1uNr4Nouiro7qs5BO8zCdwAg2BQ96BE3wZ5yAu1y5l8ZzyE9CT7FusO6XhxtBD04oVfAHcnEV+HoIgtUeYfA==" saltValue="sY8pDGCEJyhhT9RXw+yYT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4.3999999999999997E-2</v>
      </c>
      <c r="F2" s="60">
        <f>food_insecure</f>
        <v>4.3999999999999997E-2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4.3999999999999997E-2</v>
      </c>
      <c r="I15" s="60">
        <f t="shared" si="0"/>
        <v>4.3999999999999997E-2</v>
      </c>
      <c r="J15" s="60">
        <f t="shared" si="0"/>
        <v>4.3999999999999997E-2</v>
      </c>
      <c r="K15" s="60">
        <f t="shared" si="0"/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4.3999999999999997E-2</v>
      </c>
      <c r="I16" s="60">
        <f t="shared" si="0"/>
        <v>4.3999999999999997E-2</v>
      </c>
      <c r="J16" s="60">
        <f t="shared" si="0"/>
        <v>4.3999999999999997E-2</v>
      </c>
      <c r="K16" s="60">
        <f t="shared" si="0"/>
        <v>4.3999999999999997E-2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8.3964329932000023E-2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3.5984712828000018E-2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4.8235257240000017E-2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0.83181569999999994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HZsTgaUPJgVw2B3wlLIwB7hamISanytXFmyptBfc57LnXBGqCC+9uahyI+NBhtPjTrQFn1sP1E1L6ZMVvPtOA==" saltValue="7riD/tdNN0tCVtchAKQy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N8l0RHQGWE6nWPTE/qROV5pms8Ut6qjjVQfWztMQ8o3iFkpDGfqHKE7BUhVRlPQsUUAlf/ZBsUxXLk2TL8+BQQ==" saltValue="PGzqyg4AK/5JXhwZsgto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Kt8P2rVEqsItmsfkkemmlmXe0SPvKvBsIHOdHjxxsnxjEons6Oi6ldfzorTmV9cVkBZBNsa3qY+ZEeKUuM6UQ==" saltValue="k9sBZYFGy4KHihbEWWvn8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i9VGE9IV6freNhJ2+UDJcQOEl13Ng+FEltnLnIWpUvQW8vIlpj2K+3cc6058b1G+U7ojFwqbsDccuHDcFp+dA==" saltValue="ZZtsNq5qrKMlmyyl36U6I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d/P6PprggM8fU+69mSSOg34nK2kAOskx80Hm8OvhSYRgtN2heu2+5tgJ2XlOMiZUN5ajAMYRNddcRpGPGhOtxw==" saltValue="i3gUYSOEdx5/silcmt+SE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PTU/jX9z7FylVgunv3zbKrlEV10Y6Nw4s2VqH4qvjdMeElYsLCRhi+UUTlL8YrQflEClWDLATX/dZWPx3AjRvw==" saltValue="GoP/a3BE7NWc4zecF0Yj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viTCx6uM+F6/dFpqHgmRUIwFtpockQqjADHlopY+f9tgZ7w3r7CeOxp3mmlTsjFXzd/aW5IKNmzItm1PcTuPQ==" saltValue="KUp/ZNhcNYe3Qn0Y++1c/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JEUTWXjG+S9ersuUk5kdck4cJfsDsdvZUPG73jTNrqXByg9BHwI0FMuajXBmkcvfygV1gebvxubSUzfWfMEpQ==" saltValue="cwLoT5EEd7RL3j7KS9vt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4Ro4n3E41qpzjsGN/4Z9yUrLgr+UCCksx3Fs/qUfyTk5lnljI++SHmUNL4sggF7Lg2R2we1W+d5IvJtDjHwYxg==" saltValue="VJJBpT7LX9/mxu15dn7t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8zRdyNjDTdJwpUaTZLRCq3VJY3gUb4sVf9GIFN4xazmdBKUiBx/Hdex9e1bJVKrHUxmxI3sOUyPXNOJEFg7Sg==" saltValue="zFDAXw5X4fQGLqnet5me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L2Bf3BI5PbuHklYfhD9MQQkCyKjp5LOKn6+uD2xyCnIFbDymBUiwtk8RVeOzDUfOdkTA5c6nQgGuduLjW3NAQ==" saltValue="8twvWXeTTDLrzQlJWwkT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mdYvSotfyo/loPEeW2dx5U42MOPuJ4iUki7I9E8k44DXWNfpRqaf7/q0aLkM2ZcLictkwrrefNw43YGkgURrw==" saltValue="IYxLyYSoumxJ20kFyva5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Juoba7tjHGQAbOOZGVYfHzAdEVRwcC3Bl1QeFkAyvTtKHmO5eyda5GBKZwPeLEqjDRbwomKmfXVCrT+YGXflg==" saltValue="7DXy3URlBfOd9i6KBhhn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IIIkQ4XxnXe1xLGyKU+lud9xAm00AG+yZu7u8lloVWm52A8aAP46j/jW3gSwTeGr9Q77e4OpGeYajaJHNOFGQ==" saltValue="uyBeRrs5H2eZ+OYV7yNf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1o3SFO6nQUzOgc8/De2HVYkoK/CM8ni804M+FR4wUhPfuSxb5/Bl12XNDha6TYVjzHWGjf+iY/kJ6RbntZx7w==" saltValue="ZvgMk7tBiVKuQWD2ox44S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