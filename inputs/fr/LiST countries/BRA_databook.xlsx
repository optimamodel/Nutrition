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21526604-29A8-436B-9A4D-3664739B6B7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<sst xmlns="http://schemas.openxmlformats.org/spreadsheetml/2006/main" count="2102" uniqueCount="337">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</sst>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13457670.5</v>
      </c>
    </row>
    <row r="8" spans="1:3" ht="15" customHeight="1" x14ac:dyDescent="0.25">
      <c r="B8" s="5" t="s">
        <v>19</v>
      </c>
      <c r="C8" s="44">
        <v>4.3999999999999997E-2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0.84275520324706998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0.18279999999999999</v>
      </c>
    </row>
    <row r="24" spans="1:3" ht="15" customHeight="1" x14ac:dyDescent="0.25">
      <c r="B24" s="15" t="s">
        <v>33</v>
      </c>
      <c r="C24" s="45">
        <v>0.54590000000000005</v>
      </c>
    </row>
    <row r="25" spans="1:3" ht="15" customHeight="1" x14ac:dyDescent="0.25">
      <c r="B25" s="15" t="s">
        <v>34</v>
      </c>
      <c r="C25" s="45">
        <v>0.23910000000000001</v>
      </c>
    </row>
    <row r="26" spans="1:3" ht="15" customHeight="1" x14ac:dyDescent="0.25">
      <c r="B26" s="15" t="s">
        <v>35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0.34994163924792399</v>
      </c>
    </row>
    <row r="30" spans="1:3" ht="14.25" customHeight="1" x14ac:dyDescent="0.25">
      <c r="B30" s="25" t="s">
        <v>38</v>
      </c>
      <c r="C30" s="99">
        <v>0.10516916316476101</v>
      </c>
    </row>
    <row r="31" spans="1:3" ht="14.25" customHeight="1" x14ac:dyDescent="0.25">
      <c r="B31" s="25" t="s">
        <v>39</v>
      </c>
      <c r="C31" s="99">
        <v>8.4505866375242988E-2</v>
      </c>
    </row>
    <row r="32" spans="1:3" ht="14.25" customHeight="1" x14ac:dyDescent="0.25">
      <c r="B32" s="25" t="s">
        <v>40</v>
      </c>
      <c r="C32" s="99">
        <v>0.46038333121207198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8.4704599999999992</v>
      </c>
    </row>
    <row r="38" spans="1:5" ht="15" customHeight="1" x14ac:dyDescent="0.25">
      <c r="B38" s="11" t="s">
        <v>45</v>
      </c>
      <c r="C38" s="43">
        <v>12.875</v>
      </c>
      <c r="D38" s="12"/>
      <c r="E38" s="13"/>
    </row>
    <row r="39" spans="1:5" ht="15" customHeight="1" x14ac:dyDescent="0.25">
      <c r="B39" s="11" t="s">
        <v>46</v>
      </c>
      <c r="C39" s="43">
        <v>14.41098</v>
      </c>
      <c r="D39" s="12"/>
      <c r="E39" s="12"/>
    </row>
    <row r="40" spans="1:5" ht="15" customHeight="1" x14ac:dyDescent="0.25">
      <c r="B40" s="11" t="s">
        <v>47</v>
      </c>
      <c r="C40" s="100">
        <v>0.72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9.4821000000000003E-3</v>
      </c>
      <c r="D45" s="12"/>
    </row>
    <row r="46" spans="1:5" ht="15.75" customHeight="1" x14ac:dyDescent="0.25">
      <c r="B46" s="11" t="s">
        <v>52</v>
      </c>
      <c r="C46" s="45">
        <v>0.1019704</v>
      </c>
      <c r="D46" s="12"/>
    </row>
    <row r="47" spans="1:5" ht="15.75" customHeight="1" x14ac:dyDescent="0.25">
      <c r="B47" s="11" t="s">
        <v>53</v>
      </c>
      <c r="C47" s="45">
        <v>7.1473700000000001E-2</v>
      </c>
      <c r="D47" s="12"/>
      <c r="E47" s="13"/>
    </row>
    <row r="48" spans="1:5" ht="15" customHeight="1" x14ac:dyDescent="0.25">
      <c r="B48" s="11" t="s">
        <v>54</v>
      </c>
      <c r="C48" s="46">
        <v>0.81707379999999996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0.56287600000000004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8.3842697000000008E-2</v>
      </c>
    </row>
    <row r="63" spans="1:4" ht="15.75" customHeight="1" x14ac:dyDescent="0.3">
      <c r="A63" s="4"/>
    </row>
  </sheetData>
  <sheetProtection algorithmName="SHA-512" hashValue="WDJwHB430dT+r2Q0/TPAzH4SCC4ppmzj6HkDzLtEpLvdpXS+/hXsY+44yMcAu2pPNSncuGN9jLbDSkYtBmLBcA==" saltValue="XtcSJgskJ26xY24rvpkh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2676826</v>
      </c>
      <c r="C2" s="49">
        <v>9006932</v>
      </c>
      <c r="D2" s="49">
        <v>16483386.5</v>
      </c>
      <c r="E2" s="49">
        <v>17161687.5</v>
      </c>
      <c r="F2" s="49">
        <v>14578814</v>
      </c>
      <c r="G2" s="17">
        <f t="shared" ref="G2:G13" si="0">C2+D2+E2+F2</f>
        <v>57230820</v>
      </c>
      <c r="H2" s="17">
        <f t="shared" ref="H2:H13" si="1">(B2 + stillbirth*B2/(1000-stillbirth))/(1-abortion)</f>
        <v>3063232.9838055796</v>
      </c>
      <c r="I2" s="17">
        <f t="shared" ref="I2:I13" si="2">G2-H2</f>
        <v>54167587.016194418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2658092</v>
      </c>
      <c r="C3" s="50">
        <v>8918230</v>
      </c>
      <c r="D3" s="50">
        <v>16332305</v>
      </c>
      <c r="E3" s="50">
        <v>17081686</v>
      </c>
      <c r="F3" s="50">
        <v>14837956.5</v>
      </c>
      <c r="G3" s="17">
        <f t="shared" si="0"/>
        <v>57170177.5</v>
      </c>
      <c r="H3" s="17">
        <f t="shared" si="1"/>
        <v>3041794.6808607434</v>
      </c>
      <c r="I3" s="17">
        <f t="shared" si="2"/>
        <v>54128382.819139257</v>
      </c>
    </row>
    <row r="4" spans="1:9" ht="15.75" customHeight="1" x14ac:dyDescent="0.25">
      <c r="A4" s="5">
        <f t="shared" si="3"/>
        <v>2026</v>
      </c>
      <c r="B4" s="49">
        <v>2649944</v>
      </c>
      <c r="C4" s="50">
        <v>8833175.5</v>
      </c>
      <c r="D4" s="50">
        <v>16162312</v>
      </c>
      <c r="E4" s="50">
        <v>17012540</v>
      </c>
      <c r="F4" s="50">
        <v>15062106.5</v>
      </c>
      <c r="G4" s="17">
        <f t="shared" si="0"/>
        <v>57070134</v>
      </c>
      <c r="H4" s="17">
        <f t="shared" si="1"/>
        <v>3032470.4952946859</v>
      </c>
      <c r="I4" s="17">
        <f t="shared" si="2"/>
        <v>54037663.504705317</v>
      </c>
    </row>
    <row r="5" spans="1:9" ht="15.75" customHeight="1" x14ac:dyDescent="0.25">
      <c r="A5" s="5">
        <f t="shared" si="3"/>
        <v>2027</v>
      </c>
      <c r="B5" s="49">
        <v>2617828</v>
      </c>
      <c r="C5" s="50">
        <v>8757179</v>
      </c>
      <c r="D5" s="50">
        <v>15969329.5</v>
      </c>
      <c r="E5" s="50">
        <v>16949908.5</v>
      </c>
      <c r="F5" s="50">
        <v>15242501</v>
      </c>
      <c r="G5" s="17">
        <f t="shared" si="0"/>
        <v>56918918</v>
      </c>
      <c r="H5" s="17">
        <f t="shared" si="1"/>
        <v>2995718.4649020121</v>
      </c>
      <c r="I5" s="17">
        <f t="shared" si="2"/>
        <v>53923199.535097986</v>
      </c>
    </row>
    <row r="6" spans="1:9" ht="15.75" customHeight="1" x14ac:dyDescent="0.25">
      <c r="A6" s="5">
        <f t="shared" si="3"/>
        <v>2028</v>
      </c>
      <c r="B6" s="49">
        <v>2598402</v>
      </c>
      <c r="C6" s="50">
        <v>8709614.5</v>
      </c>
      <c r="D6" s="50">
        <v>15753679.5</v>
      </c>
      <c r="E6" s="50">
        <v>16897648</v>
      </c>
      <c r="F6" s="50">
        <v>15377574</v>
      </c>
      <c r="G6" s="17">
        <f t="shared" si="0"/>
        <v>56738516</v>
      </c>
      <c r="H6" s="17">
        <f t="shared" si="1"/>
        <v>2973488.2699086103</v>
      </c>
      <c r="I6" s="17">
        <f t="shared" si="2"/>
        <v>53765027.730091393</v>
      </c>
    </row>
    <row r="7" spans="1:9" ht="15.75" customHeight="1" x14ac:dyDescent="0.25">
      <c r="A7" s="5">
        <f t="shared" si="3"/>
        <v>2029</v>
      </c>
      <c r="B7" s="49">
        <v>2571891</v>
      </c>
      <c r="C7" s="50">
        <v>8690696.5000000019</v>
      </c>
      <c r="D7" s="50">
        <v>15537436</v>
      </c>
      <c r="E7" s="50">
        <v>16846816</v>
      </c>
      <c r="F7" s="50">
        <v>15464974.5</v>
      </c>
      <c r="G7" s="17">
        <f t="shared" si="0"/>
        <v>56539923</v>
      </c>
      <c r="H7" s="17">
        <f t="shared" si="1"/>
        <v>2943150.3362387824</v>
      </c>
      <c r="I7" s="17">
        <f t="shared" si="2"/>
        <v>53596772.663761221</v>
      </c>
    </row>
    <row r="8" spans="1:9" ht="15.75" customHeight="1" x14ac:dyDescent="0.25">
      <c r="A8" s="5">
        <f t="shared" si="3"/>
        <v>2030</v>
      </c>
      <c r="B8" s="49">
        <v>2564251</v>
      </c>
      <c r="C8" s="50">
        <v>8654486</v>
      </c>
      <c r="D8" s="50">
        <v>15338776.5</v>
      </c>
      <c r="E8" s="50">
        <v>16787319.5</v>
      </c>
      <c r="F8" s="50">
        <v>15503935</v>
      </c>
      <c r="G8" s="17">
        <f t="shared" si="0"/>
        <v>56284517</v>
      </c>
      <c r="H8" s="17">
        <f t="shared" si="1"/>
        <v>2934407.4818297643</v>
      </c>
      <c r="I8" s="17">
        <f t="shared" si="2"/>
        <v>53350109.518170238</v>
      </c>
    </row>
    <row r="9" spans="1:9" ht="15.75" customHeight="1" x14ac:dyDescent="0.25">
      <c r="A9" s="5">
        <f t="shared" si="3"/>
        <v>2031</v>
      </c>
      <c r="B9" s="49">
        <v>2537560</v>
      </c>
      <c r="C9" s="50">
        <v>8605848</v>
      </c>
      <c r="D9" s="50">
        <v>15159380</v>
      </c>
      <c r="E9" s="50">
        <v>16718948.5</v>
      </c>
      <c r="F9" s="50">
        <v>15498183</v>
      </c>
      <c r="G9" s="17">
        <f t="shared" si="0"/>
        <v>55982359.5</v>
      </c>
      <c r="H9" s="17">
        <f t="shared" si="1"/>
        <v>2903863.5646790965</v>
      </c>
      <c r="I9" s="17">
        <f t="shared" si="2"/>
        <v>53078495.935320906</v>
      </c>
    </row>
    <row r="10" spans="1:9" ht="15.75" customHeight="1" x14ac:dyDescent="0.25">
      <c r="A10" s="5">
        <f t="shared" si="3"/>
        <v>2032</v>
      </c>
      <c r="B10" s="49">
        <v>2515304</v>
      </c>
      <c r="C10" s="50">
        <v>8584918</v>
      </c>
      <c r="D10" s="50">
        <v>14997463</v>
      </c>
      <c r="E10" s="50">
        <v>16636708.5</v>
      </c>
      <c r="F10" s="50">
        <v>15453979.5</v>
      </c>
      <c r="G10" s="17">
        <f t="shared" si="0"/>
        <v>55673069</v>
      </c>
      <c r="H10" s="17">
        <f t="shared" si="1"/>
        <v>2878394.8516258094</v>
      </c>
      <c r="I10" s="17">
        <f t="shared" si="2"/>
        <v>52794674.148374192</v>
      </c>
    </row>
    <row r="11" spans="1:9" ht="15.75" customHeight="1" x14ac:dyDescent="0.25">
      <c r="A11" s="5">
        <f t="shared" si="3"/>
        <v>2033</v>
      </c>
      <c r="B11" s="49">
        <v>2498252</v>
      </c>
      <c r="C11" s="50">
        <v>8564481</v>
      </c>
      <c r="D11" s="50">
        <v>14858010.5</v>
      </c>
      <c r="E11" s="50">
        <v>16521881.5</v>
      </c>
      <c r="F11" s="50">
        <v>15378506</v>
      </c>
      <c r="G11" s="17">
        <f t="shared" si="0"/>
        <v>55322879</v>
      </c>
      <c r="H11" s="17">
        <f t="shared" si="1"/>
        <v>2858881.3498741635</v>
      </c>
      <c r="I11" s="17">
        <f t="shared" si="2"/>
        <v>52463997.650125839</v>
      </c>
    </row>
    <row r="12" spans="1:9" ht="15.75" customHeight="1" x14ac:dyDescent="0.25">
      <c r="A12" s="5">
        <f t="shared" si="3"/>
        <v>2034</v>
      </c>
      <c r="B12" s="49">
        <v>2479110</v>
      </c>
      <c r="C12" s="50">
        <v>8496117.5</v>
      </c>
      <c r="D12" s="50">
        <v>14742836</v>
      </c>
      <c r="E12" s="50">
        <v>16382555</v>
      </c>
      <c r="F12" s="50">
        <v>15290592.5</v>
      </c>
      <c r="G12" s="17">
        <f t="shared" si="0"/>
        <v>54912101</v>
      </c>
      <c r="H12" s="17">
        <f t="shared" si="1"/>
        <v>2836976.1510394216</v>
      </c>
      <c r="I12" s="17">
        <f t="shared" si="2"/>
        <v>52075124.848960578</v>
      </c>
    </row>
    <row r="13" spans="1:9" ht="15.75" customHeight="1" x14ac:dyDescent="0.25">
      <c r="A13" s="5">
        <f t="shared" si="3"/>
        <v>2035</v>
      </c>
      <c r="B13" s="49">
        <v>2458811</v>
      </c>
      <c r="C13" s="50">
        <v>8382993.9999999991</v>
      </c>
      <c r="D13" s="50">
        <v>14645337</v>
      </c>
      <c r="E13" s="50">
        <v>16233814.5</v>
      </c>
      <c r="F13" s="50">
        <v>15208029</v>
      </c>
      <c r="G13" s="17">
        <f t="shared" si="0"/>
        <v>54470174.5</v>
      </c>
      <c r="H13" s="17">
        <f t="shared" si="1"/>
        <v>2813746.9361639423</v>
      </c>
      <c r="I13" s="17">
        <f t="shared" si="2"/>
        <v>51656427.56383606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5NQV3zdaRHcMWbhBVTNUAx0yRieV37T4QarTjzlMslc59O3NBpe6aTOGLmUL15zGYFfMat/JGhxTOiinOqLgA==" saltValue="jXC6iNQMT27W0KHtsnWOB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0.13749251374925139</v>
      </c>
    </row>
    <row r="5" spans="1:8" ht="15.75" customHeight="1" x14ac:dyDescent="0.25">
      <c r="B5" s="19" t="s">
        <v>80</v>
      </c>
      <c r="C5" s="101">
        <v>1.6327201632720171E-2</v>
      </c>
    </row>
    <row r="6" spans="1:8" ht="15.75" customHeight="1" x14ac:dyDescent="0.25">
      <c r="B6" s="19" t="s">
        <v>81</v>
      </c>
      <c r="C6" s="101">
        <v>0.14921611492161169</v>
      </c>
    </row>
    <row r="7" spans="1:8" ht="15.75" customHeight="1" x14ac:dyDescent="0.25">
      <c r="B7" s="19" t="s">
        <v>82</v>
      </c>
      <c r="C7" s="101">
        <v>0.28350592835059218</v>
      </c>
    </row>
    <row r="8" spans="1:8" ht="15.75" customHeight="1" x14ac:dyDescent="0.25">
      <c r="B8" s="19" t="s">
        <v>83</v>
      </c>
      <c r="C8" s="101">
        <v>1.020000102000012E-5</v>
      </c>
    </row>
    <row r="9" spans="1:8" ht="15.75" customHeight="1" x14ac:dyDescent="0.25">
      <c r="B9" s="19" t="s">
        <v>84</v>
      </c>
      <c r="C9" s="101">
        <v>0.21483992148399311</v>
      </c>
    </row>
    <row r="10" spans="1:8" ht="15.75" customHeight="1" x14ac:dyDescent="0.25">
      <c r="B10" s="19" t="s">
        <v>85</v>
      </c>
      <c r="C10" s="101">
        <v>0.19860811986081151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88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89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92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95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5.7909057E-2</v>
      </c>
    </row>
    <row r="27" spans="1:8" ht="15.75" customHeight="1" x14ac:dyDescent="0.25">
      <c r="B27" s="19" t="s">
        <v>102</v>
      </c>
      <c r="C27" s="101">
        <v>2.6758759999999999E-2</v>
      </c>
    </row>
    <row r="28" spans="1:8" ht="15.75" customHeight="1" x14ac:dyDescent="0.25">
      <c r="B28" s="19" t="s">
        <v>103</v>
      </c>
      <c r="C28" s="101">
        <v>6.3008400000000006E-2</v>
      </c>
    </row>
    <row r="29" spans="1:8" ht="15.75" customHeight="1" x14ac:dyDescent="0.25">
      <c r="B29" s="19" t="s">
        <v>104</v>
      </c>
      <c r="C29" s="101">
        <v>0.22726674099999999</v>
      </c>
    </row>
    <row r="30" spans="1:8" ht="15.75" customHeight="1" x14ac:dyDescent="0.25">
      <c r="B30" s="19" t="s">
        <v>2</v>
      </c>
      <c r="C30" s="101">
        <v>8.1734795999999998E-2</v>
      </c>
    </row>
    <row r="31" spans="1:8" ht="15.75" customHeight="1" x14ac:dyDescent="0.25">
      <c r="B31" s="19" t="s">
        <v>105</v>
      </c>
      <c r="C31" s="101">
        <v>8.8591216E-2</v>
      </c>
    </row>
    <row r="32" spans="1:8" ht="15.75" customHeight="1" x14ac:dyDescent="0.25">
      <c r="B32" s="19" t="s">
        <v>106</v>
      </c>
      <c r="C32" s="101">
        <v>4.6972499000000001E-2</v>
      </c>
    </row>
    <row r="33" spans="2:3" ht="15.75" customHeight="1" x14ac:dyDescent="0.25">
      <c r="B33" s="19" t="s">
        <v>107</v>
      </c>
      <c r="C33" s="101">
        <v>0.18240123999999999</v>
      </c>
    </row>
    <row r="34" spans="2:3" ht="15.75" customHeight="1" x14ac:dyDescent="0.25">
      <c r="B34" s="19" t="s">
        <v>108</v>
      </c>
      <c r="C34" s="101">
        <v>0.22535729099999999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+Yo9Sqm770c63GTxvbcHNjLl1LyRW7vT0HAMKByrXj1z33/rPxTwYTX72U45j7Mmc9PDZmzWEc+pe2Ekw3okSQ==" saltValue="havSo0tuF5oHBhc2AELq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114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115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119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120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xFz3hqhEkBGHuQTH29PSwpwC+xb0jA6oDIh+EebVZWHeQ6pAH1p8ETHokUEAj+2kOBylA84eVLNUJtog/5f6g==" saltValue="xkAfcs+WZuuhKcF0y2hS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132</v>
      </c>
      <c r="C5" s="52">
        <v>6.3357799999999992E-2</v>
      </c>
      <c r="D5" s="52">
        <v>0.19034909999999999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R9v18RCxLBrCxY3Esd0njZigTYvxsh7nrR0gL5RQRicAddSwjxJhhYbxp2lzijdJSZtkVvCYP4PAauUoe6xGww==" saltValue="UPZeFLP20sbupfW/JTwp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EixJbkhVssQfTm/B20cVGxu4X7pNi64cS4cvoImw+RELw4cKhtjNVocLHSnTnf+bH6aPRUUWu9NiqNZ9IKJCA==" saltValue="XIUB3/MetuFTA1KM8kea9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t0tcXJWsvaSpR8N18U+vjbyCnI4uuOnzwQrWVXnL45eebvo01kk3o8NqkPcwZ10BXfUsJHn2h1kf55notHOUQA==" saltValue="46K4pMKVnCQJbdQ61YUb3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0GMpDVGGJ6PcK/os0ljx2cEVsXejRrwrhPbVmfMoJurbagQmYbtZ8fSYnDPTwMI69nOnQaQz1tG3N/5d2TNgoA==" saltValue="jBMicJqMdJfnWEO2+ZMi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8eOmlP8PUpvXiPG3mNKJeTrqqS1U9sUzLmMYOe4Kk7XNo7kM/WMtJMVQ3lAkCMUsllZeL1lQXYVeZOo1rrvNfQ==" saltValue="WDAvPpH5GCgMxQ5xq9VX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86.770455007029625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0.51888321615999999</v>
      </c>
      <c r="C3" s="98">
        <v>0.95</v>
      </c>
      <c r="D3" s="56">
        <v>40.524326066971597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864.9948491750622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7.4321800982712878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0.46083239999999998</v>
      </c>
      <c r="C10" s="98">
        <v>0.95</v>
      </c>
      <c r="D10" s="56">
        <v>13.656625510767499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0.46083239999999998</v>
      </c>
      <c r="C11" s="98">
        <v>0.95</v>
      </c>
      <c r="D11" s="56">
        <v>13.656625510767499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0.46083239999999998</v>
      </c>
      <c r="C12" s="98">
        <v>0.95</v>
      </c>
      <c r="D12" s="56">
        <v>13.656625510767499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0.46083239999999998</v>
      </c>
      <c r="C13" s="98">
        <v>0.95</v>
      </c>
      <c r="D13" s="56">
        <v>13.656625510767499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0.46083239999999998</v>
      </c>
      <c r="C14" s="98">
        <v>0.95</v>
      </c>
      <c r="D14" s="56">
        <v>13.656625510767499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0.46083239999999998</v>
      </c>
      <c r="C15" s="98">
        <v>0.95</v>
      </c>
      <c r="D15" s="56">
        <v>13.656625510767499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0.96</v>
      </c>
      <c r="C16" s="98">
        <v>0.95</v>
      </c>
      <c r="D16" s="56">
        <v>1.363391310662851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0.48685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0.20874897729</v>
      </c>
      <c r="C18" s="98">
        <v>0.95</v>
      </c>
      <c r="D18" s="56">
        <v>19.805611394811169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0.90883499999999995</v>
      </c>
      <c r="C19" s="98">
        <v>0.95</v>
      </c>
      <c r="D19" s="56">
        <v>19.805611394811169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0.98627039999999999</v>
      </c>
      <c r="C21" s="98">
        <v>0.95</v>
      </c>
      <c r="D21" s="56">
        <v>76.727649414499837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23.904870229687631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4.6821164540834266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0.94731674304027602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0.46083239999999998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19.218001831842621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0.77318050095020696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179.24514608865209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0.41843582081384939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2.9936883930025688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0.56700000000000006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0.51813429999999994</v>
      </c>
      <c r="C38" s="98">
        <v>0.95</v>
      </c>
      <c r="D38" s="56">
        <v>3.027552545673728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5bXVLEuBKTI4K5CuXq5+tWEH+9h6iTlTFqMlQ9KvoqpRRyrBcUOaKDL9RRxxUA5MYmGpt46bOM8h2D9yEyb36Q==" saltValue="G2kj5yY7Q2sKMeZ9Vl1Y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8PDtEfjhBUn/WXVIWp9tiMzTM2MsCreQ94WjxcjUeHFgoPL9A7XCkzXk/JSl5mhPykPW+lw2MRIsTFxw8mUdg==" saltValue="nwxUYki4kQVAe/xMvhzS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Z84mbw9XzR2dtrpp53f3Uoki13QoqxU4lDeLW9/KlZmGCcEjxEAw4o8YA2IiSAaIYgx43NumbmQUH76uHBAWw==" saltValue="MkWkLnjeJU6qhnviOZ0e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208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sheetProtection algorithmName="SHA-512" hashValue="g/MKGROyck3WGbfK9YOswZ8ATlF2ZAdcpv/4LSUuUBhGdQV/SahBtUErmB304WSRUqVqV+UCVoKKZSse6v8cnA==" saltValue="WzrnIz6M9OuPpbvlcV2AK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4.3999999999999997E-2</v>
      </c>
      <c r="E2" s="60">
        <f>food_insecure</f>
        <v>4.3999999999999997E-2</v>
      </c>
      <c r="F2" s="60">
        <f>food_insecure</f>
        <v>4.3999999999999997E-2</v>
      </c>
      <c r="G2" s="60">
        <f>food_insecure</f>
        <v>4.3999999999999997E-2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4.3999999999999997E-2</v>
      </c>
      <c r="I15" s="60">
        <f>food_insecure</f>
        <v>4.3999999999999997E-2</v>
      </c>
      <c r="J15" s="60">
        <f>food_insecure</f>
        <v>4.3999999999999997E-2</v>
      </c>
      <c r="K15" s="60">
        <f>food_insecure</f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7.8502892330932772E-2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3.364409671325691E-2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4.5097807708740327E-2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0.84275520324706987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mq3+Dj+gwmy++7+dU8DUntwhtAYK6nB5VTuPBkPNq9jj14BzL+7z98BNYo7cMNN2HS1dcLemjJONjvOaUxelw==" saltValue="w8JzcGPTh6MoxGsgW2r8T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Za2ZIeQBMdeZMHh+aR9QWq189lCWq9+Scaj/Fjj5DPHVVhcr+A/abkbTF2MKkH2ZxYYDMJg3rvyyY1g6kq0tZw==" saltValue="r/T0BsB3j+gNYSwDaux1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tJHIoJM5dFOA0ycDSRUiKRuxAjzzh0lQDxW5dNWjVnNHTQEo6yeR7AQvJKumfggBetQzmbFKO/VbcebEuCwsw==" saltValue="snINIgV16CNN0uB8g2bDd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3TOLn5sY+Aw9y+zf7nISbkvls4X8/e6bFKqVdpM7odR9SVQgpyDOJRp+phJ03/NnlCdM8ueyy9UyDTn8mIlmw==" saltValue="sJwuDOmSGShXYNMDTV+mx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kNDjooBCpxQo/AAAtCresDRMaIoY/boNag0CcDc0koWsD8BxsSI8rOqwKIhLQ6/RaEwmS42siukXVwQqlDhfw==" saltValue="SzaSM8xv/hE2pV2Xq0CeN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t6t5GgQd2l3JJkCJ/GMgBW+noORBRkYTO5huUrN7aAT8FLcqQEl+iiRDNtQXwARW8fydURtraef2uCKjRcytQ==" saltValue="AJipWoZchI/9NKqUFpct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muFGHf1m3gLuqz5fgzhrJIpoqRoEGsB2LM8AY0zHoaZqEuw7iDTcr2Gb9MkUiHQR7S89XymmjHQme1wihKKeYA==" saltValue="ZxzKjCZ9/63FnTDTRe4t5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DjFfvoFb4WzZf2cCCoGx0sTPfB7AI2xImq4s+ZPP9aRVlmW7xvvddSyq104WUlScCbqWiWwfgOhXBq8I1AnwA==" saltValue="qe4PhogBid8wh4qhDoHs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AH5NahKjVd9/F8ZI1Ews3pALE2yVz9AvLfK8c7iEGszVcASAiuqn2Gm7vUqXrnLe1yEEjGZkJKaXIHXRxJGRg==" saltValue="OKuCZDAXBguSr57G7sEv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nUBOWy49KYJFowmNCKBsZifNqEhvuqE8Dt+0YB8TlzCkoyJFQDKM+MMwjgJuZ4rF/NQhtmg+gRsKEtD/ShPlQ==" saltValue="TqBSJV220I15TcM5dawB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1XmUndw3Rv4jcgnWfHSFvv+N7k0b00Xczc3wO2yfgiCtl9z+xFJtYAUbA7xQu6lwH3zCpyxiTEGiZDzYyoBqRg==" saltValue="FD7iKjrP8ZconUVsAgPi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UI++ulLw/YQN+9XcmwskYVkVB/QbsaNKh/FqcSxIF09DhE2CyZocEPZqr0GTVFW5ufnTKHPXBQusjMo8hUnyw==" saltValue="UKtKrx+ed8lu8O1ICvsr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1R+cnsRn6Q6BzlDGyh1W4mKqSqgUt9232cSFHF5SfckAhEBzUxL/JNWQEJiPb8e2N23BVjN+GqyXEGVu+MMkA==" saltValue="Idg+97e51B2oMyWxZApq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WDIUXUNbY/KBEFFCsAy+LUX0XZwyXA3zUrhXJggy0hPWsZE4QK2a81D6rAtEYeJor1bEfdZ3aN84n/clcFS2Q==" saltValue="Y7mLEh/CRLkI/rtEm1Tz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iTbiHVc6ZOtgKX97KcOZWaiVe21PGCJxH2j4N8FLaq1j7C0voDMEPxmLPvkSTHvft0BptGIuMHzy4/R1pc0pg==" saltValue="ooghEHLtb7suuos5Dr6xq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2024-05-17T00:15:43Z</dcterms:modified>
</cp:coreProperties>
</file>