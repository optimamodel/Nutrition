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B06E56B-05F7-4F53-8357-7996ADBA480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38" i="2" l="1"/>
  <c r="A26" i="2"/>
  <c r="I39" i="2"/>
  <c r="A31" i="2"/>
  <c r="A40" i="2"/>
  <c r="A34" i="2"/>
  <c r="I2" i="2"/>
  <c r="I6" i="2"/>
  <c r="A19" i="2"/>
  <c r="A35" i="2"/>
  <c r="A22" i="2"/>
  <c r="A36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<sst xmlns="http://schemas.openxmlformats.org/spreadsheetml/2006/main" count="2169" uniqueCount="369">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</sst>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12879996.5</v>
      </c>
    </row>
    <row r="8" spans="1:3" ht="15" customHeight="1" x14ac:dyDescent="0.25">
      <c r="B8" s="5" t="s">
        <v>37</v>
      </c>
      <c r="C8" s="44">
        <v>4.3999999999999997E-2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0.83181569999999994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0.18279999999999999</v>
      </c>
    </row>
    <row r="24" spans="1:3" ht="15" customHeight="1" x14ac:dyDescent="0.25">
      <c r="B24" s="15" t="s">
        <v>51</v>
      </c>
      <c r="C24" s="45">
        <v>0.54590000000000005</v>
      </c>
    </row>
    <row r="25" spans="1:3" ht="15" customHeight="1" x14ac:dyDescent="0.25">
      <c r="B25" s="15" t="s">
        <v>52</v>
      </c>
      <c r="C25" s="45">
        <v>0.23910000000000001</v>
      </c>
    </row>
    <row r="26" spans="1:3" ht="15" customHeight="1" x14ac:dyDescent="0.25">
      <c r="B26" s="15" t="s">
        <v>53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0.34994163924792399</v>
      </c>
    </row>
    <row r="30" spans="1:3" ht="14.25" customHeight="1" x14ac:dyDescent="0.25">
      <c r="B30" s="25" t="s">
        <v>56</v>
      </c>
      <c r="C30" s="97">
        <v>0.10516916316476101</v>
      </c>
    </row>
    <row r="31" spans="1:3" ht="14.25" customHeight="1" x14ac:dyDescent="0.25">
      <c r="B31" s="25" t="s">
        <v>57</v>
      </c>
      <c r="C31" s="97">
        <v>8.4505866375242988E-2</v>
      </c>
    </row>
    <row r="32" spans="1:3" ht="14.25" customHeight="1" x14ac:dyDescent="0.25">
      <c r="B32" s="25" t="s">
        <v>58</v>
      </c>
      <c r="C32" s="97">
        <v>0.46038333121207198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8.4704599999999992</v>
      </c>
    </row>
    <row r="38" spans="1:5" ht="15" customHeight="1" x14ac:dyDescent="0.25">
      <c r="B38" s="11" t="s">
        <v>63</v>
      </c>
      <c r="C38" s="43">
        <v>12.875</v>
      </c>
      <c r="D38" s="12"/>
      <c r="E38" s="13"/>
    </row>
    <row r="39" spans="1:5" ht="15" customHeight="1" x14ac:dyDescent="0.25">
      <c r="B39" s="11" t="s">
        <v>64</v>
      </c>
      <c r="C39" s="43">
        <v>14.41098</v>
      </c>
      <c r="D39" s="12"/>
      <c r="E39" s="12"/>
    </row>
    <row r="40" spans="1:5" ht="15" customHeight="1" x14ac:dyDescent="0.25">
      <c r="B40" s="11" t="s">
        <v>65</v>
      </c>
      <c r="C40" s="98">
        <v>0.72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9.4821000000000003E-3</v>
      </c>
      <c r="D45" s="12"/>
    </row>
    <row r="46" spans="1:5" ht="15.75" customHeight="1" x14ac:dyDescent="0.25">
      <c r="B46" s="11" t="s">
        <v>70</v>
      </c>
      <c r="C46" s="45">
        <v>0.1019704</v>
      </c>
      <c r="D46" s="12"/>
    </row>
    <row r="47" spans="1:5" ht="15.75" customHeight="1" x14ac:dyDescent="0.25">
      <c r="B47" s="11" t="s">
        <v>71</v>
      </c>
      <c r="C47" s="45">
        <v>7.1473700000000001E-2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0.56287600000000004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8.6980708860000006E-2</v>
      </c>
    </row>
    <row r="63" spans="1:4" ht="15.75" customHeight="1" x14ac:dyDescent="0.3">
      <c r="A63" s="4"/>
    </row>
  </sheetData>
  <sheetProtection algorithmName="SHA-512" hashValue="hEjOlzh/cCyI81CfbA33DIjt2NgXMUCg4L/XQsGlvI8Ly+diWdyh/u33IvVQ+Q3YZhsNjYfe8yeffMHLOIKzFg==" saltValue="/dhMVjqmr5kw+0Vs2CVH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2572100</v>
      </c>
      <c r="C2" s="49">
        <v>7301316</v>
      </c>
      <c r="D2" s="49">
        <v>15891051.5</v>
      </c>
      <c r="E2" s="49">
        <v>16413838.500000002</v>
      </c>
      <c r="F2" s="49">
        <v>15948186.5</v>
      </c>
      <c r="G2" s="17">
        <f t="shared" ref="G2:G13" si="0">C2+D2+E2+F2</f>
        <v>55554392.5</v>
      </c>
      <c r="H2" s="17">
        <f t="shared" ref="H2:H13" si="1">(B2 + stillbirth*B2/(1000-stillbirth))/(1-abortion)</f>
        <v>2943389.5059470925</v>
      </c>
      <c r="I2" s="17">
        <f t="shared" ref="I2:I13" si="2">G2-H2</f>
        <v>52611002.994052909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2528724</v>
      </c>
      <c r="C3" s="50">
        <v>7211480</v>
      </c>
      <c r="D3" s="50">
        <v>15731697.5</v>
      </c>
      <c r="E3" s="50">
        <v>16288397.5</v>
      </c>
      <c r="F3" s="50">
        <v>16165471.5</v>
      </c>
      <c r="G3" s="17">
        <f t="shared" si="0"/>
        <v>55397046.5</v>
      </c>
      <c r="H3" s="17">
        <f t="shared" si="1"/>
        <v>2893752.0644751582</v>
      </c>
      <c r="I3" s="17">
        <f t="shared" si="2"/>
        <v>52503294.435524844</v>
      </c>
    </row>
    <row r="4" spans="1:9" ht="15.75" customHeight="1" x14ac:dyDescent="0.25">
      <c r="A4" s="5">
        <f t="shared" si="3"/>
        <v>2026</v>
      </c>
      <c r="B4" s="49">
        <v>2492914</v>
      </c>
      <c r="C4" s="50">
        <v>7133131</v>
      </c>
      <c r="D4" s="50">
        <v>15551253</v>
      </c>
      <c r="E4" s="50">
        <v>16178066.5</v>
      </c>
      <c r="F4" s="50">
        <v>16341990</v>
      </c>
      <c r="G4" s="17">
        <f t="shared" si="0"/>
        <v>55204440.5</v>
      </c>
      <c r="H4" s="17">
        <f t="shared" si="1"/>
        <v>2852772.7953145639</v>
      </c>
      <c r="I4" s="17">
        <f t="shared" si="2"/>
        <v>52351667.704685435</v>
      </c>
    </row>
    <row r="5" spans="1:9" ht="15.75" customHeight="1" x14ac:dyDescent="0.25">
      <c r="A5" s="5">
        <f t="shared" si="3"/>
        <v>2027</v>
      </c>
      <c r="B5" s="49">
        <v>2461631</v>
      </c>
      <c r="C5" s="50">
        <v>7073603.5</v>
      </c>
      <c r="D5" s="50">
        <v>15346297</v>
      </c>
      <c r="E5" s="50">
        <v>16089223</v>
      </c>
      <c r="F5" s="50">
        <v>16467720.5</v>
      </c>
      <c r="G5" s="17">
        <f t="shared" si="0"/>
        <v>54976844</v>
      </c>
      <c r="H5" s="17">
        <f t="shared" si="1"/>
        <v>2816974.0106971143</v>
      </c>
      <c r="I5" s="17">
        <f t="shared" si="2"/>
        <v>52159869.989302889</v>
      </c>
    </row>
    <row r="6" spans="1:9" ht="15.75" customHeight="1" x14ac:dyDescent="0.25">
      <c r="A6" s="5">
        <f t="shared" si="3"/>
        <v>2028</v>
      </c>
      <c r="B6" s="49">
        <v>2433369</v>
      </c>
      <c r="C6" s="50">
        <v>7033997</v>
      </c>
      <c r="D6" s="50">
        <v>15116048.5</v>
      </c>
      <c r="E6" s="50">
        <v>16028374</v>
      </c>
      <c r="F6" s="50">
        <v>16537266</v>
      </c>
      <c r="G6" s="17">
        <f t="shared" si="0"/>
        <v>54715685.5</v>
      </c>
      <c r="H6" s="17">
        <f t="shared" si="1"/>
        <v>2784632.3154997746</v>
      </c>
      <c r="I6" s="17">
        <f t="shared" si="2"/>
        <v>51931053.184500225</v>
      </c>
    </row>
    <row r="7" spans="1:9" ht="15.75" customHeight="1" x14ac:dyDescent="0.25">
      <c r="A7" s="5">
        <f t="shared" si="3"/>
        <v>2029</v>
      </c>
      <c r="B7" s="49">
        <v>2410757</v>
      </c>
      <c r="C7" s="50">
        <v>7015177.5</v>
      </c>
      <c r="D7" s="50">
        <v>14883269.5</v>
      </c>
      <c r="E7" s="50">
        <v>15978235.499999998</v>
      </c>
      <c r="F7" s="50">
        <v>16554173.5</v>
      </c>
      <c r="G7" s="17">
        <f t="shared" si="0"/>
        <v>54430856</v>
      </c>
      <c r="H7" s="17">
        <f t="shared" si="1"/>
        <v>2758756.2128954916</v>
      </c>
      <c r="I7" s="17">
        <f t="shared" si="2"/>
        <v>51672099.78710451</v>
      </c>
    </row>
    <row r="8" spans="1:9" ht="15.75" customHeight="1" x14ac:dyDescent="0.25">
      <c r="A8" s="5">
        <f t="shared" si="3"/>
        <v>2030</v>
      </c>
      <c r="B8" s="49">
        <v>2388528</v>
      </c>
      <c r="C8" s="50">
        <v>7010191.5</v>
      </c>
      <c r="D8" s="50">
        <v>14672118</v>
      </c>
      <c r="E8" s="50">
        <v>15924241.999999998</v>
      </c>
      <c r="F8" s="50">
        <v>16520779.999999998</v>
      </c>
      <c r="G8" s="17">
        <f t="shared" si="0"/>
        <v>54127331.5</v>
      </c>
      <c r="H8" s="17">
        <f t="shared" si="1"/>
        <v>2733318.3973643314</v>
      </c>
      <c r="I8" s="17">
        <f t="shared" si="2"/>
        <v>51394013.102635667</v>
      </c>
    </row>
    <row r="9" spans="1:9" ht="15.75" customHeight="1" x14ac:dyDescent="0.25">
      <c r="A9" s="5">
        <f t="shared" si="3"/>
        <v>2031</v>
      </c>
      <c r="B9" s="49">
        <v>2366895</v>
      </c>
      <c r="C9" s="50">
        <v>6991206</v>
      </c>
      <c r="D9" s="50">
        <v>14487943</v>
      </c>
      <c r="E9" s="50">
        <v>15860319</v>
      </c>
      <c r="F9" s="50">
        <v>16442911</v>
      </c>
      <c r="G9" s="17">
        <f t="shared" si="0"/>
        <v>53782379</v>
      </c>
      <c r="H9" s="17">
        <f t="shared" si="1"/>
        <v>2708562.6160252881</v>
      </c>
      <c r="I9" s="17">
        <f t="shared" si="2"/>
        <v>51073816.383974709</v>
      </c>
    </row>
    <row r="10" spans="1:9" ht="15.75" customHeight="1" x14ac:dyDescent="0.25">
      <c r="A10" s="5">
        <f t="shared" si="3"/>
        <v>2032</v>
      </c>
      <c r="B10" s="49">
        <v>2344074</v>
      </c>
      <c r="C10" s="50">
        <v>6960954</v>
      </c>
      <c r="D10" s="50">
        <v>14333208.5</v>
      </c>
      <c r="E10" s="50">
        <v>15782591</v>
      </c>
      <c r="F10" s="50">
        <v>16329625.500000002</v>
      </c>
      <c r="G10" s="17">
        <f t="shared" si="0"/>
        <v>53406379</v>
      </c>
      <c r="H10" s="17">
        <f t="shared" si="1"/>
        <v>2682447.3437126959</v>
      </c>
      <c r="I10" s="17">
        <f t="shared" si="2"/>
        <v>50723931.656287305</v>
      </c>
    </row>
    <row r="11" spans="1:9" ht="15.75" customHeight="1" x14ac:dyDescent="0.25">
      <c r="A11" s="5">
        <f t="shared" si="3"/>
        <v>2033</v>
      </c>
      <c r="B11" s="49">
        <v>2325924</v>
      </c>
      <c r="C11" s="50">
        <v>6938473.5</v>
      </c>
      <c r="D11" s="50">
        <v>14210478</v>
      </c>
      <c r="E11" s="50">
        <v>15679108.5</v>
      </c>
      <c r="F11" s="50">
        <v>16200371.5</v>
      </c>
      <c r="G11" s="17">
        <f t="shared" si="0"/>
        <v>53028431.5</v>
      </c>
      <c r="H11" s="17">
        <f t="shared" si="1"/>
        <v>2661677.3427279205</v>
      </c>
      <c r="I11" s="17">
        <f t="shared" si="2"/>
        <v>50366754.157272078</v>
      </c>
    </row>
    <row r="12" spans="1:9" ht="15.75" customHeight="1" x14ac:dyDescent="0.25">
      <c r="A12" s="5">
        <f t="shared" si="3"/>
        <v>2034</v>
      </c>
      <c r="B12" s="49">
        <v>2307978</v>
      </c>
      <c r="C12" s="50">
        <v>6892351</v>
      </c>
      <c r="D12" s="50">
        <v>14114666.5</v>
      </c>
      <c r="E12" s="50">
        <v>15553131</v>
      </c>
      <c r="F12" s="50">
        <v>16075359.5</v>
      </c>
      <c r="G12" s="17">
        <f t="shared" si="0"/>
        <v>52635508</v>
      </c>
      <c r="H12" s="17">
        <f t="shared" si="1"/>
        <v>2641140.7896880987</v>
      </c>
      <c r="I12" s="17">
        <f t="shared" si="2"/>
        <v>49994367.210311905</v>
      </c>
    </row>
    <row r="13" spans="1:9" ht="15.75" customHeight="1" x14ac:dyDescent="0.25">
      <c r="A13" s="5">
        <f t="shared" si="3"/>
        <v>2035</v>
      </c>
      <c r="B13" s="49">
        <v>2289062</v>
      </c>
      <c r="C13" s="50">
        <v>6797001.5</v>
      </c>
      <c r="D13" s="50">
        <v>14034295.5</v>
      </c>
      <c r="E13" s="50">
        <v>15414352</v>
      </c>
      <c r="F13" s="50">
        <v>15963456.999999998</v>
      </c>
      <c r="G13" s="17">
        <f t="shared" si="0"/>
        <v>52209106</v>
      </c>
      <c r="H13" s="17">
        <f t="shared" si="1"/>
        <v>2619494.2145570791</v>
      </c>
      <c r="I13" s="17">
        <f t="shared" si="2"/>
        <v>49589611.785442919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VGuh9WNSWjAg/Ucdb551MwC3NUXdB3TCh4lP2kyNuDV6F2OTQ5OOnJTNOUenCcsnuJINW//4BA7W+AWBOXutA==" saltValue="oggw+Llv9JEB33cpbMdW9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0.13749251374925139</v>
      </c>
    </row>
    <row r="5" spans="1:8" ht="15.75" customHeight="1" x14ac:dyDescent="0.25">
      <c r="B5" s="19" t="s">
        <v>98</v>
      </c>
      <c r="C5" s="99">
        <v>1.6327201632720171E-2</v>
      </c>
    </row>
    <row r="6" spans="1:8" ht="15.75" customHeight="1" x14ac:dyDescent="0.25">
      <c r="B6" s="19" t="s">
        <v>99</v>
      </c>
      <c r="C6" s="99">
        <v>0.14921611492161169</v>
      </c>
    </row>
    <row r="7" spans="1:8" ht="15.75" customHeight="1" x14ac:dyDescent="0.25">
      <c r="B7" s="19" t="s">
        <v>100</v>
      </c>
      <c r="C7" s="99">
        <v>0.28350592835059218</v>
      </c>
    </row>
    <row r="8" spans="1:8" ht="15.75" customHeight="1" x14ac:dyDescent="0.25">
      <c r="B8" s="19" t="s">
        <v>101</v>
      </c>
      <c r="C8" s="99">
        <v>1.020000102000012E-5</v>
      </c>
    </row>
    <row r="9" spans="1:8" ht="15.75" customHeight="1" x14ac:dyDescent="0.25">
      <c r="B9" s="19" t="s">
        <v>102</v>
      </c>
      <c r="C9" s="99">
        <v>0.21483992148399311</v>
      </c>
    </row>
    <row r="10" spans="1:8" ht="15.75" customHeight="1" x14ac:dyDescent="0.25">
      <c r="B10" s="19" t="s">
        <v>103</v>
      </c>
      <c r="C10" s="99">
        <v>0.19860811986081151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106</v>
      </c>
      <c r="C15" s="99">
        <v>0.36074007572504768</v>
      </c>
      <c r="D15" s="99">
        <v>0.36074007572504768</v>
      </c>
      <c r="E15" s="99">
        <v>0.36074007572504768</v>
      </c>
      <c r="F15" s="99">
        <v>0.36074007572504768</v>
      </c>
    </row>
    <row r="16" spans="1:8" ht="15.75" customHeight="1" x14ac:dyDescent="0.25">
      <c r="B16" s="19" t="s">
        <v>107</v>
      </c>
      <c r="C16" s="99">
        <v>5.0609090351469078E-2</v>
      </c>
      <c r="D16" s="99">
        <v>5.0609090351469078E-2</v>
      </c>
      <c r="E16" s="99">
        <v>5.0609090351469078E-2</v>
      </c>
      <c r="F16" s="99">
        <v>5.0609090351469078E-2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1.0086264100862669E-3</v>
      </c>
      <c r="D18" s="99">
        <v>1.0086264100862669E-3</v>
      </c>
      <c r="E18" s="99">
        <v>1.0086264100862669E-3</v>
      </c>
      <c r="F18" s="99">
        <v>1.0086264100862669E-3</v>
      </c>
    </row>
    <row r="19" spans="1:8" ht="15.75" customHeight="1" x14ac:dyDescent="0.25">
      <c r="B19" s="19" t="s">
        <v>110</v>
      </c>
      <c r="C19" s="99">
        <v>1.0261357363117779E-2</v>
      </c>
      <c r="D19" s="99">
        <v>1.0261357363117779E-2</v>
      </c>
      <c r="E19" s="99">
        <v>1.0261357363117779E-2</v>
      </c>
      <c r="F19" s="99">
        <v>1.0261357363117779E-2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0.2849055109767864</v>
      </c>
      <c r="D21" s="99">
        <v>0.2849055109767864</v>
      </c>
      <c r="E21" s="99">
        <v>0.2849055109767864</v>
      </c>
      <c r="F21" s="99">
        <v>0.2849055109767864</v>
      </c>
    </row>
    <row r="22" spans="1:8" ht="15.75" customHeight="1" x14ac:dyDescent="0.25">
      <c r="B22" s="19" t="s">
        <v>113</v>
      </c>
      <c r="C22" s="99">
        <v>0.1815384786960571</v>
      </c>
      <c r="D22" s="99">
        <v>0.1815384786960571</v>
      </c>
      <c r="E22" s="99">
        <v>0.1815384786960571</v>
      </c>
      <c r="F22" s="99">
        <v>0.1815384786960571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5.7909057E-2</v>
      </c>
    </row>
    <row r="27" spans="1:8" ht="15.75" customHeight="1" x14ac:dyDescent="0.25">
      <c r="B27" s="19" t="s">
        <v>120</v>
      </c>
      <c r="C27" s="99">
        <v>2.6758759999999999E-2</v>
      </c>
    </row>
    <row r="28" spans="1:8" ht="15.75" customHeight="1" x14ac:dyDescent="0.25">
      <c r="B28" s="19" t="s">
        <v>121</v>
      </c>
      <c r="C28" s="99">
        <v>6.3008400000000006E-2</v>
      </c>
    </row>
    <row r="29" spans="1:8" ht="15.75" customHeight="1" x14ac:dyDescent="0.25">
      <c r="B29" s="19" t="s">
        <v>122</v>
      </c>
      <c r="C29" s="99">
        <v>0.22726674099999999</v>
      </c>
    </row>
    <row r="30" spans="1:8" ht="15.75" customHeight="1" x14ac:dyDescent="0.25">
      <c r="B30" s="19" t="s">
        <v>2</v>
      </c>
      <c r="C30" s="99">
        <v>8.1734795999999998E-2</v>
      </c>
    </row>
    <row r="31" spans="1:8" ht="15.75" customHeight="1" x14ac:dyDescent="0.25">
      <c r="B31" s="19" t="s">
        <v>123</v>
      </c>
      <c r="C31" s="99">
        <v>8.8591216E-2</v>
      </c>
    </row>
    <row r="32" spans="1:8" ht="15.75" customHeight="1" x14ac:dyDescent="0.25">
      <c r="B32" s="19" t="s">
        <v>124</v>
      </c>
      <c r="C32" s="99">
        <v>4.6972499000000001E-2</v>
      </c>
    </row>
    <row r="33" spans="2:3" ht="15.75" customHeight="1" x14ac:dyDescent="0.25">
      <c r="B33" s="19" t="s">
        <v>125</v>
      </c>
      <c r="C33" s="99">
        <v>0.18240123999999999</v>
      </c>
    </row>
    <row r="34" spans="2:3" ht="15.75" customHeight="1" x14ac:dyDescent="0.25">
      <c r="B34" s="19" t="s">
        <v>126</v>
      </c>
      <c r="C34" s="99">
        <v>0.22535729099999999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KtSBNXIbtPvZgeyHTA3Jjf8ojAkSns9lhFBlyTZm7DNCJtftBpsxsBtQWZPk2W7ca0HCfUk6KxZSpC8wNQ+nYw==" saltValue="mwGtpOWhwFHGdkL6Yil5B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132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133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137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138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sp0qGpdluarLL77akZvJ7qe1y1GsFMbdBP0uZwlZ9B4qAoX1WJtBHp4te6J6I/M3Td2sFvZR5WQMdH6nKYMpA==" saltValue="Z084mmOHbv93n5B2axcX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6.7721300000000095E-2</v>
      </c>
      <c r="D5" s="52">
        <f t="shared" si="0"/>
        <v>0.23034629999999989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r/Js3jNgX/6aFGr5LmHpJJfZiOYCFukyZnnGueKV+ooUHbjPyt1Er42SwtwscWWnIddHZQeYEy0zAc5rvHAnOg==" saltValue="ZbHc+HUGppuiMuVwGTak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wGUPtkPHoyi/UpssAaOtcioa4IPdrtA8VrrNp2r4B9/kFlM9VFvgQWVVt1c6+VxLKI5NeMNUDA6Cb3kHHAd0g==" saltValue="QSRn0J4SrTe3FuAYGw6lZ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8917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0.57762999999999998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0.60899999999999999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1.7156243673110892E-2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98621.013819999993</v>
      </c>
      <c r="C22" s="107">
        <v>98524.768769999995</v>
      </c>
      <c r="D22" s="107">
        <v>98388.349350000004</v>
      </c>
      <c r="E22" s="107">
        <v>97765.106839999993</v>
      </c>
      <c r="F22" s="107">
        <v>96946.711869999999</v>
      </c>
      <c r="G22" s="107">
        <v>96201.574160000004</v>
      </c>
      <c r="H22" s="107">
        <v>95439.803610000003</v>
      </c>
      <c r="I22" s="107">
        <v>94480.39976</v>
      </c>
      <c r="J22" s="107">
        <v>93263.897190000003</v>
      </c>
      <c r="K22" s="107">
        <v>91567.682209999999</v>
      </c>
      <c r="L22" s="107">
        <v>89174.384900000005</v>
      </c>
      <c r="M22" s="107">
        <v>85705.736510000002</v>
      </c>
      <c r="N22" s="107">
        <v>80721.243359999993</v>
      </c>
      <c r="O22" s="107">
        <v>73831.275460000004</v>
      </c>
    </row>
  </sheetData>
  <sheetProtection algorithmName="SHA-512" hashValue="B5wOBJ3714Bh8AeG8y+/nEEVdD2Ii6VF4Ar99ioQXe9vK6hXS19dZNSyfT5a9uj5RERKD17temr7oUwZKgEeBw==" saltValue="ckNva4ZIdBSkr/4LsiUd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ZsqeH0BDzeu2wiGyillZNm68g+DKgJ+qkggB3m++K+OWVdEuleaX4YrtddiyOKdMFkZvApSkTogbYDUuZcJmg==" saltValue="syUKEf3A2TbyLmSheUp86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MZCiFORGenDFtf3oVZMsoYKwGRFTglGCzVJyPiw7OGDdjZy9QM8dSPwWXQiPcX0x2eFX3uAl/ivQAVNAkTH3tw==" saltValue="HUvjzOy6xt2MOXg+ly418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0.25711131554737809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0.46083239999999998</v>
      </c>
      <c r="C10" s="96">
        <v>0.95</v>
      </c>
      <c r="D10" s="56">
        <v>13.656625510767499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13.656625510767499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13.656625510767499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13.656625510767499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0.46083239999999998</v>
      </c>
      <c r="C14" s="96">
        <v>0.95</v>
      </c>
      <c r="D14" s="56">
        <v>13.656625510767499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13.656625510767499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0.48685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1.6E-2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0.27722980000000003</v>
      </c>
      <c r="C19" s="96">
        <v>0.95</v>
      </c>
      <c r="D19" s="56">
        <v>19.805611394811169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4.6821164540834266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0.89690882780986203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0.51813429999999994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0.56700000000000006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0.45041619999999999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0.98627039999999999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JJ6glmI5RPekNavl9ywrGsbEjFa4oVnyH7+75sGQbRKXb4Jc+UmVjPzHD6sUoxdr+R7qs7LY+ciCBEMPtTCwlA==" saltValue="DFjoT61L1XVQ7/H/ZxJc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nvRdT66SjBuuYHr4P/WfHkxSi2MA7kFe5TTVReq2nn1XmZvdUPFxwEi70bqGkjlBN1g9HIDisAFZqzOz6H5tA==" saltValue="cFnlC+ELZIH+ZgKFMkH3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TpxlVqvEv/kuQf7eEweKJ+Q7V+FETzG2Rjfyprneepe7HHtgHd0nNSJoGWRr+AaqbQ+2JEdCfmVNWtFs96/fw==" saltValue="DfTgUehghKoU0WpUbj/S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237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sheetProtection algorithmName="SHA-512" hashValue="TOkK/bzpNpi21vjsNmL9YTVfyIcV3Bi83M3NHMm2o4ZON9kajd7pqrjyHlUVpuYfhPV3g1m0rZvTubdkOjUqiA==" saltValue="gZCmHbs4cXYtMDEs8ydU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4.3999999999999997E-2</v>
      </c>
      <c r="F2" s="60">
        <f>food_insecure</f>
        <v>4.3999999999999997E-2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4.3999999999999997E-2</v>
      </c>
      <c r="I15" s="60">
        <f t="shared" si="0"/>
        <v>4.3999999999999997E-2</v>
      </c>
      <c r="J15" s="60">
        <f t="shared" si="0"/>
        <v>4.3999999999999997E-2</v>
      </c>
      <c r="K15" s="60">
        <f t="shared" si="0"/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4.3999999999999997E-2</v>
      </c>
      <c r="I16" s="60">
        <f t="shared" si="0"/>
        <v>4.3999999999999997E-2</v>
      </c>
      <c r="J16" s="60">
        <f t="shared" si="0"/>
        <v>4.3999999999999997E-2</v>
      </c>
      <c r="K16" s="60">
        <f t="shared" si="0"/>
        <v>4.3999999999999997E-2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8.3964329932000023E-2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3.5984712828000018E-2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4.8235257240000017E-2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0.83181569999999994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vd92CzkHuQtwjciUsq22a7+tW63sS4rnxpTau0lmWv8s+3XF9Faqvx6r0KViXF5eLNim7z0mjRn19PXCeE/1g==" saltValue="FMEtJY8HFj050NbOZ/rp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Wu4VjlWqZTpw/c6H/4VgN32J6XCaNm7UMgD+6YqdrLjzUS6wKGBZXlGYrCSrJhCZsEFVd9HZqapDC55FIevdw==" saltValue="7gNSPnQfBHOB9trNC3j+6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I3HpCKSFAdtgprLWq/3/WZGjLFkAKhImQOZBXyHzg8n1/ygFktuAL4LpEksrL7lcgzd+GntyqZbRXtmrtJ0CQ==" saltValue="PQ7dPcW6ohAko+qalcXu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LdGNM3Nx2z1b16VldDRC6JBkOzcs3iTy5ZnUum5MqWfEVEeX8RRWCK8yQrCrIiT8URGDe94n5d8JChQhLN+hw==" saltValue="HtCj31qBK+X7qrJycq9k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Oci7DeXxn/6TDjc89bgbD0yyoh1eCMCH5/EOlzAXh7t6GDWiAc5sLoEh2AcWIwnuOvFNQXZDk3b8nhZJlTKmyQ==" saltValue="DYC8zhtO39r5cVnVCYIh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+e2Vlh6mn4liRL/hxEQDbwcUE40lp/DXrCwFJYehOkGH8A9BYzVV5kNdSnkzX/h/gYsipxqGlOv2LlrO6pz36g==" saltValue="WD+Qw9358bktyb6AN7qId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v9JLDMHpl74eFvBRNsqDdLut8kl5VEGN9HmfAPN0t0sYz/ODAU2zQbqEkmBg/ef+qsnPwmABD9jlygU1K0lIg==" saltValue="v+Y5W3XPAy74e3+hl6bYz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QD/cHp4vWu4FjiChBn7119ygMcT+e26LwT/9AlkjqtQ46RO0ICDFoLLehNvJtatlkRDc2MvSvXYWxyQFBJRMw==" saltValue="VFTMePmPHE7Evh619UpE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Q3jrYjNjWpuZjyNgt+JtYEUwXynYwbhU1jyLgD15Gf1Es0I+WN3ecGqgjRbFTVlR0ggLJhDV8gXutEOD8tw8Q==" saltValue="MZ6wppmzYpPSl0lUVa8w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bMZ1Tf8HPJzP0QSS63/qMZcQBkhuj6qIkbeoPJLif1usaX9rA6eHLHmkq2bfOsf5FxiTEcLeVyR2wMIrmDG6w==" saltValue="E+CvDOwIxpPeM4posy3i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l6IBH/rQM9Qij0XDoT2csGzeclMA6kzGR5K2WDrHi0WUSBuWD93AnPIIv+LhgH28BQk/VwcxHyx3QR0oUyUJQ==" saltValue="e776wzo3fHL1pWEScD2r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CleVuJ9ybA/E1rKmdvxRQj0kh6TUpYM2NTaqbYgiRworMqo+YfBJfWpEiGgpjJ8ng0rIPgDtqAjeZah6c7K7Q==" saltValue="nJGf/4YGLtQp6gwvLdJ8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Fopcl5kPT8v04cKQ7hcTtRFcF8p6uUmvVovRiYIBlLI2ecMu1+4uuQlkl40tKn8czq9fJ0Xd+kmUok5T9QkTQ==" saltValue="aWyKenO/A+BDd44EuKgR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/avqfwKGJPUJRTIASqV6grslmTkFUyuYVAYFsGyb2ny7VgNu+swiB/GBuGLtw7a1mCUS3lLt/8Cv86zDddNbQ==" saltValue="9MCiZaikdkSZhRLKvY66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06vcMxIELkDj0jmqthzrIaTONJKZ9Nt2iLyEEk0Yb1e+OEcLZTKn5mUvHGdVnayS1xAU5pMzF9gklX4KFCgWw==" saltValue="3Mec6UQGnEVRLFMth6YjM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2025-07-30T01:53:29Z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