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DB26B5C-6E18-4909-9D9D-1990B004469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3" i="2" l="1"/>
  <c r="A24" i="2"/>
  <c r="A15" i="2"/>
  <c r="A16" i="2"/>
  <c r="A31" i="2"/>
  <c r="A32" i="2"/>
  <c r="A17" i="2"/>
  <c r="A25" i="2"/>
  <c r="A33" i="2"/>
  <c r="A3" i="2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<sst xmlns="http://schemas.openxmlformats.org/spreadsheetml/2006/main" count="2101" uniqueCount="337">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</sst>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13457670.5</v>
      </c>
    </row>
    <row r="8" spans="1:3" ht="15" customHeight="1" x14ac:dyDescent="0.25">
      <c r="B8" s="5" t="s">
        <v>19</v>
      </c>
      <c r="C8" s="44">
        <v>4.3999999999999997E-2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0.84275520324706998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0.18279999999999999</v>
      </c>
    </row>
    <row r="24" spans="1:3" ht="15" customHeight="1" x14ac:dyDescent="0.25">
      <c r="B24" s="15" t="s">
        <v>33</v>
      </c>
      <c r="C24" s="45">
        <v>0.54590000000000005</v>
      </c>
    </row>
    <row r="25" spans="1:3" ht="15" customHeight="1" x14ac:dyDescent="0.25">
      <c r="B25" s="15" t="s">
        <v>34</v>
      </c>
      <c r="C25" s="45">
        <v>0.23910000000000001</v>
      </c>
    </row>
    <row r="26" spans="1:3" ht="15" customHeight="1" x14ac:dyDescent="0.25">
      <c r="B26" s="15" t="s">
        <v>35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8.4704599999999992</v>
      </c>
    </row>
    <row r="38" spans="1:5" ht="15" customHeight="1" x14ac:dyDescent="0.25">
      <c r="B38" s="11" t="s">
        <v>45</v>
      </c>
      <c r="C38" s="43">
        <v>12.875</v>
      </c>
      <c r="D38" s="12"/>
      <c r="E38" s="13"/>
    </row>
    <row r="39" spans="1:5" ht="15" customHeight="1" x14ac:dyDescent="0.25">
      <c r="B39" s="11" t="s">
        <v>46</v>
      </c>
      <c r="C39" s="43">
        <v>14.41098</v>
      </c>
      <c r="D39" s="12"/>
      <c r="E39" s="12"/>
    </row>
    <row r="40" spans="1:5" ht="15" customHeight="1" x14ac:dyDescent="0.25">
      <c r="B40" s="11" t="s">
        <v>47</v>
      </c>
      <c r="C40" s="100">
        <v>0.72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9.4821000000000003E-3</v>
      </c>
      <c r="D45" s="12"/>
    </row>
    <row r="46" spans="1:5" ht="15.75" customHeight="1" x14ac:dyDescent="0.25">
      <c r="B46" s="11" t="s">
        <v>52</v>
      </c>
      <c r="C46" s="45">
        <v>0.1019704</v>
      </c>
      <c r="D46" s="12"/>
    </row>
    <row r="47" spans="1:5" ht="15.75" customHeight="1" x14ac:dyDescent="0.25">
      <c r="B47" s="11" t="s">
        <v>53</v>
      </c>
      <c r="C47" s="45">
        <v>7.1473700000000001E-2</v>
      </c>
      <c r="D47" s="12"/>
      <c r="E47" s="13"/>
    </row>
    <row r="48" spans="1:5" ht="15" customHeight="1" x14ac:dyDescent="0.25">
      <c r="B48" s="11" t="s">
        <v>54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0.56287600000000004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3FbwkShZ6BgXWyXSdzShr2hR1D0aDir1R88QiuDI/E1CrZAeasyrVfSHk/t9pes8e7ZXuy3+U2o8ekkadVddUA==" saltValue="c2djRB/BM/WwvHlvnngj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yrXHerXNiMv6XREM0POzwPorqN2AVIftIuD06gUjFlUpnHNMohzPUOHIPpghCG9y2mKRcoxFvd3JiFTTeBdDA==" saltValue="18CICSv1zwHOtb9i5eqT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0.13749251374925139</v>
      </c>
    </row>
    <row r="5" spans="1:8" ht="15.75" customHeight="1" x14ac:dyDescent="0.25">
      <c r="B5" s="19" t="s">
        <v>80</v>
      </c>
      <c r="C5" s="101">
        <v>1.6327201632720171E-2</v>
      </c>
    </row>
    <row r="6" spans="1:8" ht="15.75" customHeight="1" x14ac:dyDescent="0.25">
      <c r="B6" s="19" t="s">
        <v>81</v>
      </c>
      <c r="C6" s="101">
        <v>0.14921611492161169</v>
      </c>
    </row>
    <row r="7" spans="1:8" ht="15.75" customHeight="1" x14ac:dyDescent="0.25">
      <c r="B7" s="19" t="s">
        <v>82</v>
      </c>
      <c r="C7" s="101">
        <v>0.28350592835059218</v>
      </c>
    </row>
    <row r="8" spans="1:8" ht="15.75" customHeight="1" x14ac:dyDescent="0.25">
      <c r="B8" s="19" t="s">
        <v>83</v>
      </c>
      <c r="C8" s="101">
        <v>1.020000102000012E-5</v>
      </c>
    </row>
    <row r="9" spans="1:8" ht="15.75" customHeight="1" x14ac:dyDescent="0.25">
      <c r="B9" s="19" t="s">
        <v>84</v>
      </c>
      <c r="C9" s="101">
        <v>0.21483992148399311</v>
      </c>
    </row>
    <row r="10" spans="1:8" ht="15.75" customHeight="1" x14ac:dyDescent="0.25">
      <c r="B10" s="19" t="s">
        <v>85</v>
      </c>
      <c r="C10" s="101">
        <v>0.19860811986081151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88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89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92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95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5.7909057E-2</v>
      </c>
    </row>
    <row r="27" spans="1:8" ht="15.75" customHeight="1" x14ac:dyDescent="0.25">
      <c r="B27" s="19" t="s">
        <v>102</v>
      </c>
      <c r="C27" s="101">
        <v>2.6758759999999999E-2</v>
      </c>
    </row>
    <row r="28" spans="1:8" ht="15.75" customHeight="1" x14ac:dyDescent="0.25">
      <c r="B28" s="19" t="s">
        <v>103</v>
      </c>
      <c r="C28" s="101">
        <v>6.3008400000000006E-2</v>
      </c>
    </row>
    <row r="29" spans="1:8" ht="15.75" customHeight="1" x14ac:dyDescent="0.25">
      <c r="B29" s="19" t="s">
        <v>104</v>
      </c>
      <c r="C29" s="101">
        <v>0.22726674099999999</v>
      </c>
    </row>
    <row r="30" spans="1:8" ht="15.75" customHeight="1" x14ac:dyDescent="0.25">
      <c r="B30" s="19" t="s">
        <v>2</v>
      </c>
      <c r="C30" s="101">
        <v>8.1734795999999998E-2</v>
      </c>
    </row>
    <row r="31" spans="1:8" ht="15.75" customHeight="1" x14ac:dyDescent="0.25">
      <c r="B31" s="19" t="s">
        <v>105</v>
      </c>
      <c r="C31" s="101">
        <v>8.8591216E-2</v>
      </c>
    </row>
    <row r="32" spans="1:8" ht="15.75" customHeight="1" x14ac:dyDescent="0.25">
      <c r="B32" s="19" t="s">
        <v>106</v>
      </c>
      <c r="C32" s="101">
        <v>4.6972499000000001E-2</v>
      </c>
    </row>
    <row r="33" spans="2:3" ht="15.75" customHeight="1" x14ac:dyDescent="0.25">
      <c r="B33" s="19" t="s">
        <v>107</v>
      </c>
      <c r="C33" s="101">
        <v>0.18240123999999999</v>
      </c>
    </row>
    <row r="34" spans="2:3" ht="15.75" customHeight="1" x14ac:dyDescent="0.25">
      <c r="B34" s="19" t="s">
        <v>108</v>
      </c>
      <c r="C34" s="101">
        <v>0.22535729099999999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HW0CG0nu+h5xqKjsjAYcfwwiyM6qVuVGXOZIF0/bSyQBQveExJyqj4dUtR31WA9QzzdJZeTmmPalZcCCCUGJsw==" saltValue="nuSeD5cnyMlP7z8j+//v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114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115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119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120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ESgIDstbMjuL9J9NO/FwgzL5qGDZ+apVgGL/6QU/irfom5Cn9hniaebI1viQy8Z3MjOODxhjeUGtQEUpAcBFQ==" saltValue="jWGZ6C9MBUb2G3X5whSH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132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Pi+jj0Gnf+QchUbdoPkv9f/5e4RaXY0zyBLtP22iPO0vL9PZedECmFYv6Tfe2rMxMatsW3DWH5IzC1yLDrQOSw==" saltValue="ZE/eQgRf2WhoZZYjfbFv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lsQ3/5tT5WqGRFgnyGSSh0SUiryqIHzI2XMtKkDgmS8MHzwnUeWHlu1WCJa5FZX1Sfaeq7zlXe45hZSVlTkxA==" saltValue="JIhihohHI1pNMX0B1qdk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lYSRIhwFYvgWRnwZzh1ta040u0ITCLM5mYoHOpfT+LHUiCigZMJO+qE3cMUN6RGLdGNIk0CcSHLnf4OOqgR4fg==" saltValue="Yp72CZlGakRe4q/vgn5J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S3xDI26s6MAiddq1orABAH6+pOKDr5oDogFOyA2LIDFB6fK9JRqxaszZdFKAniFKqFbb9x6mxVWSGZ4NOsHBQ==" saltValue="o4atKHhjI2w31O/nOd6s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WwD16vEKbGX7/yuNyyCg4UlhhkVvi1uCaBU9a10dJgDlM42tFVZoYaU4gh7rDo7+c6ypDqjFtVdstQkOT46Rw==" saltValue="BNqMvMO55B5BSITMON4r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154.17725521634259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36.544834772694642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7.4321800982712878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0.44994896638918952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0.26996937983351371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0.46083239999999998</v>
      </c>
      <c r="C10" s="98">
        <v>0.95</v>
      </c>
      <c r="D10" s="56">
        <v>13.656625510767499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13.656625510767499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13.656625510767499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13.656625510767499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0.46083239999999998</v>
      </c>
      <c r="C14" s="98">
        <v>0.95</v>
      </c>
      <c r="D14" s="56">
        <v>13.656625510767499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13.656625510767499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5.8835597567123799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0.48685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1.6E-2</v>
      </c>
      <c r="C18" s="98">
        <v>0.95</v>
      </c>
      <c r="D18" s="56">
        <v>36.544834772694642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0.27722980000000003</v>
      </c>
      <c r="C19" s="98">
        <v>0.95</v>
      </c>
      <c r="D19" s="56">
        <v>36.544834772694642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17.588891180900539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23.904870229687631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4.6821164540834266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0.89690882780986203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0.46083239999999998</v>
      </c>
      <c r="C26" s="98">
        <v>0.95</v>
      </c>
      <c r="D26" s="56">
        <v>8.1464668622096941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5.5181659343385068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0.51813429999999994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0.56700000000000006</v>
      </c>
      <c r="C29" s="98">
        <v>0.95</v>
      </c>
      <c r="D29" s="56">
        <v>206.81375092158379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65.176827828224631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0.45041619999999999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0.98627039999999999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5.754815016497699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201</v>
      </c>
      <c r="F39" s="98">
        <v>1</v>
      </c>
      <c r="G39" s="98">
        <v>1</v>
      </c>
    </row>
  </sheetData>
  <sheetProtection algorithmName="SHA-512" hashValue="84gXJK7pdJNvC40dAZFNJdJu14Dh9MEqvEswbo/CUAGyEsEFcraZKOwRLez1mDrI+m5inQq8bRaqsNndCFCFjA==" saltValue="cGcOXL+l7Mw7I1g+xZ9b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/44FQKe9ozHFlCIztP/7WsrhU0vxP48kXByDmPuwdjbc+ec7D+W/LYyNJJ5LGQCmUdWbATIfb9Df4TKCE/8+3A==" saltValue="h660vCmMuM9RZqAhwhDQ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+tip8Nli62SUFYcN5f17zzlg7eY/jMBZT1H93VLKj2/qDU8sDsCnPMFCAsDNhE6ahXJZIGspPClg24xvGCkw7w==" saltValue="EfADZdkZtmLLDoRn2Wzc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208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/yhCa7LxvD7+P8WNLJWaYmz1g5x0l+DTQsQ6cQJZzgCs1BIwQTo/2nzCqZZtPzX9GCXf6mKlfxmfhL9EgKYryw==" saltValue="/kQojJNjz5189O4busr9s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I82yIVf2guMTMSC88mrEEth77jfAOQuzPh2VMq5QjlsllxalxDrXffprIumR+1BjVzuexofpEB+jF6/RcGcjA==" saltValue="pc7wPAYnNWIsUpFQil7ET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Q7pr2A/O3w2UmpYQJrA3yNIGLJ6JXs1TAe4cE8oO3F8KDL762FslGaknqvgXhcXwOjXrO2vtnIyfWxRSR3NFA==" saltValue="H2BIffdCEC41jjGxWoFTN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ZPIuvHghFC4r3Mb4QFIbxeRGT355ae79j3Cp8u8RyaUINV3jZfXXgJIxOhrKn8vXfSLcpd+Bin7eUc9fG2hJA==" saltValue="UiMhsNgbppAFyCBAshHc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ThyfxuIMEUaLhkme0EHQ/jn31fLolw2dHFONGWbrGR4oA5SMsYp7KDvhRh5zil8Au5jTLb88xg6xZJW8ABJpw==" saltValue="PcVaQ6HYI4BMrh6LQ/yE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gdGXUSGFiRg/ET8m8/KH76t1ZfIl06dxQO6UTnhJMZqInCtSisB0/HA/q9N/s1UJZ7UibGI7yjz4aAqKjd9Lg==" saltValue="9rv9WiTILojTSxUC7a551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0t38Af1ZSx//xczd3Plh+EfiKFbDTS5P/glacp75cyH+jqKmmqmZTD4rau89TrHCDpRV8Vf35Qt1QGAAy/xFA==" saltValue="O8lQb8oqbHLkxmu4ldZu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kHtL5Q5T3t7NyZXg6eup9XAfClBGd87lr4fiRPzkfHwMWGodDFNjPGqfzuKTS6xxi13RIx4JIQhEWV2CAMCeg==" saltValue="RhlaGhcvgqiAShMYw03Md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NHqb/OdCw5kzwtASGQZ3CSmBxyowid0RlL5l76zoMMdqxUxFhkuBTGP3bHEKMjnQqL6AET8gVy7Y3+JxnXtGA==" saltValue="zeS/8p5ezl0TPBQXFUUJ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gJPSeKs6HenRZHoWaGhbWwyyWx3BfT5bT8fZnTt0CSGm102mTf9ZEsdc1AaMtd2itRLU2Xd4SleoeMFytpdig==" saltValue="XWWTIsqdYRIaXjcmdpNi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bPVQcxfPkOITNnqGK0teHSoa3dM95KC4EnumjwCp/88zuycaY/yDGLnVB1x1LFzvF6dksSiWpxs3jfBMlvJWg==" saltValue="UIX5x9NYu6wma28Ob6qI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ds7i5008OrPENddK6OP60x+TXcoQvoJN+5GQdwpzXpTFkaRarTk0821zEewizTvspZi2Oq5V5gV/4wiWVg1qw==" saltValue="jZsXMi1j0MQvS9HRS5fR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gmaNzt0bjQpdpBc8gFlNqRX0OkRFf95TE5vdrG6UsLvF8ACkSu13jqvPop8iuMtwkqkA1LOhH9wVlY9cnu+ug==" saltValue="Kw8laoH0UU3PsXp2QmWt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3niN72OAfuPXfd2EF+b6CoyTk4mSGwQ9Ztbi6TG2RrPwwqLPnR85YWtI9gFFR5NwADuOsF6cdTiGS2HJw+E9Q==" saltValue="kZ3QsyHbYO0PwD10e2qN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0.10852018362140325</v>
      </c>
      <c r="G18" s="90">
        <f>MIN(MAX(1-0.89/(1-frac_sam_12_23months+(frac_sam_12_23months*0.89)),0),1)</f>
        <v>0.10974546554554498</v>
      </c>
      <c r="H18" s="90">
        <f>MIN(MAX(1-0.89/(1-frac_sam_24_59months+(frac_sam_24_59months*0.89)),0),1)</f>
        <v>0.10987984089948266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0.10954638422860019</v>
      </c>
      <c r="G20" s="90">
        <f>MIN(MAX(1-0.89/(1-frac_mam_12_23months+(frac_mam_12_23months*0.89)),0),1)</f>
        <v>0.10787641846659601</v>
      </c>
      <c r="H20" s="90">
        <f>MIN(MAX(1-0.89/(1-frac_mam_24_59months+(frac_mam_24_59months*0.89)),0),1)</f>
        <v>0.10920150693758712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9.8505815020015763E-3</v>
      </c>
      <c r="G73" s="90">
        <f>MIN(MAX(1-0.99/(1-frac_sam_12_23months+(frac_sam_12_23months*0.99)),0),1)</f>
        <v>9.9742672511544672E-3</v>
      </c>
      <c r="H73" s="90">
        <f>MIN(MAX(1-0.99/(1-frac_sam_24_59months+(frac_sam_24_59months*0.99)),0),1)</f>
        <v>9.9878505709022347E-3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9.9541499866401262E-3</v>
      </c>
      <c r="G75" s="90">
        <f>MIN(MAX(1-0.99/(1-frac_mam_12_23months+(frac_mam_12_23months*0.99)),0),1)</f>
        <v>9.785720600580694E-3</v>
      </c>
      <c r="H75" s="90">
        <f>MIN(MAX(1-0.99/(1-frac_mam_24_59months+(frac_mam_24_59months*0.99)),0),1)</f>
        <v>9.9193193154116788E-3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0.19757821079800941</v>
      </c>
      <c r="G128" s="90">
        <f>MIN(MAX(1-0.8/(1-frac_sam_12_23months+(frac_sam_12_23months*0.8)),0),1)</f>
        <v>0.19958391170065837</v>
      </c>
      <c r="H128" s="90">
        <f>MIN(MAX(1-0.8/(1-frac_sam_24_59months+(frac_sam_24_59months*0.8)),0),1)</f>
        <v>0.19980359979553386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0.19925833705694884</v>
      </c>
      <c r="G130" s="90">
        <f>MIN(MAX(1-0.8/(1-frac_mam_12_23months+(frac_mam_12_23months*0.8)),0),1)</f>
        <v>0.19652259801284366</v>
      </c>
      <c r="H130" s="90">
        <f>MIN(MAX(1-0.8/(1-frac_mam_24_59months+(frac_mam_24_59months*0.8)),0),1)</f>
        <v>0.19869404758487286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jlSKGkM+lELPjWhHIX2n6QQhXIxa0ub2gf+4E/pTqeokd5YZpTDgIUHQ2mUm/LXj4uQa+N/oLf/26RB1t26fw==" saltValue="ptTLi7ET5ziFX603vlE1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yolcWgGn+w67BJMrc3dN+jmITmyRM9sqdFYyTKIMwCBRbhJY6M9cbhcy3T2Q+BUg4mNB+KqN2TlOpB1qAG2SA==" saltValue="xgxVyjvNwbvNktGzipWFZ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2024-08-06T08:48:27Z</dcterms:modified>
</cp:coreProperties>
</file>