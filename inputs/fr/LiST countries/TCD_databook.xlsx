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20100A6D-8348-436D-9850-398FC18E7671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A40" i="2"/>
  <c r="H39" i="2"/>
  <c r="G39" i="2"/>
  <c r="H38" i="2"/>
  <c r="G38" i="2"/>
  <c r="I38" i="2" s="1"/>
  <c r="A37" i="2"/>
  <c r="A36" i="2"/>
  <c r="A35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I2" i="2" s="1"/>
  <c r="A2" i="2"/>
  <c r="A39" i="2" s="1"/>
  <c r="C33" i="1"/>
  <c r="C20" i="1"/>
  <c r="I11" i="2" l="1"/>
  <c r="I6" i="2"/>
  <c r="I12" i="2"/>
  <c r="A19" i="2"/>
  <c r="A22" i="2"/>
  <c r="I39" i="2"/>
  <c r="A23" i="2"/>
  <c r="A24" i="2"/>
  <c r="I4" i="2"/>
  <c r="A25" i="2"/>
  <c r="A26" i="2"/>
  <c r="A31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<sst xmlns="http://schemas.openxmlformats.org/spreadsheetml/2006/main" count="2169" uniqueCount="369">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</sst>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3688334</v>
      </c>
    </row>
    <row r="8" spans="1:3" ht="15" customHeight="1" x14ac:dyDescent="0.25">
      <c r="B8" s="5" t="s">
        <v>37</v>
      </c>
      <c r="C8" s="44">
        <v>0.67900000000000005</v>
      </c>
    </row>
    <row r="9" spans="1:3" ht="15" customHeight="1" x14ac:dyDescent="0.25">
      <c r="B9" s="5" t="s">
        <v>38</v>
      </c>
      <c r="C9" s="45">
        <v>0.86</v>
      </c>
    </row>
    <row r="10" spans="1:3" ht="15" customHeight="1" x14ac:dyDescent="0.25">
      <c r="B10" s="5" t="s">
        <v>39</v>
      </c>
      <c r="C10" s="45">
        <v>0.11976970000000001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0.82499999999999996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0.1394</v>
      </c>
    </row>
    <row r="24" spans="1:3" ht="15" customHeight="1" x14ac:dyDescent="0.25">
      <c r="B24" s="15" t="s">
        <v>51</v>
      </c>
      <c r="C24" s="45">
        <v>0.44390000000000002</v>
      </c>
    </row>
    <row r="25" spans="1:3" ht="15" customHeight="1" x14ac:dyDescent="0.25">
      <c r="B25" s="15" t="s">
        <v>52</v>
      </c>
      <c r="C25" s="45">
        <v>0.33229999999999998</v>
      </c>
    </row>
    <row r="26" spans="1:3" ht="15" customHeight="1" x14ac:dyDescent="0.25">
      <c r="B26" s="15" t="s">
        <v>53</v>
      </c>
      <c r="C26" s="45">
        <v>8.4399999999999989E-2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0.15293756430852301</v>
      </c>
    </row>
    <row r="30" spans="1:3" ht="14.25" customHeight="1" x14ac:dyDescent="0.25">
      <c r="B30" s="25" t="s">
        <v>56</v>
      </c>
      <c r="C30" s="97">
        <v>9.4746756690583189E-2</v>
      </c>
    </row>
    <row r="31" spans="1:3" ht="14.25" customHeight="1" x14ac:dyDescent="0.25">
      <c r="B31" s="25" t="s">
        <v>57</v>
      </c>
      <c r="C31" s="97">
        <v>0.160927169095259</v>
      </c>
    </row>
    <row r="32" spans="1:3" ht="14.25" customHeight="1" x14ac:dyDescent="0.25">
      <c r="B32" s="25" t="s">
        <v>58</v>
      </c>
      <c r="C32" s="97">
        <v>0.59138850990563396</v>
      </c>
    </row>
    <row r="33" spans="1:5" ht="13.25" customHeight="1" x14ac:dyDescent="0.25">
      <c r="B33" s="27" t="s">
        <v>59</v>
      </c>
      <c r="C33" s="48">
        <f>SUM(C29:C32)</f>
        <v>0.99999999999999911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32.347020000000001</v>
      </c>
    </row>
    <row r="38" spans="1:5" ht="15" customHeight="1" x14ac:dyDescent="0.25">
      <c r="B38" s="11" t="s">
        <v>63</v>
      </c>
      <c r="C38" s="43">
        <v>66.049419999999998</v>
      </c>
      <c r="D38" s="12"/>
      <c r="E38" s="13"/>
    </row>
    <row r="39" spans="1:5" ht="15" customHeight="1" x14ac:dyDescent="0.25">
      <c r="B39" s="11" t="s">
        <v>64</v>
      </c>
      <c r="C39" s="43">
        <v>107.06547999999999</v>
      </c>
      <c r="D39" s="12"/>
      <c r="E39" s="12"/>
    </row>
    <row r="40" spans="1:5" ht="15" customHeight="1" x14ac:dyDescent="0.25">
      <c r="B40" s="11" t="s">
        <v>65</v>
      </c>
      <c r="C40" s="98">
        <v>10.63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25.27843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7.9279999999999993E-3</v>
      </c>
      <c r="D45" s="12"/>
    </row>
    <row r="46" spans="1:5" ht="15.75" customHeight="1" x14ac:dyDescent="0.25">
      <c r="B46" s="11" t="s">
        <v>70</v>
      </c>
      <c r="C46" s="45">
        <v>8.5185700000000003E-2</v>
      </c>
      <c r="D46" s="12"/>
    </row>
    <row r="47" spans="1:5" ht="15.75" customHeight="1" x14ac:dyDescent="0.25">
      <c r="B47" s="11" t="s">
        <v>71</v>
      </c>
      <c r="C47" s="45">
        <v>7.3461200000000004E-2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5.4080000000000004</v>
      </c>
      <c r="D51" s="12"/>
    </row>
    <row r="52" spans="1:4" ht="15" customHeight="1" x14ac:dyDescent="0.25">
      <c r="B52" s="11" t="s">
        <v>75</v>
      </c>
      <c r="C52" s="98">
        <v>5.4080000000000004</v>
      </c>
    </row>
    <row r="53" spans="1:4" ht="15.75" customHeight="1" x14ac:dyDescent="0.25">
      <c r="B53" s="11" t="s">
        <v>76</v>
      </c>
      <c r="C53" s="98">
        <v>9.23</v>
      </c>
    </row>
    <row r="54" spans="1:4" ht="15.75" customHeight="1" x14ac:dyDescent="0.25">
      <c r="B54" s="11" t="s">
        <v>77</v>
      </c>
      <c r="C54" s="98">
        <v>8.6839999999999993</v>
      </c>
    </row>
    <row r="55" spans="1:4" ht="15.75" customHeight="1" x14ac:dyDescent="0.25">
      <c r="B55" s="11" t="s">
        <v>78</v>
      </c>
      <c r="C55" s="98">
        <v>4.3766666666666669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0.43513099999999999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CSzOLicEiypX90oWeOXB58fNKuevQOtCAbQTQyzrP6ZDIYeZIsWAknx2q3T4NCgc3rnHY6Tbkm6PGlw3vueJ0Q==" saltValue="5a6e11tcKmOhiLV7cdrn0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878222</v>
      </c>
      <c r="C2" s="49">
        <v>1091728.5</v>
      </c>
      <c r="D2" s="49">
        <v>1690706.9999999998</v>
      </c>
      <c r="E2" s="49">
        <v>1124774.5</v>
      </c>
      <c r="F2" s="49">
        <v>736490</v>
      </c>
      <c r="G2" s="17">
        <f t="shared" ref="G2:G13" si="0">C2+D2+E2+F2</f>
        <v>4643700</v>
      </c>
      <c r="H2" s="17">
        <f t="shared" ref="H2:H13" si="1">(B2 + stillbirth*B2/(1000-stillbirth))/(1-abortion)</f>
        <v>1023861.1478091589</v>
      </c>
      <c r="I2" s="17">
        <f t="shared" ref="I2:I13" si="2">G2-H2</f>
        <v>3619838.852190841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907325</v>
      </c>
      <c r="C3" s="50">
        <v>1120017</v>
      </c>
      <c r="D3" s="50">
        <v>1746558.5</v>
      </c>
      <c r="E3" s="50">
        <v>1177105.5000000002</v>
      </c>
      <c r="F3" s="50">
        <v>762201</v>
      </c>
      <c r="G3" s="17">
        <f t="shared" si="0"/>
        <v>4805882</v>
      </c>
      <c r="H3" s="17">
        <f t="shared" si="1"/>
        <v>1057790.4173841523</v>
      </c>
      <c r="I3" s="17">
        <f t="shared" si="2"/>
        <v>3748091.5826158477</v>
      </c>
    </row>
    <row r="4" spans="1:9" ht="15.75" customHeight="1" x14ac:dyDescent="0.25">
      <c r="A4" s="5">
        <f t="shared" si="3"/>
        <v>2026</v>
      </c>
      <c r="B4" s="49">
        <v>909765</v>
      </c>
      <c r="C4" s="50">
        <v>1145637.5</v>
      </c>
      <c r="D4" s="50">
        <v>1772691</v>
      </c>
      <c r="E4" s="50">
        <v>1219563</v>
      </c>
      <c r="F4" s="50">
        <v>780226.5</v>
      </c>
      <c r="G4" s="17">
        <f t="shared" si="0"/>
        <v>4918118</v>
      </c>
      <c r="H4" s="17">
        <f t="shared" si="1"/>
        <v>1060635.0525682566</v>
      </c>
      <c r="I4" s="17">
        <f t="shared" si="2"/>
        <v>3857482.9474317431</v>
      </c>
    </row>
    <row r="5" spans="1:9" ht="15.75" customHeight="1" x14ac:dyDescent="0.25">
      <c r="A5" s="5">
        <f t="shared" si="3"/>
        <v>2027</v>
      </c>
      <c r="B5" s="49">
        <v>914247</v>
      </c>
      <c r="C5" s="50">
        <v>1177365.5</v>
      </c>
      <c r="D5" s="50">
        <v>1805574</v>
      </c>
      <c r="E5" s="50">
        <v>1270107.5</v>
      </c>
      <c r="F5" s="50">
        <v>803090.5</v>
      </c>
      <c r="G5" s="17">
        <f t="shared" si="0"/>
        <v>5056137.5</v>
      </c>
      <c r="H5" s="17">
        <f t="shared" si="1"/>
        <v>1065860.3209679103</v>
      </c>
      <c r="I5" s="17">
        <f t="shared" si="2"/>
        <v>3990277.1790320897</v>
      </c>
    </row>
    <row r="6" spans="1:9" ht="15.75" customHeight="1" x14ac:dyDescent="0.25">
      <c r="A6" s="5">
        <f t="shared" si="3"/>
        <v>2028</v>
      </c>
      <c r="B6" s="49">
        <v>922811</v>
      </c>
      <c r="C6" s="50">
        <v>1213799</v>
      </c>
      <c r="D6" s="50">
        <v>1847263</v>
      </c>
      <c r="E6" s="50">
        <v>1325416.0000000002</v>
      </c>
      <c r="F6" s="50">
        <v>832073.5</v>
      </c>
      <c r="G6" s="17">
        <f t="shared" si="0"/>
        <v>5218551.5</v>
      </c>
      <c r="H6" s="17">
        <f t="shared" si="1"/>
        <v>1075844.5241304792</v>
      </c>
      <c r="I6" s="17">
        <f t="shared" si="2"/>
        <v>4142706.9758695206</v>
      </c>
    </row>
    <row r="7" spans="1:9" ht="15.75" customHeight="1" x14ac:dyDescent="0.25">
      <c r="A7" s="5">
        <f t="shared" si="3"/>
        <v>2029</v>
      </c>
      <c r="B7" s="49">
        <v>935384</v>
      </c>
      <c r="C7" s="50">
        <v>1252049</v>
      </c>
      <c r="D7" s="50">
        <v>1889547.5000000002</v>
      </c>
      <c r="E7" s="50">
        <v>1380229</v>
      </c>
      <c r="F7" s="50">
        <v>864586</v>
      </c>
      <c r="G7" s="17">
        <f t="shared" si="0"/>
        <v>5386411.5</v>
      </c>
      <c r="H7" s="17">
        <f t="shared" si="1"/>
        <v>1090502.5561672589</v>
      </c>
      <c r="I7" s="17">
        <f t="shared" si="2"/>
        <v>4295908.9438327411</v>
      </c>
    </row>
    <row r="8" spans="1:9" ht="15.75" customHeight="1" x14ac:dyDescent="0.25">
      <c r="A8" s="5">
        <f t="shared" si="3"/>
        <v>2030</v>
      </c>
      <c r="B8" s="49">
        <v>945060</v>
      </c>
      <c r="C8" s="50">
        <v>1290869.5</v>
      </c>
      <c r="D8" s="50">
        <v>1933829.5</v>
      </c>
      <c r="E8" s="50">
        <v>1433947.9999999998</v>
      </c>
      <c r="F8" s="50">
        <v>899774.5</v>
      </c>
      <c r="G8" s="17">
        <f t="shared" si="0"/>
        <v>5558421.5</v>
      </c>
      <c r="H8" s="17">
        <f t="shared" si="1"/>
        <v>1101783.1668399605</v>
      </c>
      <c r="I8" s="17">
        <f t="shared" si="2"/>
        <v>4456638.333160039</v>
      </c>
    </row>
    <row r="9" spans="1:9" ht="15.75" customHeight="1" x14ac:dyDescent="0.25">
      <c r="A9" s="5">
        <f t="shared" si="3"/>
        <v>2031</v>
      </c>
      <c r="B9" s="49">
        <v>957376</v>
      </c>
      <c r="C9" s="50">
        <v>1328374</v>
      </c>
      <c r="D9" s="50">
        <v>1981713.0000000002</v>
      </c>
      <c r="E9" s="50">
        <v>1487379</v>
      </c>
      <c r="F9" s="50">
        <v>938839.5</v>
      </c>
      <c r="G9" s="17">
        <f t="shared" si="0"/>
        <v>5736305.5</v>
      </c>
      <c r="H9" s="17">
        <f t="shared" si="1"/>
        <v>1116141.5795151354</v>
      </c>
      <c r="I9" s="17">
        <f t="shared" si="2"/>
        <v>4620163.9204848651</v>
      </c>
    </row>
    <row r="10" spans="1:9" ht="15.75" customHeight="1" x14ac:dyDescent="0.25">
      <c r="A10" s="5">
        <f t="shared" si="3"/>
        <v>2032</v>
      </c>
      <c r="B10" s="49">
        <v>964929</v>
      </c>
      <c r="C10" s="50">
        <v>1364159.5</v>
      </c>
      <c r="D10" s="50">
        <v>2035302</v>
      </c>
      <c r="E10" s="50">
        <v>1537493</v>
      </c>
      <c r="F10" s="50">
        <v>983509.5</v>
      </c>
      <c r="G10" s="17">
        <f t="shared" si="0"/>
        <v>5920464</v>
      </c>
      <c r="H10" s="17">
        <f t="shared" si="1"/>
        <v>1124947.1244108481</v>
      </c>
      <c r="I10" s="17">
        <f t="shared" si="2"/>
        <v>4795516.8755891519</v>
      </c>
    </row>
    <row r="11" spans="1:9" ht="15.75" customHeight="1" x14ac:dyDescent="0.25">
      <c r="A11" s="5">
        <f t="shared" si="3"/>
        <v>2033</v>
      </c>
      <c r="B11" s="49">
        <v>974881</v>
      </c>
      <c r="C11" s="50">
        <v>1399808.5</v>
      </c>
      <c r="D11" s="50">
        <v>2093637.4999999998</v>
      </c>
      <c r="E11" s="50">
        <v>1582289</v>
      </c>
      <c r="F11" s="50">
        <v>1029758.4999999999</v>
      </c>
      <c r="G11" s="17">
        <f t="shared" si="0"/>
        <v>6105493.5</v>
      </c>
      <c r="H11" s="17">
        <f t="shared" si="1"/>
        <v>1136549.5052928994</v>
      </c>
      <c r="I11" s="17">
        <f t="shared" si="2"/>
        <v>4968943.9947071001</v>
      </c>
    </row>
    <row r="12" spans="1:9" ht="15.75" customHeight="1" x14ac:dyDescent="0.25">
      <c r="A12" s="5">
        <f t="shared" si="3"/>
        <v>2034</v>
      </c>
      <c r="B12" s="49">
        <v>984264</v>
      </c>
      <c r="C12" s="50">
        <v>1436714.5</v>
      </c>
      <c r="D12" s="50">
        <v>2153666</v>
      </c>
      <c r="E12" s="50">
        <v>1627353</v>
      </c>
      <c r="F12" s="50">
        <v>1073130.9999999998</v>
      </c>
      <c r="G12" s="17">
        <f t="shared" si="0"/>
        <v>6290864.5</v>
      </c>
      <c r="H12" s="17">
        <f t="shared" si="1"/>
        <v>1147488.5265766901</v>
      </c>
      <c r="I12" s="17">
        <f t="shared" si="2"/>
        <v>5143375.9734233096</v>
      </c>
    </row>
    <row r="13" spans="1:9" ht="15.75" customHeight="1" x14ac:dyDescent="0.25">
      <c r="A13" s="5">
        <f t="shared" si="3"/>
        <v>2035</v>
      </c>
      <c r="B13" s="49">
        <v>993785</v>
      </c>
      <c r="C13" s="50">
        <v>1474684.5</v>
      </c>
      <c r="D13" s="50">
        <v>2214750</v>
      </c>
      <c r="E13" s="50">
        <v>1674509</v>
      </c>
      <c r="F13" s="50">
        <v>1117838.5</v>
      </c>
      <c r="G13" s="17">
        <f t="shared" si="0"/>
        <v>6481782</v>
      </c>
      <c r="H13" s="17">
        <f t="shared" si="1"/>
        <v>1158588.4329651557</v>
      </c>
      <c r="I13" s="17">
        <f t="shared" si="2"/>
        <v>5323193.5670348443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6bSQtxaaexgzH58RpFksL00etY5KKYP/ulGAL9JfW2sp02F/5my0Sd4s6eCRw7IamqpVi/Ghf5xD3esz02mJRw==" saltValue="ga9netBWsIXeujItlmI66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3.6768002519763941E-2</v>
      </c>
    </row>
    <row r="4" spans="1:8" ht="15.75" customHeight="1" x14ac:dyDescent="0.25">
      <c r="B4" s="19" t="s">
        <v>97</v>
      </c>
      <c r="C4" s="99">
        <v>8.0138679066978954E-2</v>
      </c>
    </row>
    <row r="5" spans="1:8" ht="15.75" customHeight="1" x14ac:dyDescent="0.25">
      <c r="B5" s="19" t="s">
        <v>98</v>
      </c>
      <c r="C5" s="99">
        <v>0.1338084305034315</v>
      </c>
    </row>
    <row r="6" spans="1:8" ht="15.75" customHeight="1" x14ac:dyDescent="0.25">
      <c r="B6" s="19" t="s">
        <v>99</v>
      </c>
      <c r="C6" s="99">
        <v>0.25636246900447218</v>
      </c>
    </row>
    <row r="7" spans="1:8" ht="15.75" customHeight="1" x14ac:dyDescent="0.25">
      <c r="B7" s="19" t="s">
        <v>100</v>
      </c>
      <c r="C7" s="99">
        <v>0.32692926681212559</v>
      </c>
    </row>
    <row r="8" spans="1:8" ht="15.75" customHeight="1" x14ac:dyDescent="0.25">
      <c r="B8" s="19" t="s">
        <v>101</v>
      </c>
      <c r="C8" s="99">
        <v>2.187063857666155E-2</v>
      </c>
    </row>
    <row r="9" spans="1:8" ht="15.75" customHeight="1" x14ac:dyDescent="0.25">
      <c r="B9" s="19" t="s">
        <v>102</v>
      </c>
      <c r="C9" s="99">
        <v>3.8326145942798762E-2</v>
      </c>
    </row>
    <row r="10" spans="1:8" ht="15.75" customHeight="1" x14ac:dyDescent="0.25">
      <c r="B10" s="19" t="s">
        <v>103</v>
      </c>
      <c r="C10" s="99">
        <v>0.1057963675737677</v>
      </c>
    </row>
    <row r="11" spans="1:8" ht="15.75" customHeight="1" x14ac:dyDescent="0.25">
      <c r="B11" s="27" t="s">
        <v>59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0.2096150945805863</v>
      </c>
      <c r="D14" s="55">
        <v>0.2096150945805863</v>
      </c>
      <c r="E14" s="55">
        <v>0.2096150945805863</v>
      </c>
      <c r="F14" s="55">
        <v>0.2096150945805863</v>
      </c>
    </row>
    <row r="15" spans="1:8" ht="15.75" customHeight="1" x14ac:dyDescent="0.25">
      <c r="B15" s="19" t="s">
        <v>106</v>
      </c>
      <c r="C15" s="99">
        <v>0.30290180191756771</v>
      </c>
      <c r="D15" s="99">
        <v>0.30290180191756771</v>
      </c>
      <c r="E15" s="99">
        <v>0.30290180191756771</v>
      </c>
      <c r="F15" s="99">
        <v>0.30290180191756771</v>
      </c>
    </row>
    <row r="16" spans="1:8" ht="15.75" customHeight="1" x14ac:dyDescent="0.25">
      <c r="B16" s="19" t="s">
        <v>107</v>
      </c>
      <c r="C16" s="99">
        <v>4.9506530600581952E-2</v>
      </c>
      <c r="D16" s="99">
        <v>4.9506530600581952E-2</v>
      </c>
      <c r="E16" s="99">
        <v>4.9506530600581952E-2</v>
      </c>
      <c r="F16" s="99">
        <v>4.9506530600581952E-2</v>
      </c>
    </row>
    <row r="17" spans="1:8" ht="15.75" customHeight="1" x14ac:dyDescent="0.25">
      <c r="B17" s="19" t="s">
        <v>108</v>
      </c>
      <c r="C17" s="99">
        <v>4.5077340701437582E-2</v>
      </c>
      <c r="D17" s="99">
        <v>4.5077340701437582E-2</v>
      </c>
      <c r="E17" s="99">
        <v>4.5077340701437582E-2</v>
      </c>
      <c r="F17" s="99">
        <v>4.5077340701437582E-2</v>
      </c>
    </row>
    <row r="18" spans="1:8" ht="15.75" customHeight="1" x14ac:dyDescent="0.25">
      <c r="B18" s="19" t="s">
        <v>109</v>
      </c>
      <c r="C18" s="99">
        <v>0.17951082498897569</v>
      </c>
      <c r="D18" s="99">
        <v>0.17951082498897569</v>
      </c>
      <c r="E18" s="99">
        <v>0.17951082498897569</v>
      </c>
      <c r="F18" s="99">
        <v>0.17951082498897569</v>
      </c>
    </row>
    <row r="19" spans="1:8" ht="15.75" customHeight="1" x14ac:dyDescent="0.25">
      <c r="B19" s="19" t="s">
        <v>110</v>
      </c>
      <c r="C19" s="99">
        <v>1.5499080026813061E-2</v>
      </c>
      <c r="D19" s="99">
        <v>1.5499080026813061E-2</v>
      </c>
      <c r="E19" s="99">
        <v>1.5499080026813061E-2</v>
      </c>
      <c r="F19" s="99">
        <v>1.5499080026813061E-2</v>
      </c>
    </row>
    <row r="20" spans="1:8" ht="15.75" customHeight="1" x14ac:dyDescent="0.25">
      <c r="B20" s="19" t="s">
        <v>111</v>
      </c>
      <c r="C20" s="99">
        <v>9.5918804033508307E-3</v>
      </c>
      <c r="D20" s="99">
        <v>9.5918804033508307E-3</v>
      </c>
      <c r="E20" s="99">
        <v>9.5918804033508307E-3</v>
      </c>
      <c r="F20" s="99">
        <v>9.5918804033508307E-3</v>
      </c>
    </row>
    <row r="21" spans="1:8" ht="15.75" customHeight="1" x14ac:dyDescent="0.25">
      <c r="B21" s="19" t="s">
        <v>112</v>
      </c>
      <c r="C21" s="99">
        <v>3.2982815508519593E-2</v>
      </c>
      <c r="D21" s="99">
        <v>3.2982815508519593E-2</v>
      </c>
      <c r="E21" s="99">
        <v>3.2982815508519593E-2</v>
      </c>
      <c r="F21" s="99">
        <v>3.2982815508519593E-2</v>
      </c>
    </row>
    <row r="22" spans="1:8" ht="15.75" customHeight="1" x14ac:dyDescent="0.25">
      <c r="B22" s="19" t="s">
        <v>113</v>
      </c>
      <c r="C22" s="99">
        <v>0.15531463127216741</v>
      </c>
      <c r="D22" s="99">
        <v>0.15531463127216741</v>
      </c>
      <c r="E22" s="99">
        <v>0.15531463127216741</v>
      </c>
      <c r="F22" s="99">
        <v>0.15531463127216741</v>
      </c>
    </row>
    <row r="23" spans="1:8" ht="15.75" customHeight="1" x14ac:dyDescent="0.25">
      <c r="B23" s="27" t="s">
        <v>59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8.8804052000000008E-2</v>
      </c>
    </row>
    <row r="27" spans="1:8" ht="15.75" customHeight="1" x14ac:dyDescent="0.25">
      <c r="B27" s="19" t="s">
        <v>120</v>
      </c>
      <c r="C27" s="99">
        <v>8.6505729999999999E-3</v>
      </c>
    </row>
    <row r="28" spans="1:8" ht="15.75" customHeight="1" x14ac:dyDescent="0.25">
      <c r="B28" s="19" t="s">
        <v>121</v>
      </c>
      <c r="C28" s="99">
        <v>0.15426393499999999</v>
      </c>
    </row>
    <row r="29" spans="1:8" ht="15.75" customHeight="1" x14ac:dyDescent="0.25">
      <c r="B29" s="19" t="s">
        <v>122</v>
      </c>
      <c r="C29" s="99">
        <v>0.16852035100000001</v>
      </c>
    </row>
    <row r="30" spans="1:8" ht="15.75" customHeight="1" x14ac:dyDescent="0.25">
      <c r="B30" s="19" t="s">
        <v>2</v>
      </c>
      <c r="C30" s="99">
        <v>0.106889969</v>
      </c>
    </row>
    <row r="31" spans="1:8" ht="15.75" customHeight="1" x14ac:dyDescent="0.25">
      <c r="B31" s="19" t="s">
        <v>123</v>
      </c>
      <c r="C31" s="99">
        <v>0.10946104600000001</v>
      </c>
    </row>
    <row r="32" spans="1:8" ht="15.75" customHeight="1" x14ac:dyDescent="0.25">
      <c r="B32" s="19" t="s">
        <v>124</v>
      </c>
      <c r="C32" s="99">
        <v>1.8636323E-2</v>
      </c>
    </row>
    <row r="33" spans="2:3" ht="15.75" customHeight="1" x14ac:dyDescent="0.25">
      <c r="B33" s="19" t="s">
        <v>125</v>
      </c>
      <c r="C33" s="99">
        <v>8.3221009999999998E-2</v>
      </c>
    </row>
    <row r="34" spans="2:3" ht="15.75" customHeight="1" x14ac:dyDescent="0.25">
      <c r="B34" s="19" t="s">
        <v>126</v>
      </c>
      <c r="C34" s="99">
        <v>0.26155274000000001</v>
      </c>
    </row>
    <row r="35" spans="2:3" ht="15.75" customHeight="1" x14ac:dyDescent="0.25">
      <c r="B35" s="27" t="s">
        <v>59</v>
      </c>
      <c r="C35" s="48">
        <f>SUM(C26:C34)</f>
        <v>0.99999999900000014</v>
      </c>
    </row>
  </sheetData>
  <sheetProtection algorithmName="SHA-512" hashValue="+BJda4oNCxhf890oZYMkxiS1kZkwuaB4e6qK8SHKhfSkeSbL9mAHdA34KresJGFE13S4iQ5H/ZkraCfclOLaDQ==" saltValue="RmVL597Tml4I6a5txnwLQ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0.57527704833162918</v>
      </c>
      <c r="D2" s="52">
        <f>IFERROR(1-_xlfn.NORM.DIST(_xlfn.NORM.INV(SUM(D4:D5), 0, 1) + 1, 0, 1, TRUE), "")</f>
        <v>0.57527704833162918</v>
      </c>
      <c r="E2" s="52">
        <f>IFERROR(1-_xlfn.NORM.DIST(_xlfn.NORM.INV(SUM(E4:E5), 0, 1) + 1, 0, 1, TRUE), "")</f>
        <v>0.38657966597483828</v>
      </c>
      <c r="F2" s="52">
        <f>IFERROR(1-_xlfn.NORM.DIST(_xlfn.NORM.INV(SUM(F4:F5), 0, 1) + 1, 0, 1, TRUE), "")</f>
        <v>0.19527089196556247</v>
      </c>
      <c r="G2" s="52">
        <f>IFERROR(1-_xlfn.NORM.DIST(_xlfn.NORM.INV(SUM(G4:G5), 0, 1) + 1, 0, 1, TRUE), "")</f>
        <v>0.21072496537900354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0.30766545166837078</v>
      </c>
      <c r="D3" s="52">
        <f>IFERROR(_xlfn.NORM.DIST(_xlfn.NORM.INV(SUM(D4:D5), 0, 1) + 1, 0, 1, TRUE) - SUM(D4:D5), "")</f>
        <v>0.30766545166837078</v>
      </c>
      <c r="E3" s="52">
        <f>IFERROR(_xlfn.NORM.DIST(_xlfn.NORM.INV(SUM(E4:E5), 0, 1) + 1, 0, 1, TRUE) - SUM(E4:E5), "")</f>
        <v>0.37511213402516169</v>
      </c>
      <c r="F3" s="52">
        <f>IFERROR(_xlfn.NORM.DIST(_xlfn.NORM.INV(SUM(F4:F5), 0, 1) + 1, 0, 1, TRUE) - SUM(F4:F5), "")</f>
        <v>0.36093820803443755</v>
      </c>
      <c r="G3" s="52">
        <f>IFERROR(_xlfn.NORM.DIST(_xlfn.NORM.INV(SUM(G4:G5), 0, 1) + 1, 0, 1, TRUE) - SUM(G4:G5), "")</f>
        <v>0.36700583462099645</v>
      </c>
    </row>
    <row r="4" spans="1:15" ht="15.75" customHeight="1" x14ac:dyDescent="0.25">
      <c r="B4" s="5" t="s">
        <v>132</v>
      </c>
      <c r="C4" s="45">
        <v>6.8478600000000001E-2</v>
      </c>
      <c r="D4" s="53">
        <v>6.8478600000000001E-2</v>
      </c>
      <c r="E4" s="53">
        <v>0.13440060000000001</v>
      </c>
      <c r="F4" s="53">
        <v>0.21662210000000001</v>
      </c>
      <c r="G4" s="53">
        <v>0.21005599999999999</v>
      </c>
    </row>
    <row r="5" spans="1:15" ht="15.75" customHeight="1" x14ac:dyDescent="0.25">
      <c r="B5" s="5" t="s">
        <v>133</v>
      </c>
      <c r="C5" s="45">
        <v>4.8578900000000001E-2</v>
      </c>
      <c r="D5" s="53">
        <v>4.8578900000000001E-2</v>
      </c>
      <c r="E5" s="53">
        <v>0.1039076</v>
      </c>
      <c r="F5" s="53">
        <v>0.2271688</v>
      </c>
      <c r="G5" s="53">
        <v>0.21221319999999999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0.50361624753888468</v>
      </c>
      <c r="D8" s="52">
        <f>IFERROR(1-_xlfn.NORM.DIST(_xlfn.NORM.INV(SUM(D10:D11), 0, 1) + 1, 0, 1, TRUE), "")</f>
        <v>0.50361624753888468</v>
      </c>
      <c r="E8" s="52">
        <f>IFERROR(1-_xlfn.NORM.DIST(_xlfn.NORM.INV(SUM(E10:E11), 0, 1) + 1, 0, 1, TRUE), "")</f>
        <v>0.42929325636114668</v>
      </c>
      <c r="F8" s="52">
        <f>IFERROR(1-_xlfn.NORM.DIST(_xlfn.NORM.INV(SUM(F10:F11), 0, 1) + 1, 0, 1, TRUE), "")</f>
        <v>0.45047069846182375</v>
      </c>
      <c r="G8" s="52">
        <f>IFERROR(1-_xlfn.NORM.DIST(_xlfn.NORM.INV(SUM(G10:G11), 0, 1) + 1, 0, 1, TRUE), "")</f>
        <v>0.58276678308832131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0.33991195246111533</v>
      </c>
      <c r="D9" s="52">
        <f>IFERROR(_xlfn.NORM.DIST(_xlfn.NORM.INV(SUM(D10:D11), 0, 1) + 1, 0, 1, TRUE) - SUM(D10:D11), "")</f>
        <v>0.33991195246111533</v>
      </c>
      <c r="E9" s="52">
        <f>IFERROR(_xlfn.NORM.DIST(_xlfn.NORM.INV(SUM(E10:E11), 0, 1) + 1, 0, 1, TRUE) - SUM(E10:E11), "")</f>
        <v>0.36511884363885333</v>
      </c>
      <c r="F9" s="52">
        <f>IFERROR(_xlfn.NORM.DIST(_xlfn.NORM.INV(SUM(F10:F11), 0, 1) + 1, 0, 1, TRUE) - SUM(F10:F11), "")</f>
        <v>0.35888590153817623</v>
      </c>
      <c r="G9" s="52">
        <f>IFERROR(_xlfn.NORM.DIST(_xlfn.NORM.INV(SUM(G10:G11), 0, 1) + 1, 0, 1, TRUE) - SUM(G10:G11), "")</f>
        <v>0.30389731691167871</v>
      </c>
    </row>
    <row r="10" spans="1:15" ht="15.75" customHeight="1" x14ac:dyDescent="0.25">
      <c r="B10" s="5" t="s">
        <v>137</v>
      </c>
      <c r="C10" s="45">
        <v>9.5934500000000006E-2</v>
      </c>
      <c r="D10" s="53">
        <v>9.5934500000000006E-2</v>
      </c>
      <c r="E10" s="53">
        <v>0.128469</v>
      </c>
      <c r="F10" s="53">
        <v>0.12639329999999999</v>
      </c>
      <c r="G10" s="53">
        <v>8.0671499999999993E-2</v>
      </c>
    </row>
    <row r="11" spans="1:15" ht="15.75" customHeight="1" x14ac:dyDescent="0.25">
      <c r="B11" s="5" t="s">
        <v>138</v>
      </c>
      <c r="C11" s="45">
        <v>6.0537300000000002E-2</v>
      </c>
      <c r="D11" s="53">
        <v>6.0537300000000002E-2</v>
      </c>
      <c r="E11" s="53">
        <v>7.7118900000000004E-2</v>
      </c>
      <c r="F11" s="53">
        <v>6.4250100000000004E-2</v>
      </c>
      <c r="G11" s="53">
        <v>3.2664400000000003E-2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0.73521598700000002</v>
      </c>
      <c r="D14" s="54">
        <v>0.72018264867199999</v>
      </c>
      <c r="E14" s="54">
        <v>0.72018264867199999</v>
      </c>
      <c r="F14" s="54">
        <v>0.82913690597400003</v>
      </c>
      <c r="G14" s="54">
        <v>0.82913690597400003</v>
      </c>
      <c r="H14" s="45">
        <v>0.52100000000000002</v>
      </c>
      <c r="I14" s="55">
        <v>0.52100000000000002</v>
      </c>
      <c r="J14" s="55">
        <v>0.52100000000000002</v>
      </c>
      <c r="K14" s="55">
        <v>0.52100000000000002</v>
      </c>
      <c r="L14" s="45">
        <v>0.47099999999999992</v>
      </c>
      <c r="M14" s="55">
        <v>0.47099999999999992</v>
      </c>
      <c r="N14" s="55">
        <v>0.47099999999999992</v>
      </c>
      <c r="O14" s="55">
        <v>0.47099999999999992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0.31991526763929701</v>
      </c>
      <c r="D15" s="52">
        <f t="shared" si="0"/>
        <v>0.313373796099296</v>
      </c>
      <c r="E15" s="52">
        <f t="shared" si="0"/>
        <v>0.313373796099296</v>
      </c>
      <c r="F15" s="52">
        <f t="shared" si="0"/>
        <v>0.3607831710333726</v>
      </c>
      <c r="G15" s="52">
        <f t="shared" si="0"/>
        <v>0.3607831710333726</v>
      </c>
      <c r="H15" s="52">
        <f t="shared" si="0"/>
        <v>0.22670325099999999</v>
      </c>
      <c r="I15" s="52">
        <f t="shared" si="0"/>
        <v>0.22670325099999999</v>
      </c>
      <c r="J15" s="52">
        <f t="shared" si="0"/>
        <v>0.22670325099999999</v>
      </c>
      <c r="K15" s="52">
        <f t="shared" si="0"/>
        <v>0.22670325099999999</v>
      </c>
      <c r="L15" s="52">
        <f t="shared" si="0"/>
        <v>0.20494670099999995</v>
      </c>
      <c r="M15" s="52">
        <f t="shared" si="0"/>
        <v>0.20494670099999995</v>
      </c>
      <c r="N15" s="52">
        <f t="shared" si="0"/>
        <v>0.20494670099999995</v>
      </c>
      <c r="O15" s="52">
        <f t="shared" si="0"/>
        <v>0.20494670099999995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WB4bzTeRsYC4HaFw+iPoEt+zAHUsJRxlknfN/oUjhU7n+PfmfyUCm1husN1ZrEx1RWWIuB5lYcXdZ93bByJLLA==" saltValue="ukHsxxkTITXjiIdcUX5sM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0.22203829999999999</v>
      </c>
      <c r="D2" s="53">
        <v>0.16409360000000001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0.5179011</v>
      </c>
      <c r="D3" s="53">
        <v>0.40324939999999998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0.24761810000000001</v>
      </c>
      <c r="D4" s="53">
        <v>0.4201106</v>
      </c>
      <c r="E4" s="53">
        <v>0.96840000000000004</v>
      </c>
      <c r="F4" s="53">
        <v>0.72719300000000009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1.2442499999999912E-2</v>
      </c>
      <c r="D5" s="52">
        <f t="shared" si="0"/>
        <v>1.2546400000000069E-2</v>
      </c>
      <c r="E5" s="52">
        <f>1-SUM(E2:E4)</f>
        <v>3.1599999999999961E-2</v>
      </c>
      <c r="F5" s="52">
        <f>1-SUM(F2:F4)</f>
        <v>0.27280699999999991</v>
      </c>
      <c r="G5" s="52">
        <f>1-SUM(G2:G4)</f>
        <v>1</v>
      </c>
    </row>
  </sheetData>
  <sheetProtection algorithmName="SHA-512" hashValue="xJwek6e7MfYeT90PXhTFELSW5ovYz8Wpw26t/5e7/Lay7ZdeneCLggg+AZ+pjkKOBzfSRKAMvr4/YtrjJQciQA==" saltValue="foINRX7D57yIon3lHyt57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vrBWrcGmPMAP8Gjn99cGdcYHaAPLey0bAPUgngCdndfd3PLeibB9uEEu+Zo6VQdDIvyuCyv6ZRJwkUMGKuJ64Q==" saltValue="CXOibFSsSOdBgeWB/I+DG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716.80438113458399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0.42011999999999999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0.48591000000000001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2.125413157488756E-2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88505.869200000001</v>
      </c>
      <c r="C22" s="107">
        <v>87162.076719999997</v>
      </c>
      <c r="D22" s="107">
        <v>86236.432509999999</v>
      </c>
      <c r="E22" s="107">
        <v>85581.110960000005</v>
      </c>
      <c r="F22" s="107">
        <v>84708.148530000006</v>
      </c>
      <c r="G22" s="107">
        <v>83616.629799999995</v>
      </c>
      <c r="H22" s="107">
        <v>82211.269050000003</v>
      </c>
      <c r="I22" s="107">
        <v>80347.487500000003</v>
      </c>
      <c r="J22" s="107">
        <v>77800.511880000005</v>
      </c>
      <c r="K22" s="107">
        <v>74536.829140000002</v>
      </c>
      <c r="L22" s="107">
        <v>70063.977740000002</v>
      </c>
      <c r="M22" s="107">
        <v>64300.852700000003</v>
      </c>
      <c r="N22" s="107">
        <v>56534.872080000001</v>
      </c>
      <c r="O22" s="107">
        <v>47041.988980000002</v>
      </c>
    </row>
  </sheetData>
  <sheetProtection algorithmName="SHA-512" hashValue="6s90IHsidkI7+z4dX31bMzihWOsCeWBfRlPuoPPlCkixGXZpc0QAW0IEMlRODNreQlZ4rZUkm71hmqeNwpS9cA==" saltValue="wVcjF7o2nERuj0CcRrG2B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bmJvDyNvZ2uezw+D+Sysc8UvcJZCjd4MHjD1wrI2KLhIgogDj/lU33/c8Bb6wMHBy1eu/sLdeFarFKsZnBsAFw==" saltValue="rmqdy2WI1rcz612XDXbMz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16zlW3jtEVl0mgy1onZDBIaq0gasyggueEfWwDPqiOeRbMjKJdP9GnB4cdQhtKvVVe6l6SbLfQktlsUSRqOrGg==" saltValue="ktvHZbP1rv4BKl+GG+Gmp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18.025735670419653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18.025735670419653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4.1560552700311737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0.11773527677142136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0.2139553248340432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0.5</v>
      </c>
      <c r="C8" s="96">
        <v>0.95</v>
      </c>
      <c r="D8" s="56">
        <v>0.78848199824391296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0.23003335421429147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0.1104295</v>
      </c>
      <c r="C10" s="96">
        <v>0.95</v>
      </c>
      <c r="D10" s="56">
        <v>15.0449415094118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15.0449415094118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15.0449415094118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15.0449415094118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0.1104295</v>
      </c>
      <c r="C14" s="96">
        <v>0.95</v>
      </c>
      <c r="D14" s="56">
        <v>15.0449415094118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15.0449415094118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0.5599459</v>
      </c>
      <c r="C16" s="96">
        <v>0.95</v>
      </c>
      <c r="D16" s="56">
        <v>3.414323026371219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</v>
      </c>
      <c r="C17" s="96">
        <v>0.95</v>
      </c>
      <c r="D17" s="56">
        <v>0.35500000000000004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0.19400000000000001</v>
      </c>
      <c r="C18" s="96">
        <v>0.95</v>
      </c>
      <c r="D18" s="56">
        <v>4.1560552700311737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0.16409360000000001</v>
      </c>
      <c r="C19" s="96">
        <v>0.95</v>
      </c>
      <c r="D19" s="56">
        <v>4.1559126023027169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4.4974875726682955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4.1560552700311737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0.65777940000000001</v>
      </c>
      <c r="C23" s="96">
        <v>0.95</v>
      </c>
      <c r="D23" s="56">
        <v>4.9287239443093789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0.19459071543420001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0.1104295</v>
      </c>
      <c r="C26" s="96">
        <v>0.95</v>
      </c>
      <c r="D26" s="56">
        <v>2.448893756845564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13.457928721749347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0.17447260000000001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0.23353189999999999</v>
      </c>
      <c r="C29" s="96">
        <v>0.95</v>
      </c>
      <c r="D29" s="56">
        <v>58.241642049834397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15.705885921307608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0.18290000000000001</v>
      </c>
      <c r="C31" s="96">
        <v>0.95</v>
      </c>
      <c r="D31" s="56">
        <v>153.821139101862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0.91</v>
      </c>
      <c r="C32" s="96">
        <v>0.95</v>
      </c>
      <c r="D32" s="56">
        <v>0.24724408121998481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0.26200469999999998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0.13487759999999999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7.6780000000000001E-4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0.16786129999999999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5.0000000000000001E-3</v>
      </c>
      <c r="C38" s="96">
        <v>0.95</v>
      </c>
      <c r="D38" s="56">
        <v>4.0706758054007581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3.4125000000000001</v>
      </c>
      <c r="E39" s="56" t="s">
        <v>230</v>
      </c>
      <c r="F39" s="96">
        <v>1</v>
      </c>
      <c r="G39" s="96">
        <v>1</v>
      </c>
    </row>
  </sheetData>
  <sheetProtection algorithmName="SHA-512" hashValue="iVlGfh/Le1Rh4E5giztA2YkxxMntvZQJibwapKdU4UzQZyHHFDn7fNnHVm1HX1OHNVFAHeg3wQXcYr+BwTi9Mg==" saltValue="jAHo/ht8U2aFx0pPcrqxQ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QWJXZVA/S+fSkl6P6qyorgGrxdD+TvhVCew0eCt4xUHDI/QKJEvLhES91GmseF2VFA7FeUrUBhcPfW23HRbVgw==" saltValue="LVDZLfF91VnVqfYQuS2Hi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BHNpthf7I5XaU82gCQOHQ9pWKg0MtH8Kmu4L1UgFWQcZBWCeYywXjkLakOzAfC0Ijl+0bYouyvyWV60dRVl3SA==" saltValue="/G2z7YbAV+CbmH4gejg0D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5.4080000000000004</v>
      </c>
      <c r="C2" s="21">
        <f>'Données pop de l''année de ref'!C52</f>
        <v>5.4080000000000004</v>
      </c>
      <c r="D2" s="21">
        <f>'Données pop de l''année de ref'!C53</f>
        <v>9.23</v>
      </c>
      <c r="E2" s="21">
        <f>'Données pop de l''année de ref'!C54</f>
        <v>8.6839999999999993</v>
      </c>
      <c r="F2" s="21">
        <f>'Données pop de l''année de ref'!C55</f>
        <v>4.3766666666666669</v>
      </c>
    </row>
    <row r="3" spans="1:6" ht="15.75" customHeight="1" x14ac:dyDescent="0.25">
      <c r="A3" s="3" t="s">
        <v>238</v>
      </c>
      <c r="B3" s="21">
        <f>frac_mam_1month * 2.6</f>
        <v>0.24942970000000003</v>
      </c>
      <c r="C3" s="21">
        <f>frac_mam_1_5months * 2.6</f>
        <v>0.24942970000000003</v>
      </c>
      <c r="D3" s="21">
        <f>frac_mam_6_11months * 2.6</f>
        <v>0.33401940000000002</v>
      </c>
      <c r="E3" s="21">
        <f>frac_mam_12_23months * 2.6</f>
        <v>0.32862258</v>
      </c>
      <c r="F3" s="21">
        <f>frac_mam_24_59months * 2.6</f>
        <v>0.20974589999999999</v>
      </c>
    </row>
    <row r="4" spans="1:6" ht="15.75" customHeight="1" x14ac:dyDescent="0.25">
      <c r="A4" s="3" t="s">
        <v>237</v>
      </c>
      <c r="B4" s="21">
        <f>frac_sam_1month * 2.6</f>
        <v>0.15739698000000002</v>
      </c>
      <c r="C4" s="21">
        <f>frac_sam_1_5months * 2.6</f>
        <v>0.15739698000000002</v>
      </c>
      <c r="D4" s="21">
        <f>frac_sam_6_11months * 2.6</f>
        <v>0.20050914000000003</v>
      </c>
      <c r="E4" s="21">
        <f>frac_sam_12_23months * 2.6</f>
        <v>0.16705026000000001</v>
      </c>
      <c r="F4" s="21">
        <f>frac_sam_24_59months * 2.6</f>
        <v>8.4927440000000007E-2</v>
      </c>
    </row>
  </sheetData>
  <sheetProtection algorithmName="SHA-512" hashValue="KCX+pOGS/HUg0Zzeeiksa9I0jqwde29eO/9lebWUskQ3e9afiwcYxD3WsG9swsCG+ghTk+X8z1CtNXwqD1JPlQ==" saltValue="Co99HGEqrAH2wr6omeP6x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0.67900000000000005</v>
      </c>
      <c r="F2" s="60">
        <f>food_insecure</f>
        <v>0.67900000000000005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0.67900000000000005</v>
      </c>
      <c r="F5" s="60">
        <f>food_insecure</f>
        <v>0.67900000000000005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0.11799272727272729</v>
      </c>
      <c r="D7" s="60">
        <f>diarrhoea_1_5mo*frac_diarrhea_severe</f>
        <v>0.11799272727272729</v>
      </c>
      <c r="E7" s="60">
        <f>diarrhoea_6_11mo*frac_diarrhea_severe</f>
        <v>0.20138181818181822</v>
      </c>
      <c r="F7" s="60">
        <f>diarrhoea_12_23mo*frac_diarrhea_severe</f>
        <v>0.18946909090909092</v>
      </c>
      <c r="G7" s="60">
        <f>diarrhoea_24_59mo*frac_diarrhea_severe</f>
        <v>9.5490909090909099E-2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0.67900000000000005</v>
      </c>
      <c r="F8" s="60">
        <f>food_insecure</f>
        <v>0.67900000000000005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0.67900000000000005</v>
      </c>
      <c r="F9" s="60">
        <f>food_insecure</f>
        <v>0.67900000000000005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0.11799272727272729</v>
      </c>
      <c r="D12" s="60">
        <f>diarrhoea_1_5mo*frac_diarrhea_severe</f>
        <v>0.11799272727272729</v>
      </c>
      <c r="E12" s="60">
        <f>diarrhoea_6_11mo*frac_diarrhea_severe</f>
        <v>0.20138181818181822</v>
      </c>
      <c r="F12" s="60">
        <f>diarrhoea_12_23mo*frac_diarrhea_severe</f>
        <v>0.18946909090909092</v>
      </c>
      <c r="G12" s="60">
        <f>diarrhoea_24_59mo*frac_diarrhea_severe</f>
        <v>9.5490909090909099E-2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0.67900000000000005</v>
      </c>
      <c r="I15" s="60">
        <f t="shared" si="0"/>
        <v>0.67900000000000005</v>
      </c>
      <c r="J15" s="60">
        <f t="shared" si="0"/>
        <v>0.67900000000000005</v>
      </c>
      <c r="K15" s="60">
        <f t="shared" si="0"/>
        <v>0.67900000000000005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0.67900000000000005</v>
      </c>
      <c r="I16" s="60">
        <f t="shared" si="0"/>
        <v>0.67900000000000005</v>
      </c>
      <c r="J16" s="60">
        <f t="shared" si="0"/>
        <v>0.67900000000000005</v>
      </c>
      <c r="K16" s="60">
        <f t="shared" si="0"/>
        <v>0.67900000000000005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0.86</v>
      </c>
      <c r="I19" s="60">
        <f>frac_malaria_risk</f>
        <v>0.86</v>
      </c>
      <c r="J19" s="60">
        <f>frac_malaria_risk</f>
        <v>0.86</v>
      </c>
      <c r="K19" s="60">
        <f>frac_malaria_risk</f>
        <v>0.86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0.82499999999999996</v>
      </c>
      <c r="M24" s="60">
        <f>famplan_unmet_need</f>
        <v>0.82499999999999996</v>
      </c>
      <c r="N24" s="60">
        <f>famplan_unmet_need</f>
        <v>0.82499999999999996</v>
      </c>
      <c r="O24" s="60">
        <f>famplan_unmet_need</f>
        <v>0.82499999999999996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0.55682488547699993</v>
      </c>
      <c r="M25" s="60">
        <f>(1-food_insecure)*(0.49)+food_insecure*(0.7)</f>
        <v>0.63258999999999999</v>
      </c>
      <c r="N25" s="60">
        <f>(1-food_insecure)*(0.49)+food_insecure*(0.7)</f>
        <v>0.63258999999999999</v>
      </c>
      <c r="O25" s="60">
        <f>(1-food_insecure)*(0.49)+food_insecure*(0.7)</f>
        <v>0.63258999999999999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0.23863923663300002</v>
      </c>
      <c r="M26" s="60">
        <f>(1-food_insecure)*(0.21)+food_insecure*(0.3)</f>
        <v>0.27111000000000002</v>
      </c>
      <c r="N26" s="60">
        <f>(1-food_insecure)*(0.21)+food_insecure*(0.3)</f>
        <v>0.27111000000000002</v>
      </c>
      <c r="O26" s="60">
        <f>(1-food_insecure)*(0.21)+food_insecure*(0.3)</f>
        <v>0.27111000000000002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8.4766177889999988E-2</v>
      </c>
      <c r="M27" s="60">
        <f>(1-food_insecure)*(0.3)</f>
        <v>9.6299999999999983E-2</v>
      </c>
      <c r="N27" s="60">
        <f>(1-food_insecure)*(0.3)</f>
        <v>9.6299999999999983E-2</v>
      </c>
      <c r="O27" s="60">
        <f>(1-food_insecure)*(0.3)</f>
        <v>9.6299999999999983E-2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0.11976970000000001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0.86</v>
      </c>
      <c r="D34" s="60">
        <f t="shared" si="4"/>
        <v>0.86</v>
      </c>
      <c r="E34" s="60">
        <f t="shared" si="4"/>
        <v>0.86</v>
      </c>
      <c r="F34" s="60">
        <f t="shared" si="4"/>
        <v>0.86</v>
      </c>
      <c r="G34" s="60">
        <f t="shared" si="4"/>
        <v>0.86</v>
      </c>
      <c r="H34" s="60">
        <f t="shared" si="4"/>
        <v>0.86</v>
      </c>
      <c r="I34" s="60">
        <f t="shared" si="4"/>
        <v>0.86</v>
      </c>
      <c r="J34" s="60">
        <f t="shared" si="4"/>
        <v>0.86</v>
      </c>
      <c r="K34" s="60">
        <f t="shared" si="4"/>
        <v>0.86</v>
      </c>
      <c r="L34" s="60">
        <f t="shared" si="4"/>
        <v>0.86</v>
      </c>
      <c r="M34" s="60">
        <f t="shared" si="4"/>
        <v>0.86</v>
      </c>
      <c r="N34" s="60">
        <f t="shared" si="4"/>
        <v>0.86</v>
      </c>
      <c r="O34" s="60">
        <f t="shared" si="4"/>
        <v>0.86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5C7aD7JhPGwjaJ+o6R5bgwwVBqcedWDCio1iVNvIPMO5AZAkFzt6Qh3Wo13qXC68fxMH/011Y9HXyXJc6xEFNA==" saltValue="pf+Bb4V24hve3QcTCLS84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ZT+WcV5Mv2wM1VTKrFBLUOyHUblfalRhZIlWQOw9lOynzgCBdL/cTPrdyFDp/lujIBJtiBZUVDhDXSliy0TV1A==" saltValue="ZmkmvUuhupXZn1HapaKGj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znN+djmz3zrTBrbJtOIdV56nlvFwe94Von0AHL/i4Z3DjpFFrxyQhWs9Lr0EH7Przu1zOL1YKJSFKIODup69NA==" saltValue="3R6y7Ua2DqYrfg/ZuOD0K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HNm07fQbzjOFtB4tpF5qFAYExlpwzjevQ3hSptm6Kw2eCxgtD6LeVkBcHeRhsFCb/z0DOBLLGwv/TkfZrk79hQ==" saltValue="H5SLbV50NFa1qQDL7f/E/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+IabEeFeVkitFiSFROGE8eLkD9undAqfIG64f31IJjLAjTW5FCkdUr5o93lSEKO65ep61RMw6m+DN1Snm6KKow==" saltValue="W6x2dsGpTXBwEstGTo7NX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gcJ8N9TGDwAHF67/3qdLtpvZUeWQPkG7hLuPdhEtXs4Xyj+I7sQXBjJnlnGyHdFsLOc3pzL+QCJUGvLhaeBQtA==" saltValue="G7UwkGHJkl42MMtXOmz4+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YKmFC9TmTpZtbL1u3ZMCEHLSMcSRfCSpO/R2JlNxaG/BCOUNH3mRSUoHWmhKNsOlB0yXAg1WxC43v2SwortJ3Q==" saltValue="raUopinptlH9vU7AcuUMEQ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BSyFCUH8xOv5X7JMO0dvRdcur3Ev6pgOtBm7sPqtcSp772HXeoY3sLxLPRRo4ampBK6L5bq2lxLAX0ESzw8jDA==" saltValue="cyZRyu+HBY6U+HAeUV5e7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4gZzkXqNLrsKUAgxw7v9oin+F/1dT3L3nrd7RTGql0lRbdDBKbAwlXnpknfzmsn90JJpfUDKwLUZch4DDvv/ow==" saltValue="l+ckI2ZT223bDpyDzK3so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CVWZQcQkWRQEt2l+JEqF26+150nYMN5z9QI5NbtY9yN66llFsj8E5mA8YZHpjdM5hHHpy8S/LAew5JRfxsJAAw==" saltValue="O4Hp+zSFIE65+QjjS/xi+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FDD/trT2gLDFaoG+MDhrwrkq+WI61f/rs6qWcrbpgcMKBEJSrF27dI6WsfSWWDZ0cQlUnAHl0cEK/L1BiR6Ruw==" saltValue="lH+PRWaV5/FI0qcG3/jUA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stMCFSpVKJ0utkfn0ajaYMxCyw3DjKdITSbx4jhy+TNwua5RTWExTS/rDxKwF98TbtTFn63nkH/v8M3+NSl3Vw==" saltValue="Q4hR3CluCDJ7geJ6o3y/d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8sW6yKAW6GXtu5HkQo4aHSNk/sy1+Xa5um50HakI76OYCic5COyhUH1hAUeAbyCvv2cYKqzf/aEIbZGLz49+wA==" saltValue="QBS3BfSrdCWqxsE4gAuVa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PF3utnHdsyLfQsK71XiAE8RTBDjNS3R+OUMMMnMJrOQYkxikdEbeUrdW3/kgJ/eJMUf/rV/9QHkLXm4AC/Iq+Q==" saltValue="gC5TYOMLva3pi0IEGhfMO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UtzZV9iiI6uO0yjmkh8o/Voe+Lpxy/qn6vznP01ylta2h3yFdZ7887s7/NlmBGnoxgTUQUO/gDf+I6sni9V/w==" saltValue="i/x93LnS/36SyNOJLYsCZ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2026-04-29T07:23:59Z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