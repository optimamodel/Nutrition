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70A90E8-549C-470E-9AF3-210D74AB30DE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I38" i="2" s="1"/>
  <c r="A34" i="2"/>
  <c r="A26" i="2"/>
  <c r="A25" i="2"/>
  <c r="A23" i="2"/>
  <c r="A18" i="2"/>
  <c r="A17" i="2"/>
  <c r="A15" i="2"/>
  <c r="H13" i="2"/>
  <c r="I13" i="2" s="1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I5" i="2" l="1"/>
  <c r="I9" i="2"/>
  <c r="A31" i="2"/>
  <c r="A16" i="2"/>
  <c r="A24" i="2"/>
  <c r="A32" i="2"/>
  <c r="A33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<sst xmlns="http://schemas.openxmlformats.org/spreadsheetml/2006/main" count="2101" uniqueCount="337">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</sst>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3482182.625</v>
      </c>
    </row>
    <row r="8" spans="1:3" ht="15" customHeight="1" x14ac:dyDescent="0.25">
      <c r="B8" s="5" t="s">
        <v>19</v>
      </c>
      <c r="C8" s="44">
        <v>0.38400000000000001</v>
      </c>
    </row>
    <row r="9" spans="1:3" ht="15" customHeight="1" x14ac:dyDescent="0.25">
      <c r="B9" s="5" t="s">
        <v>20</v>
      </c>
      <c r="C9" s="45">
        <v>0.86</v>
      </c>
    </row>
    <row r="10" spans="1:3" ht="15" customHeight="1" x14ac:dyDescent="0.25">
      <c r="B10" s="5" t="s">
        <v>21</v>
      </c>
      <c r="C10" s="45">
        <v>0.12396960258483899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0.1394</v>
      </c>
    </row>
    <row r="24" spans="1:3" ht="15" customHeight="1" x14ac:dyDescent="0.25">
      <c r="B24" s="15" t="s">
        <v>33</v>
      </c>
      <c r="C24" s="45">
        <v>0.44390000000000002</v>
      </c>
    </row>
    <row r="25" spans="1:3" ht="15" customHeight="1" x14ac:dyDescent="0.25">
      <c r="B25" s="15" t="s">
        <v>34</v>
      </c>
      <c r="C25" s="45">
        <v>0.33229999999999998</v>
      </c>
    </row>
    <row r="26" spans="1:3" ht="15" customHeight="1" x14ac:dyDescent="0.25">
      <c r="B26" s="15" t="s">
        <v>35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0.15293756430852301</v>
      </c>
    </row>
    <row r="30" spans="1:3" ht="14.25" customHeight="1" x14ac:dyDescent="0.25">
      <c r="B30" s="25" t="s">
        <v>38</v>
      </c>
      <c r="C30" s="99">
        <v>9.4746756690583189E-2</v>
      </c>
    </row>
    <row r="31" spans="1:3" ht="14.25" customHeight="1" x14ac:dyDescent="0.25">
      <c r="B31" s="25" t="s">
        <v>39</v>
      </c>
      <c r="C31" s="99">
        <v>0.160927169095259</v>
      </c>
    </row>
    <row r="32" spans="1:3" ht="14.25" customHeight="1" x14ac:dyDescent="0.25">
      <c r="B32" s="25" t="s">
        <v>40</v>
      </c>
      <c r="C32" s="99">
        <v>0.59138850990563396</v>
      </c>
    </row>
    <row r="33" spans="1:5" ht="13" customHeight="1" x14ac:dyDescent="0.25">
      <c r="B33" s="27" t="s">
        <v>41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32.347020000000001</v>
      </c>
    </row>
    <row r="38" spans="1:5" ht="15" customHeight="1" x14ac:dyDescent="0.25">
      <c r="B38" s="11" t="s">
        <v>45</v>
      </c>
      <c r="C38" s="43">
        <v>66.049419999999998</v>
      </c>
      <c r="D38" s="12"/>
      <c r="E38" s="13"/>
    </row>
    <row r="39" spans="1:5" ht="15" customHeight="1" x14ac:dyDescent="0.25">
      <c r="B39" s="11" t="s">
        <v>46</v>
      </c>
      <c r="C39" s="43">
        <v>107.06547999999999</v>
      </c>
      <c r="D39" s="12"/>
      <c r="E39" s="12"/>
    </row>
    <row r="40" spans="1:5" ht="15" customHeight="1" x14ac:dyDescent="0.25">
      <c r="B40" s="11" t="s">
        <v>47</v>
      </c>
      <c r="C40" s="100">
        <v>10.63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7.9279999999999993E-3</v>
      </c>
      <c r="D45" s="12"/>
    </row>
    <row r="46" spans="1:5" ht="15.75" customHeight="1" x14ac:dyDescent="0.25">
      <c r="B46" s="11" t="s">
        <v>52</v>
      </c>
      <c r="C46" s="45">
        <v>8.5185700000000003E-2</v>
      </c>
      <c r="D46" s="12"/>
    </row>
    <row r="47" spans="1:5" ht="15.75" customHeight="1" x14ac:dyDescent="0.25">
      <c r="B47" s="11" t="s">
        <v>53</v>
      </c>
      <c r="C47" s="45">
        <v>7.3461200000000004E-2</v>
      </c>
      <c r="D47" s="12"/>
      <c r="E47" s="13"/>
    </row>
    <row r="48" spans="1:5" ht="15" customHeight="1" x14ac:dyDescent="0.25">
      <c r="B48" s="11" t="s">
        <v>54</v>
      </c>
      <c r="C48" s="46">
        <v>0.83342510000000003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0.43513099999999999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4MXVCGugW2BZNrkq8qVyn3Z9+8l4L8QMx3zLGlmQSnbNZcGroHy9/EsoiRG7Q9M+H1mMbvoBPbSmyYQmZ4xpLw==" saltValue="Y3gfRs0adXGUepqGgcFc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794344</v>
      </c>
      <c r="C2" s="49">
        <v>1248775.5</v>
      </c>
      <c r="D2" s="49">
        <v>1507659</v>
      </c>
      <c r="E2" s="49">
        <v>1005520</v>
      </c>
      <c r="F2" s="49">
        <v>595335</v>
      </c>
      <c r="G2" s="17">
        <f t="shared" ref="G2:G13" si="0">C2+D2+E2+F2</f>
        <v>4357289.5</v>
      </c>
      <c r="H2" s="17">
        <f t="shared" ref="H2:H13" si="1">(B2 + stillbirth*B2/(1000-stillbirth))/(1-abortion)</f>
        <v>926073.3158533019</v>
      </c>
      <c r="I2" s="17">
        <f t="shared" ref="I2:I13" si="2">G2-H2</f>
        <v>3431216.1841466981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808202</v>
      </c>
      <c r="C3" s="50">
        <v>1292760</v>
      </c>
      <c r="D3" s="50">
        <v>1563546.5</v>
      </c>
      <c r="E3" s="50">
        <v>1038670</v>
      </c>
      <c r="F3" s="50">
        <v>612062.99999999988</v>
      </c>
      <c r="G3" s="17">
        <f t="shared" si="0"/>
        <v>4507039.5</v>
      </c>
      <c r="H3" s="17">
        <f t="shared" si="1"/>
        <v>942229.44469810359</v>
      </c>
      <c r="I3" s="17">
        <f t="shared" si="2"/>
        <v>3564810.0553018963</v>
      </c>
    </row>
    <row r="4" spans="1:9" ht="15.75" customHeight="1" x14ac:dyDescent="0.25">
      <c r="A4" s="5">
        <f t="shared" si="3"/>
        <v>2026</v>
      </c>
      <c r="B4" s="49">
        <v>821405</v>
      </c>
      <c r="C4" s="50">
        <v>1336974</v>
      </c>
      <c r="D4" s="50">
        <v>1620184.5</v>
      </c>
      <c r="E4" s="50">
        <v>1077588.5</v>
      </c>
      <c r="F4" s="50">
        <v>628111.5</v>
      </c>
      <c r="G4" s="17">
        <f t="shared" si="0"/>
        <v>4662858.5</v>
      </c>
      <c r="H4" s="17">
        <f t="shared" si="1"/>
        <v>957621.95221274591</v>
      </c>
      <c r="I4" s="17">
        <f t="shared" si="2"/>
        <v>3705236.5477872542</v>
      </c>
    </row>
    <row r="5" spans="1:9" ht="15.75" customHeight="1" x14ac:dyDescent="0.25">
      <c r="A5" s="5">
        <f t="shared" si="3"/>
        <v>2027</v>
      </c>
      <c r="B5" s="49">
        <v>837331</v>
      </c>
      <c r="C5" s="50">
        <v>1381822.5</v>
      </c>
      <c r="D5" s="50">
        <v>1677391</v>
      </c>
      <c r="E5" s="50">
        <v>1118945.5</v>
      </c>
      <c r="F5" s="50">
        <v>643147</v>
      </c>
      <c r="G5" s="17">
        <f t="shared" si="0"/>
        <v>4821306</v>
      </c>
      <c r="H5" s="17">
        <f t="shared" si="1"/>
        <v>976189.02595948498</v>
      </c>
      <c r="I5" s="17">
        <f t="shared" si="2"/>
        <v>3845116.9740405148</v>
      </c>
    </row>
    <row r="6" spans="1:9" ht="15.75" customHeight="1" x14ac:dyDescent="0.25">
      <c r="A6" s="5">
        <f t="shared" si="3"/>
        <v>2028</v>
      </c>
      <c r="B6" s="49">
        <v>850444</v>
      </c>
      <c r="C6" s="50">
        <v>1427303.5</v>
      </c>
      <c r="D6" s="50">
        <v>1737004.5</v>
      </c>
      <c r="E6" s="50">
        <v>1159709.5</v>
      </c>
      <c r="F6" s="50">
        <v>660210.5</v>
      </c>
      <c r="G6" s="17">
        <f t="shared" si="0"/>
        <v>4984228</v>
      </c>
      <c r="H6" s="17">
        <f t="shared" si="1"/>
        <v>991476.60840586142</v>
      </c>
      <c r="I6" s="17">
        <f t="shared" si="2"/>
        <v>3992751.3915941385</v>
      </c>
    </row>
    <row r="7" spans="1:9" ht="15.75" customHeight="1" x14ac:dyDescent="0.25">
      <c r="A7" s="5">
        <f t="shared" si="3"/>
        <v>2029</v>
      </c>
      <c r="B7" s="49">
        <v>863892</v>
      </c>
      <c r="C7" s="50">
        <v>1473279.5</v>
      </c>
      <c r="D7" s="50">
        <v>1798851</v>
      </c>
      <c r="E7" s="50">
        <v>1200619</v>
      </c>
      <c r="F7" s="50">
        <v>680407.5</v>
      </c>
      <c r="G7" s="17">
        <f t="shared" si="0"/>
        <v>5153157</v>
      </c>
      <c r="H7" s="17">
        <f t="shared" si="1"/>
        <v>1007154.745273006</v>
      </c>
      <c r="I7" s="17">
        <f t="shared" si="2"/>
        <v>4146002.2547269939</v>
      </c>
    </row>
    <row r="8" spans="1:9" ht="15.75" customHeight="1" x14ac:dyDescent="0.25">
      <c r="A8" s="5">
        <f t="shared" si="3"/>
        <v>2030</v>
      </c>
      <c r="B8" s="49">
        <v>881686</v>
      </c>
      <c r="C8" s="50">
        <v>1516808.5</v>
      </c>
      <c r="D8" s="50">
        <v>1864021</v>
      </c>
      <c r="E8" s="50">
        <v>1242039</v>
      </c>
      <c r="F8" s="50">
        <v>702932.5</v>
      </c>
      <c r="G8" s="17">
        <f t="shared" si="0"/>
        <v>5325801</v>
      </c>
      <c r="H8" s="17">
        <f t="shared" si="1"/>
        <v>1027899.5971033134</v>
      </c>
      <c r="I8" s="17">
        <f t="shared" si="2"/>
        <v>4297901.4028966865</v>
      </c>
    </row>
    <row r="9" spans="1:9" ht="15.75" customHeight="1" x14ac:dyDescent="0.25">
      <c r="A9" s="5">
        <f t="shared" si="3"/>
        <v>2031</v>
      </c>
      <c r="B9" s="49">
        <v>894317</v>
      </c>
      <c r="C9" s="50">
        <v>1557852</v>
      </c>
      <c r="D9" s="50">
        <v>1931846.5</v>
      </c>
      <c r="E9" s="50">
        <v>1285385</v>
      </c>
      <c r="F9" s="50">
        <v>729177.5</v>
      </c>
      <c r="G9" s="17">
        <f t="shared" si="0"/>
        <v>5504261</v>
      </c>
      <c r="H9" s="17">
        <f t="shared" si="1"/>
        <v>1042625.24751742</v>
      </c>
      <c r="I9" s="17">
        <f t="shared" si="2"/>
        <v>4461635.75248258</v>
      </c>
    </row>
    <row r="10" spans="1:9" ht="15.75" customHeight="1" x14ac:dyDescent="0.25">
      <c r="A10" s="5">
        <f t="shared" si="3"/>
        <v>2032</v>
      </c>
      <c r="B10" s="49">
        <v>907435</v>
      </c>
      <c r="C10" s="50">
        <v>1598210</v>
      </c>
      <c r="D10" s="50">
        <v>2002739</v>
      </c>
      <c r="E10" s="50">
        <v>1328376.5</v>
      </c>
      <c r="F10" s="50">
        <v>758071</v>
      </c>
      <c r="G10" s="17">
        <f t="shared" si="0"/>
        <v>5687396.5</v>
      </c>
      <c r="H10" s="17">
        <f t="shared" si="1"/>
        <v>1057918.6591342555</v>
      </c>
      <c r="I10" s="17">
        <f t="shared" si="2"/>
        <v>4629477.8408657443</v>
      </c>
    </row>
    <row r="11" spans="1:9" ht="15.75" customHeight="1" x14ac:dyDescent="0.25">
      <c r="A11" s="5">
        <f t="shared" si="3"/>
        <v>2033</v>
      </c>
      <c r="B11" s="49">
        <v>920197</v>
      </c>
      <c r="C11" s="50">
        <v>1639934.5</v>
      </c>
      <c r="D11" s="50">
        <v>2076356</v>
      </c>
      <c r="E11" s="50">
        <v>1369938.5</v>
      </c>
      <c r="F11" s="50">
        <v>786500.5</v>
      </c>
      <c r="G11" s="17">
        <f t="shared" si="0"/>
        <v>5872729.5</v>
      </c>
      <c r="H11" s="17">
        <f t="shared" si="1"/>
        <v>1072797.0338143939</v>
      </c>
      <c r="I11" s="17">
        <f t="shared" si="2"/>
        <v>4799932.4661856061</v>
      </c>
    </row>
    <row r="12" spans="1:9" ht="15.75" customHeight="1" x14ac:dyDescent="0.25">
      <c r="A12" s="5">
        <f t="shared" si="3"/>
        <v>2034</v>
      </c>
      <c r="B12" s="49">
        <v>935159</v>
      </c>
      <c r="C12" s="50">
        <v>1683151.5</v>
      </c>
      <c r="D12" s="50">
        <v>2150008.5</v>
      </c>
      <c r="E12" s="50">
        <v>1416595</v>
      </c>
      <c r="F12" s="50">
        <v>815356.99999999988</v>
      </c>
      <c r="G12" s="17">
        <f t="shared" si="0"/>
        <v>6065112</v>
      </c>
      <c r="H12" s="17">
        <f t="shared" si="1"/>
        <v>1090240.2434965933</v>
      </c>
      <c r="I12" s="17">
        <f t="shared" si="2"/>
        <v>4974871.7565034069</v>
      </c>
    </row>
    <row r="13" spans="1:9" ht="15.75" customHeight="1" x14ac:dyDescent="0.25">
      <c r="A13" s="5">
        <f t="shared" si="3"/>
        <v>2035</v>
      </c>
      <c r="B13" s="49">
        <v>950900</v>
      </c>
      <c r="C13" s="50">
        <v>1726445.5</v>
      </c>
      <c r="D13" s="50">
        <v>2222171</v>
      </c>
      <c r="E13" s="50">
        <v>1469917</v>
      </c>
      <c r="F13" s="50">
        <v>844913</v>
      </c>
      <c r="G13" s="17">
        <f t="shared" si="0"/>
        <v>6263446.5</v>
      </c>
      <c r="H13" s="17">
        <f t="shared" si="1"/>
        <v>1108591.6379363409</v>
      </c>
      <c r="I13" s="17">
        <f t="shared" si="2"/>
        <v>5154854.8620636594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pOehJyUpaJthAUj0JzWeNMa41CO1FPs8Fq/Q+6EetdDFI3dR0NzXYFXrGk1sHweaGQM4qOPKaQG2Em3Zf9jWw==" saltValue="dA1wcSB6840/5bThkXH43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3.6768002519763941E-2</v>
      </c>
    </row>
    <row r="4" spans="1:8" ht="15.75" customHeight="1" x14ac:dyDescent="0.25">
      <c r="B4" s="19" t="s">
        <v>79</v>
      </c>
      <c r="C4" s="101">
        <v>8.0138679066978954E-2</v>
      </c>
    </row>
    <row r="5" spans="1:8" ht="15.75" customHeight="1" x14ac:dyDescent="0.25">
      <c r="B5" s="19" t="s">
        <v>80</v>
      </c>
      <c r="C5" s="101">
        <v>0.1338084305034315</v>
      </c>
    </row>
    <row r="6" spans="1:8" ht="15.75" customHeight="1" x14ac:dyDescent="0.25">
      <c r="B6" s="19" t="s">
        <v>81</v>
      </c>
      <c r="C6" s="101">
        <v>0.25636246900447218</v>
      </c>
    </row>
    <row r="7" spans="1:8" ht="15.75" customHeight="1" x14ac:dyDescent="0.25">
      <c r="B7" s="19" t="s">
        <v>82</v>
      </c>
      <c r="C7" s="101">
        <v>0.32692926681212559</v>
      </c>
    </row>
    <row r="8" spans="1:8" ht="15.75" customHeight="1" x14ac:dyDescent="0.25">
      <c r="B8" s="19" t="s">
        <v>83</v>
      </c>
      <c r="C8" s="101">
        <v>2.187063857666155E-2</v>
      </c>
    </row>
    <row r="9" spans="1:8" ht="15.75" customHeight="1" x14ac:dyDescent="0.25">
      <c r="B9" s="19" t="s">
        <v>84</v>
      </c>
      <c r="C9" s="101">
        <v>3.8326145942798762E-2</v>
      </c>
    </row>
    <row r="10" spans="1:8" ht="15.75" customHeight="1" x14ac:dyDescent="0.25">
      <c r="B10" s="19" t="s">
        <v>85</v>
      </c>
      <c r="C10" s="101">
        <v>0.1057963675737677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88</v>
      </c>
      <c r="C15" s="101">
        <v>0.30290180191756771</v>
      </c>
      <c r="D15" s="101">
        <v>0.30290180191756771</v>
      </c>
      <c r="E15" s="101">
        <v>0.30290180191756771</v>
      </c>
      <c r="F15" s="101">
        <v>0.30290180191756771</v>
      </c>
    </row>
    <row r="16" spans="1:8" ht="15.75" customHeight="1" x14ac:dyDescent="0.25">
      <c r="B16" s="19" t="s">
        <v>89</v>
      </c>
      <c r="C16" s="101">
        <v>4.9506530600581952E-2</v>
      </c>
      <c r="D16" s="101">
        <v>4.9506530600581952E-2</v>
      </c>
      <c r="E16" s="101">
        <v>4.9506530600581952E-2</v>
      </c>
      <c r="F16" s="101">
        <v>4.9506530600581952E-2</v>
      </c>
    </row>
    <row r="17" spans="1:8" ht="15.75" customHeight="1" x14ac:dyDescent="0.25">
      <c r="B17" s="19" t="s">
        <v>90</v>
      </c>
      <c r="C17" s="101">
        <v>4.5077340701437582E-2</v>
      </c>
      <c r="D17" s="101">
        <v>4.5077340701437582E-2</v>
      </c>
      <c r="E17" s="101">
        <v>4.5077340701437582E-2</v>
      </c>
      <c r="F17" s="101">
        <v>4.5077340701437582E-2</v>
      </c>
    </row>
    <row r="18" spans="1:8" ht="15.75" customHeight="1" x14ac:dyDescent="0.25">
      <c r="B18" s="19" t="s">
        <v>91</v>
      </c>
      <c r="C18" s="101">
        <v>0.17951082498897569</v>
      </c>
      <c r="D18" s="101">
        <v>0.17951082498897569</v>
      </c>
      <c r="E18" s="101">
        <v>0.17951082498897569</v>
      </c>
      <c r="F18" s="101">
        <v>0.17951082498897569</v>
      </c>
    </row>
    <row r="19" spans="1:8" ht="15.75" customHeight="1" x14ac:dyDescent="0.25">
      <c r="B19" s="19" t="s">
        <v>92</v>
      </c>
      <c r="C19" s="101">
        <v>1.5499080026813061E-2</v>
      </c>
      <c r="D19" s="101">
        <v>1.5499080026813061E-2</v>
      </c>
      <c r="E19" s="101">
        <v>1.5499080026813061E-2</v>
      </c>
      <c r="F19" s="101">
        <v>1.5499080026813061E-2</v>
      </c>
    </row>
    <row r="20" spans="1:8" ht="15.75" customHeight="1" x14ac:dyDescent="0.25">
      <c r="B20" s="19" t="s">
        <v>93</v>
      </c>
      <c r="C20" s="101">
        <v>9.5918804033508307E-3</v>
      </c>
      <c r="D20" s="101">
        <v>9.5918804033508307E-3</v>
      </c>
      <c r="E20" s="101">
        <v>9.5918804033508307E-3</v>
      </c>
      <c r="F20" s="101">
        <v>9.5918804033508307E-3</v>
      </c>
    </row>
    <row r="21" spans="1:8" ht="15.75" customHeight="1" x14ac:dyDescent="0.25">
      <c r="B21" s="19" t="s">
        <v>94</v>
      </c>
      <c r="C21" s="101">
        <v>3.2982815508519593E-2</v>
      </c>
      <c r="D21" s="101">
        <v>3.2982815508519593E-2</v>
      </c>
      <c r="E21" s="101">
        <v>3.2982815508519593E-2</v>
      </c>
      <c r="F21" s="101">
        <v>3.2982815508519593E-2</v>
      </c>
    </row>
    <row r="22" spans="1:8" ht="15.75" customHeight="1" x14ac:dyDescent="0.25">
      <c r="B22" s="19" t="s">
        <v>95</v>
      </c>
      <c r="C22" s="101">
        <v>0.15531463127216741</v>
      </c>
      <c r="D22" s="101">
        <v>0.15531463127216741</v>
      </c>
      <c r="E22" s="101">
        <v>0.15531463127216741</v>
      </c>
      <c r="F22" s="101">
        <v>0.15531463127216741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8.8804052000000008E-2</v>
      </c>
    </row>
    <row r="27" spans="1:8" ht="15.75" customHeight="1" x14ac:dyDescent="0.25">
      <c r="B27" s="19" t="s">
        <v>102</v>
      </c>
      <c r="C27" s="101">
        <v>8.6505729999999999E-3</v>
      </c>
    </row>
    <row r="28" spans="1:8" ht="15.75" customHeight="1" x14ac:dyDescent="0.25">
      <c r="B28" s="19" t="s">
        <v>103</v>
      </c>
      <c r="C28" s="101">
        <v>0.15426393499999999</v>
      </c>
    </row>
    <row r="29" spans="1:8" ht="15.75" customHeight="1" x14ac:dyDescent="0.25">
      <c r="B29" s="19" t="s">
        <v>104</v>
      </c>
      <c r="C29" s="101">
        <v>0.16852035100000001</v>
      </c>
    </row>
    <row r="30" spans="1:8" ht="15.75" customHeight="1" x14ac:dyDescent="0.25">
      <c r="B30" s="19" t="s">
        <v>2</v>
      </c>
      <c r="C30" s="101">
        <v>0.106889969</v>
      </c>
    </row>
    <row r="31" spans="1:8" ht="15.75" customHeight="1" x14ac:dyDescent="0.25">
      <c r="B31" s="19" t="s">
        <v>105</v>
      </c>
      <c r="C31" s="101">
        <v>0.10946104600000001</v>
      </c>
    </row>
    <row r="32" spans="1:8" ht="15.75" customHeight="1" x14ac:dyDescent="0.25">
      <c r="B32" s="19" t="s">
        <v>106</v>
      </c>
      <c r="C32" s="101">
        <v>1.8636323E-2</v>
      </c>
    </row>
    <row r="33" spans="2:3" ht="15.75" customHeight="1" x14ac:dyDescent="0.25">
      <c r="B33" s="19" t="s">
        <v>107</v>
      </c>
      <c r="C33" s="101">
        <v>8.3221009999999998E-2</v>
      </c>
    </row>
    <row r="34" spans="2:3" ht="15.75" customHeight="1" x14ac:dyDescent="0.25">
      <c r="B34" s="19" t="s">
        <v>108</v>
      </c>
      <c r="C34" s="101">
        <v>0.26155274000000001</v>
      </c>
    </row>
    <row r="35" spans="2:3" ht="15.75" customHeight="1" x14ac:dyDescent="0.25">
      <c r="B35" s="27" t="s">
        <v>41</v>
      </c>
      <c r="C35" s="48">
        <f>SUM(C26:C34)</f>
        <v>0.99999999900000014</v>
      </c>
    </row>
  </sheetData>
  <sheetProtection algorithmName="SHA-512" hashValue="AvudpBnfoCi0eLGIgMUVeEozQxiunrPUjEy7PFbGC/H+Yt8L1YhWhyXrUMQB1nqc+9SEzGtLmHjTHFH9l1kL5A==" saltValue="lTdvswLYe4oRNM0H1eScO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114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115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119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120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W3Mm+QIvz/4evPxvt4t2KNT0MvtVu6s1oyNhVeswE/jMYcqysTLPsjS7etV4aVhK0du5Qn/hLUZhmeMzx1Rpw==" saltValue="2ukns/42l/04+y1XjLM8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132</v>
      </c>
      <c r="C5" s="52">
        <v>1.2442399999999999E-2</v>
      </c>
      <c r="D5" s="52">
        <v>1.25463E-2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D1C4YVcUZG5Dp9cC4IX1wdLZIwuTcWNvHhzalzD/fA4IYexpeAiNMbP6W/USvwxJkM75XuuJJ8ObbeYpZ5Xhuw==" saltValue="hWiha4ToYs4IsLXnqFhv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YjD8bC5QtZa1o+iUoDyab4BfcRSNEXILfQ+R0Ka3KRXuN+rJVzT4PD8qhJbrDZGe25QL5V/wSNPYORri7nRAw==" saltValue="RnyNFn2S17f7VUNRBsGQZ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5KLVuOX9mUF958wt9PVKq1w9Xfwbo0vpmylXwkhYuqYKGoX3bT+GUYnSHB8FFl4k2qsKASnRf1tp8qHQI4lVhA==" saltValue="IZJRB+7HKutzATSuLzlvi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5kCPYU66fgLnEMLiB3CvwYOXUnrPLp3nAyX8fz0MANjMNOELalUYY109fYZ/fJJkvoV+54t9cugYdKhD1wHVGw==" saltValue="cEZ7iqOJCgqb1QMe0+4eK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A+tFDvA73+fjndqLdr7zQsZW1TqsOf7YYus9oC4tJoQMiC1khCM3DbqtDPcT/p10t98WwaYgex5l2FNa6J0bUA==" saltValue="8sWXHizygSqNuHRH29yd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19.272603201046881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16.045049454604829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4.1559126023027169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0.15354973642230621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0.39842419812920288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0.1104295</v>
      </c>
      <c r="C10" s="98">
        <v>0.95</v>
      </c>
      <c r="D10" s="56">
        <v>15.0449415094118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15.0449415094118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15.0449415094118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15.0449415094118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0.1104295</v>
      </c>
      <c r="C14" s="98">
        <v>0.95</v>
      </c>
      <c r="D14" s="56">
        <v>15.0449415094118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15.0449415094118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0.5599459</v>
      </c>
      <c r="C16" s="98">
        <v>0.95</v>
      </c>
      <c r="D16" s="56">
        <v>2.943280879817789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0.19400000000000001</v>
      </c>
      <c r="C18" s="98">
        <v>0.95</v>
      </c>
      <c r="D18" s="56">
        <v>4.1559126023027169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0.16409360000000001</v>
      </c>
      <c r="C19" s="98">
        <v>0.95</v>
      </c>
      <c r="D19" s="56">
        <v>4.1559126023027169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4.4973331843615796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25.638805136545979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0.65777940000000001</v>
      </c>
      <c r="C23" s="98">
        <v>0.95</v>
      </c>
      <c r="D23" s="56">
        <v>4.9287239443093789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0.19459071543420001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0.1104295</v>
      </c>
      <c r="C26" s="98">
        <v>0.95</v>
      </c>
      <c r="D26" s="56">
        <v>2.4488096920084002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0.17447260000000001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0.23353189999999999</v>
      </c>
      <c r="C29" s="98">
        <v>0.95</v>
      </c>
      <c r="D29" s="56">
        <v>58.241642049834397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0.18290000000000001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0.91</v>
      </c>
      <c r="C32" s="98">
        <v>0.95</v>
      </c>
      <c r="D32" s="56">
        <v>0.24723559390469421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0.26200469999999998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0.13487759999999999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7.6780000000000001E-4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0.16786129999999999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5.0000000000000001E-3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RsPaC8D+s3G8Ba9JYr2ufuYmphqO4DFzT9jPU0q7Wtumb5j9QtFKnyh5Mn8UbKFDPiWjJ+NHBXhuUgtaYdasQg==" saltValue="KPfbYl+VxTZ0MT36pHih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6jUCEpT6n9jBFG4dK71wLRo2535m84l9lmPt9y4n4d0bnDqDxekyegyc999JA3LMuL5KRx+RPcCUnkCcwZbbtw==" saltValue="66qfxgJA+Xp0U/18ir3b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YYTZ+8rGF8grzxFZwtx8sQFFBs61i0MxacipLhYoyurYgJ5n6rhSlQNRvW+zfwKi6R/sLuY7PAWJGuetHxAaiQ==" saltValue="9t2pEev01dNRWCpr8Ier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208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sheetProtection algorithmName="SHA-512" hashValue="FIGJefAoh1Hr9GLy20kpVzdSTdSj0IEllaYH61yQ5W2fFt3iLCQI2lhv3IL9+zRaih84WwOTdJ1RPRPW7Qn17A==" saltValue="MKgBnNkolwlqIjqqZeteG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0.38400000000000001</v>
      </c>
      <c r="E2" s="60">
        <f>food_insecure</f>
        <v>0.38400000000000001</v>
      </c>
      <c r="F2" s="60">
        <f>food_insecure</f>
        <v>0.38400000000000001</v>
      </c>
      <c r="G2" s="60">
        <f>food_insecure</f>
        <v>0.38400000000000001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0.38400000000000001</v>
      </c>
      <c r="F5" s="60">
        <f>food_insecure</f>
        <v>0.38400000000000001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0.38400000000000001</v>
      </c>
      <c r="F8" s="60">
        <f>food_insecure</f>
        <v>0.38400000000000001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0.38400000000000001</v>
      </c>
      <c r="F9" s="60">
        <f>food_insecure</f>
        <v>0.38400000000000001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0.38400000000000001</v>
      </c>
      <c r="I15" s="60">
        <f>food_insecure</f>
        <v>0.38400000000000001</v>
      </c>
      <c r="J15" s="60">
        <f>food_insecure</f>
        <v>0.38400000000000001</v>
      </c>
      <c r="K15" s="60">
        <f>food_insecure</f>
        <v>0.38400000000000001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0.49989798598098745</v>
      </c>
      <c r="M25" s="60">
        <f>(1-food_insecure)*(0.49)+food_insecure*(0.7)</f>
        <v>0.57064000000000004</v>
      </c>
      <c r="N25" s="60">
        <f>(1-food_insecure)*(0.49)+food_insecure*(0.7)</f>
        <v>0.57064000000000004</v>
      </c>
      <c r="O25" s="60">
        <f>(1-food_insecure)*(0.49)+food_insecure*(0.7)</f>
        <v>0.57064000000000004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0.21424199399185179</v>
      </c>
      <c r="M26" s="60">
        <f>(1-food_insecure)*(0.21)+food_insecure*(0.3)</f>
        <v>0.24456</v>
      </c>
      <c r="N26" s="60">
        <f>(1-food_insecure)*(0.21)+food_insecure*(0.3)</f>
        <v>0.24456</v>
      </c>
      <c r="O26" s="60">
        <f>(1-food_insecure)*(0.21)+food_insecure*(0.3)</f>
        <v>0.24456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0.16189041744232174</v>
      </c>
      <c r="M27" s="60">
        <f>(1-food_insecure)*(0.3)</f>
        <v>0.18479999999999999</v>
      </c>
      <c r="N27" s="60">
        <f>(1-food_insecure)*(0.3)</f>
        <v>0.18479999999999999</v>
      </c>
      <c r="O27" s="60">
        <f>(1-food_insecure)*(0.3)</f>
        <v>0.18479999999999999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0.12396960258483899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0.86</v>
      </c>
      <c r="D34" s="60">
        <f t="shared" si="3"/>
        <v>0.86</v>
      </c>
      <c r="E34" s="60">
        <f t="shared" si="3"/>
        <v>0.86</v>
      </c>
      <c r="F34" s="60">
        <f t="shared" si="3"/>
        <v>0.86</v>
      </c>
      <c r="G34" s="60">
        <f t="shared" si="3"/>
        <v>0.86</v>
      </c>
      <c r="H34" s="60">
        <f t="shared" si="3"/>
        <v>0.86</v>
      </c>
      <c r="I34" s="60">
        <f t="shared" si="3"/>
        <v>0.86</v>
      </c>
      <c r="J34" s="60">
        <f t="shared" si="3"/>
        <v>0.86</v>
      </c>
      <c r="K34" s="60">
        <f t="shared" si="3"/>
        <v>0.86</v>
      </c>
      <c r="L34" s="60">
        <f t="shared" si="3"/>
        <v>0.86</v>
      </c>
      <c r="M34" s="60">
        <f t="shared" si="3"/>
        <v>0.86</v>
      </c>
      <c r="N34" s="60">
        <f t="shared" si="3"/>
        <v>0.86</v>
      </c>
      <c r="O34" s="60">
        <f t="shared" si="3"/>
        <v>0.86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BWoehwR0+VBBQaGjZMMEim5UPdNSW8ItMTebma2HnBUmPf0BOsL4ifO5FiH1zV/wjnl4uvVLnIQ+suLq+jRXA==" saltValue="VyQVyN8fVqqHHB2scPHpU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neUDCPNIPULMXpeBT9i9nBhvR/sX8//ERGNr+1l7DvgtkzK2oG9D27Pq2dkvy1Y8IS2+3Cj7JxatTtDJsRp2Q==" saltValue="cwZnzdefzkoGoigB1E4x9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Pwc47mUmidoYwTmJ4xS9J3kxHaasagWtWex6kgtKkLhV3HsG/RTEZVUJ3m1hHJMrK9mRlq5xowoJr+levU7uw==" saltValue="UwRuJEj7T3UkhId7JCff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QmheHpz1GVhGTXTTZWUj38tpwCuOlz1onk6mSusL+WAwSsnqWunSisYTlxKhnl2JvJLmJF2nDgXqqWjvi57IA==" saltValue="trcEye+lhLAssr/1NZe8a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tOczzlYK5p2z9OSxjClM5iTZxhKJ9ZwaGOzehHzHDwtsaXRi4Aar1+2whkqXfu3TNo9yMjAn71qwaQpbSluV6A==" saltValue="yPR6ePSKOUc24QlBYRevG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02Z2YN0XkaIS71hB8zajHWxh1kCFWZO9D8SgzUN6n7JNDIJbqX7U50lO0amR5xVcmDgmY8XHCNyVQHn+aEhtQ==" saltValue="OcWwEVj80frldODAgVxIp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dCIytnfp9Wjq4qIhk8lY2fJJ/YzxNM8ppXGx/v4gneqbTFPCmtvOcfMgKH0XrFtyN4kuCCRxiuQAmFWUrHXIQ==" saltValue="QME3lygs8ONy+BCSMeMoX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BocIXC8RgaOwvnB4Z0eqPcenBTTYvnIGQJVJOD2DqILDq0XgFHgkgIhn3SIhpVxqqeoLJNlMOAhbTM0Uz/M/A==" saltValue="O7stydWN8eFjx3lYKDg7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7DE5ywHCKFG+SOMlAn4pAIhQ4tyEJETAmU3K/PFbaepO5nxWepAFwmPRAR++fBXDz4kCpOTmhIxRoZfIn8qmA==" saltValue="RiJc5uq0gplWEnhAeLzN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orsmaIX3kjwV00QHaBE2knS6aSgbPa3afN2vifwDhmE2hAQsnu0X0anyOzKov7SA7H7gazlpqex93RO5lskig==" saltValue="X33DIddP2+WP/DCw1FY4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+51Ebw7NvMoH8IMkV+LVDf22Tez9aYwc+1BT9Ko4VDKgw4erSuiUGWHcpVXYg1NrtKEBGTaCAb+U013XwO6aA==" saltValue="NjxlcbUjtZiuJk1FGSdA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de1skD+yZ58qeq6zoG2OmwmvMon6CJu7nFrM9YeR/md1iZyABHMAKH16oLNqF+8HnjVW3X+zxWKoJtHc3gSCA==" saltValue="V5ukVnhNNBcfjV3879n/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54PzsqxqJu5IbpLaZ5ZjVugGsw0t5xJaITf8LVndpHjXUbQihfN2WccKDwe4scvlDfK6JErMP/6pjhwHEYJ9w==" saltValue="4NBpxbZisrzIf8c4Q61j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0.10238546498794443</v>
      </c>
      <c r="G18" s="90">
        <f>MIN(MAX(1-0.89/(1-frac_sam_12_23months+(frac_sam_12_23months*0.89)),0),1)</f>
        <v>0.10366514354230172</v>
      </c>
      <c r="H18" s="90">
        <f>MIN(MAX(1-0.89/(1-frac_sam_24_59months+(frac_sam_24_59months*0.89)),0),1)</f>
        <v>0.10679062368129921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9.7242602590339677E-2</v>
      </c>
      <c r="G20" s="90">
        <f>MIN(MAX(1-0.89/(1-frac_mam_12_23months+(frac_mam_12_23months*0.89)),0),1)</f>
        <v>9.7451632678914324E-2</v>
      </c>
      <c r="H20" s="90">
        <f>MIN(MAX(1-0.89/(1-frac_mam_24_59months+(frac_mam_24_59months*0.89)),0),1)</f>
        <v>0.10203154919328206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9.2359336504359568E-3</v>
      </c>
      <c r="G73" s="90">
        <f>MIN(MAX(1-0.99/(1-frac_sam_12_23months+(frac_sam_12_23months*0.99)),0),1)</f>
        <v>9.3635150677946477E-3</v>
      </c>
      <c r="H73" s="90">
        <f>MIN(MAX(1-0.99/(1-frac_sam_24_59months+(frac_sam_24_59months*0.99)),0),1)</f>
        <v>9.6765167761457827E-3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8.7265208741017508E-3</v>
      </c>
      <c r="G75" s="90">
        <f>MIN(MAX(1-0.99/(1-frac_mam_12_23months+(frac_mam_12_23months*0.99)),0),1)</f>
        <v>8.7471227771331872E-3</v>
      </c>
      <c r="H75" s="90">
        <f>MIN(MAX(1-0.99/(1-frac_mam_24_59months+(frac_mam_24_59months*0.99)),0),1)</f>
        <v>9.2007073486287672E-3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0.18746768025740046</v>
      </c>
      <c r="G128" s="90">
        <f>MIN(MAX(1-0.8/(1-frac_sam_12_23months+(frac_sam_12_23months*0.8)),0),1)</f>
        <v>0.18958616602514644</v>
      </c>
      <c r="H128" s="90">
        <f>MIN(MAX(1-0.8/(1-frac_sam_24_59months+(frac_sam_24_59months*0.8)),0),1)</f>
        <v>0.19473932866545185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0.17890289520891889</v>
      </c>
      <c r="G130" s="90">
        <f>MIN(MAX(1-0.8/(1-frac_mam_12_23months+(frac_mam_12_23months*0.8)),0),1)</f>
        <v>0.1792526056729199</v>
      </c>
      <c r="H130" s="90">
        <f>MIN(MAX(1-0.8/(1-frac_mam_24_59months+(frac_mam_24_59months*0.8)),0),1)</f>
        <v>0.18688089238195815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YG6XnGdeOpS5LKcBFwCTwyHcFvU0/mS709qxjLOjUfhmhHq/jYXkecovikuC8HScV9WYct/JRPFqMi9sJODQQ==" saltValue="fdKxmyTXyok62DYNPoAo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2qUm3J63tb5PU/RcMTg0i6xUgVe7L7Q6nQwOPK06ertfibMkfdaHmKuJ8ikvF7iqCp5Lri12aP9VKfSAw1a0Fw==" saltValue="/a2RVXXoIoTPstBM5AkSt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2024-08-06T09:49:13Z</dcterms:modified>
</cp:coreProperties>
</file>