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407444A4-A3C7-43EA-A06D-39C2FB10589D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<sst xmlns="http://schemas.openxmlformats.org/spreadsheetml/2006/main" count="2102" uniqueCount="337">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</sst>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3482182.625</v>
      </c>
    </row>
    <row r="8" spans="1:3" ht="15" customHeight="1" x14ac:dyDescent="0.25">
      <c r="B8" s="5" t="s">
        <v>19</v>
      </c>
      <c r="C8" s="44">
        <v>0.38400000000000001</v>
      </c>
    </row>
    <row r="9" spans="1:3" ht="15" customHeight="1" x14ac:dyDescent="0.25">
      <c r="B9" s="5" t="s">
        <v>20</v>
      </c>
      <c r="C9" s="45">
        <v>0.86</v>
      </c>
    </row>
    <row r="10" spans="1:3" ht="15" customHeight="1" x14ac:dyDescent="0.25">
      <c r="B10" s="5" t="s">
        <v>21</v>
      </c>
      <c r="C10" s="45">
        <v>0.12396960258483899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0.82499999999999996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0.1394</v>
      </c>
    </row>
    <row r="24" spans="1:3" ht="15" customHeight="1" x14ac:dyDescent="0.25">
      <c r="B24" s="15" t="s">
        <v>33</v>
      </c>
      <c r="C24" s="45">
        <v>0.44390000000000002</v>
      </c>
    </row>
    <row r="25" spans="1:3" ht="15" customHeight="1" x14ac:dyDescent="0.25">
      <c r="B25" s="15" t="s">
        <v>34</v>
      </c>
      <c r="C25" s="45">
        <v>0.33229999999999998</v>
      </c>
    </row>
    <row r="26" spans="1:3" ht="15" customHeight="1" x14ac:dyDescent="0.25">
      <c r="B26" s="15" t="s">
        <v>35</v>
      </c>
      <c r="C26" s="45">
        <v>8.4399999999999989E-2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0.15293756430852301</v>
      </c>
    </row>
    <row r="30" spans="1:3" ht="14.25" customHeight="1" x14ac:dyDescent="0.25">
      <c r="B30" s="25" t="s">
        <v>38</v>
      </c>
      <c r="C30" s="99">
        <v>9.4746756690583189E-2</v>
      </c>
    </row>
    <row r="31" spans="1:3" ht="14.25" customHeight="1" x14ac:dyDescent="0.25">
      <c r="B31" s="25" t="s">
        <v>39</v>
      </c>
      <c r="C31" s="99">
        <v>0.160927169095259</v>
      </c>
    </row>
    <row r="32" spans="1:3" ht="14.25" customHeight="1" x14ac:dyDescent="0.25">
      <c r="B32" s="25" t="s">
        <v>40</v>
      </c>
      <c r="C32" s="99">
        <v>0.59138850990563396</v>
      </c>
    </row>
    <row r="33" spans="1:5" ht="13" customHeight="1" x14ac:dyDescent="0.25">
      <c r="B33" s="27" t="s">
        <v>41</v>
      </c>
      <c r="C33" s="48">
        <f>SUM(C29:C32)</f>
        <v>0.99999999999999911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32.347020000000001</v>
      </c>
    </row>
    <row r="38" spans="1:5" ht="15" customHeight="1" x14ac:dyDescent="0.25">
      <c r="B38" s="11" t="s">
        <v>45</v>
      </c>
      <c r="C38" s="43">
        <v>66.049419999999998</v>
      </c>
      <c r="D38" s="12"/>
      <c r="E38" s="13"/>
    </row>
    <row r="39" spans="1:5" ht="15" customHeight="1" x14ac:dyDescent="0.25">
      <c r="B39" s="11" t="s">
        <v>46</v>
      </c>
      <c r="C39" s="43">
        <v>107.06547999999999</v>
      </c>
      <c r="D39" s="12"/>
      <c r="E39" s="12"/>
    </row>
    <row r="40" spans="1:5" ht="15" customHeight="1" x14ac:dyDescent="0.25">
      <c r="B40" s="11" t="s">
        <v>47</v>
      </c>
      <c r="C40" s="100">
        <v>10.63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25.27843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7.9279999999999993E-3</v>
      </c>
      <c r="D45" s="12"/>
    </row>
    <row r="46" spans="1:5" ht="15.75" customHeight="1" x14ac:dyDescent="0.25">
      <c r="B46" s="11" t="s">
        <v>52</v>
      </c>
      <c r="C46" s="45">
        <v>8.5185700000000003E-2</v>
      </c>
      <c r="D46" s="12"/>
    </row>
    <row r="47" spans="1:5" ht="15.75" customHeight="1" x14ac:dyDescent="0.25">
      <c r="B47" s="11" t="s">
        <v>53</v>
      </c>
      <c r="C47" s="45">
        <v>7.3461200000000004E-2</v>
      </c>
      <c r="D47" s="12"/>
      <c r="E47" s="13"/>
    </row>
    <row r="48" spans="1:5" ht="15" customHeight="1" x14ac:dyDescent="0.25">
      <c r="B48" s="11" t="s">
        <v>54</v>
      </c>
      <c r="C48" s="46">
        <v>0.83342510000000003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3.3</v>
      </c>
      <c r="D51" s="12"/>
    </row>
    <row r="52" spans="1:4" ht="15" customHeight="1" x14ac:dyDescent="0.25">
      <c r="B52" s="11" t="s">
        <v>57</v>
      </c>
      <c r="C52" s="100">
        <v>3.3</v>
      </c>
    </row>
    <row r="53" spans="1:4" ht="15.75" customHeight="1" x14ac:dyDescent="0.25">
      <c r="B53" s="11" t="s">
        <v>58</v>
      </c>
      <c r="C53" s="100">
        <v>3.3</v>
      </c>
    </row>
    <row r="54" spans="1:4" ht="15.75" customHeight="1" x14ac:dyDescent="0.25">
      <c r="B54" s="11" t="s">
        <v>59</v>
      </c>
      <c r="C54" s="100">
        <v>3.3</v>
      </c>
    </row>
    <row r="55" spans="1:4" ht="15.75" customHeight="1" x14ac:dyDescent="0.25">
      <c r="B55" s="11" t="s">
        <v>60</v>
      </c>
      <c r="C55" s="100">
        <v>3.3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2.181818181818182E-2</v>
      </c>
    </row>
    <row r="59" spans="1:4" ht="15.75" customHeight="1" x14ac:dyDescent="0.25">
      <c r="B59" s="11" t="s">
        <v>63</v>
      </c>
      <c r="C59" s="45">
        <v>0.43513099999999999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Gonvcg20uQlf7+zZIOvFbWYiydcjkeX/XhpqHCEtEYzmV2tzGX5S5IkDuXSDjkM3JB3zHwmopSejIvXNAaK0Tg==" saltValue="eDykZyyJuaQ6KQBkJzFo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794344</v>
      </c>
      <c r="C2" s="49">
        <v>1248775.5</v>
      </c>
      <c r="D2" s="49">
        <v>1507659</v>
      </c>
      <c r="E2" s="49">
        <v>1005520</v>
      </c>
      <c r="F2" s="49">
        <v>595335</v>
      </c>
      <c r="G2" s="17">
        <f t="shared" ref="G2:G13" si="0">C2+D2+E2+F2</f>
        <v>4357289.5</v>
      </c>
      <c r="H2" s="17">
        <f t="shared" ref="H2:H13" si="1">(B2 + stillbirth*B2/(1000-stillbirth))/(1-abortion)</f>
        <v>926073.3158533019</v>
      </c>
      <c r="I2" s="17">
        <f t="shared" ref="I2:I13" si="2">G2-H2</f>
        <v>3431216.1841466981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808202</v>
      </c>
      <c r="C3" s="50">
        <v>1292760</v>
      </c>
      <c r="D3" s="50">
        <v>1563546.5</v>
      </c>
      <c r="E3" s="50">
        <v>1038670</v>
      </c>
      <c r="F3" s="50">
        <v>612062.99999999988</v>
      </c>
      <c r="G3" s="17">
        <f t="shared" si="0"/>
        <v>4507039.5</v>
      </c>
      <c r="H3" s="17">
        <f t="shared" si="1"/>
        <v>942229.44469810359</v>
      </c>
      <c r="I3" s="17">
        <f t="shared" si="2"/>
        <v>3564810.0553018963</v>
      </c>
    </row>
    <row r="4" spans="1:9" ht="15.75" customHeight="1" x14ac:dyDescent="0.25">
      <c r="A4" s="5">
        <f t="shared" si="3"/>
        <v>2026</v>
      </c>
      <c r="B4" s="49">
        <v>821405</v>
      </c>
      <c r="C4" s="50">
        <v>1336974</v>
      </c>
      <c r="D4" s="50">
        <v>1620184.5</v>
      </c>
      <c r="E4" s="50">
        <v>1077588.5</v>
      </c>
      <c r="F4" s="50">
        <v>628111.5</v>
      </c>
      <c r="G4" s="17">
        <f t="shared" si="0"/>
        <v>4662858.5</v>
      </c>
      <c r="H4" s="17">
        <f t="shared" si="1"/>
        <v>957621.95221274591</v>
      </c>
      <c r="I4" s="17">
        <f t="shared" si="2"/>
        <v>3705236.5477872542</v>
      </c>
    </row>
    <row r="5" spans="1:9" ht="15.75" customHeight="1" x14ac:dyDescent="0.25">
      <c r="A5" s="5">
        <f t="shared" si="3"/>
        <v>2027</v>
      </c>
      <c r="B5" s="49">
        <v>837331</v>
      </c>
      <c r="C5" s="50">
        <v>1381822.5</v>
      </c>
      <c r="D5" s="50">
        <v>1677391</v>
      </c>
      <c r="E5" s="50">
        <v>1118945.5</v>
      </c>
      <c r="F5" s="50">
        <v>643147</v>
      </c>
      <c r="G5" s="17">
        <f t="shared" si="0"/>
        <v>4821306</v>
      </c>
      <c r="H5" s="17">
        <f t="shared" si="1"/>
        <v>976189.02595948498</v>
      </c>
      <c r="I5" s="17">
        <f t="shared" si="2"/>
        <v>3845116.9740405148</v>
      </c>
    </row>
    <row r="6" spans="1:9" ht="15.75" customHeight="1" x14ac:dyDescent="0.25">
      <c r="A6" s="5">
        <f t="shared" si="3"/>
        <v>2028</v>
      </c>
      <c r="B6" s="49">
        <v>850444</v>
      </c>
      <c r="C6" s="50">
        <v>1427303.5</v>
      </c>
      <c r="D6" s="50">
        <v>1737004.5</v>
      </c>
      <c r="E6" s="50">
        <v>1159709.5</v>
      </c>
      <c r="F6" s="50">
        <v>660210.5</v>
      </c>
      <c r="G6" s="17">
        <f t="shared" si="0"/>
        <v>4984228</v>
      </c>
      <c r="H6" s="17">
        <f t="shared" si="1"/>
        <v>991476.60840586142</v>
      </c>
      <c r="I6" s="17">
        <f t="shared" si="2"/>
        <v>3992751.3915941385</v>
      </c>
    </row>
    <row r="7" spans="1:9" ht="15.75" customHeight="1" x14ac:dyDescent="0.25">
      <c r="A7" s="5">
        <f t="shared" si="3"/>
        <v>2029</v>
      </c>
      <c r="B7" s="49">
        <v>863892</v>
      </c>
      <c r="C7" s="50">
        <v>1473279.5</v>
      </c>
      <c r="D7" s="50">
        <v>1798851</v>
      </c>
      <c r="E7" s="50">
        <v>1200619</v>
      </c>
      <c r="F7" s="50">
        <v>680407.5</v>
      </c>
      <c r="G7" s="17">
        <f t="shared" si="0"/>
        <v>5153157</v>
      </c>
      <c r="H7" s="17">
        <f t="shared" si="1"/>
        <v>1007154.745273006</v>
      </c>
      <c r="I7" s="17">
        <f t="shared" si="2"/>
        <v>4146002.2547269939</v>
      </c>
    </row>
    <row r="8" spans="1:9" ht="15.75" customHeight="1" x14ac:dyDescent="0.25">
      <c r="A8" s="5">
        <f t="shared" si="3"/>
        <v>2030</v>
      </c>
      <c r="B8" s="49">
        <v>881686</v>
      </c>
      <c r="C8" s="50">
        <v>1516808.5</v>
      </c>
      <c r="D8" s="50">
        <v>1864021</v>
      </c>
      <c r="E8" s="50">
        <v>1242039</v>
      </c>
      <c r="F8" s="50">
        <v>702932.5</v>
      </c>
      <c r="G8" s="17">
        <f t="shared" si="0"/>
        <v>5325801</v>
      </c>
      <c r="H8" s="17">
        <f t="shared" si="1"/>
        <v>1027899.5971033134</v>
      </c>
      <c r="I8" s="17">
        <f t="shared" si="2"/>
        <v>4297901.4028966865</v>
      </c>
    </row>
    <row r="9" spans="1:9" ht="15.75" customHeight="1" x14ac:dyDescent="0.25">
      <c r="A9" s="5">
        <f t="shared" si="3"/>
        <v>2031</v>
      </c>
      <c r="B9" s="49">
        <v>894317</v>
      </c>
      <c r="C9" s="50">
        <v>1557852</v>
      </c>
      <c r="D9" s="50">
        <v>1931846.5</v>
      </c>
      <c r="E9" s="50">
        <v>1285385</v>
      </c>
      <c r="F9" s="50">
        <v>729177.5</v>
      </c>
      <c r="G9" s="17">
        <f t="shared" si="0"/>
        <v>5504261</v>
      </c>
      <c r="H9" s="17">
        <f t="shared" si="1"/>
        <v>1042625.24751742</v>
      </c>
      <c r="I9" s="17">
        <f t="shared" si="2"/>
        <v>4461635.75248258</v>
      </c>
    </row>
    <row r="10" spans="1:9" ht="15.75" customHeight="1" x14ac:dyDescent="0.25">
      <c r="A10" s="5">
        <f t="shared" si="3"/>
        <v>2032</v>
      </c>
      <c r="B10" s="49">
        <v>907435</v>
      </c>
      <c r="C10" s="50">
        <v>1598210</v>
      </c>
      <c r="D10" s="50">
        <v>2002739</v>
      </c>
      <c r="E10" s="50">
        <v>1328376.5</v>
      </c>
      <c r="F10" s="50">
        <v>758071</v>
      </c>
      <c r="G10" s="17">
        <f t="shared" si="0"/>
        <v>5687396.5</v>
      </c>
      <c r="H10" s="17">
        <f t="shared" si="1"/>
        <v>1057918.6591342555</v>
      </c>
      <c r="I10" s="17">
        <f t="shared" si="2"/>
        <v>4629477.8408657443</v>
      </c>
    </row>
    <row r="11" spans="1:9" ht="15.75" customHeight="1" x14ac:dyDescent="0.25">
      <c r="A11" s="5">
        <f t="shared" si="3"/>
        <v>2033</v>
      </c>
      <c r="B11" s="49">
        <v>920197</v>
      </c>
      <c r="C11" s="50">
        <v>1639934.5</v>
      </c>
      <c r="D11" s="50">
        <v>2076356</v>
      </c>
      <c r="E11" s="50">
        <v>1369938.5</v>
      </c>
      <c r="F11" s="50">
        <v>786500.5</v>
      </c>
      <c r="G11" s="17">
        <f t="shared" si="0"/>
        <v>5872729.5</v>
      </c>
      <c r="H11" s="17">
        <f t="shared" si="1"/>
        <v>1072797.0338143939</v>
      </c>
      <c r="I11" s="17">
        <f t="shared" si="2"/>
        <v>4799932.4661856061</v>
      </c>
    </row>
    <row r="12" spans="1:9" ht="15.75" customHeight="1" x14ac:dyDescent="0.25">
      <c r="A12" s="5">
        <f t="shared" si="3"/>
        <v>2034</v>
      </c>
      <c r="B12" s="49">
        <v>935159</v>
      </c>
      <c r="C12" s="50">
        <v>1683151.5</v>
      </c>
      <c r="D12" s="50">
        <v>2150008.5</v>
      </c>
      <c r="E12" s="50">
        <v>1416595</v>
      </c>
      <c r="F12" s="50">
        <v>815356.99999999988</v>
      </c>
      <c r="G12" s="17">
        <f t="shared" si="0"/>
        <v>6065112</v>
      </c>
      <c r="H12" s="17">
        <f t="shared" si="1"/>
        <v>1090240.2434965933</v>
      </c>
      <c r="I12" s="17">
        <f t="shared" si="2"/>
        <v>4974871.7565034069</v>
      </c>
    </row>
    <row r="13" spans="1:9" ht="15.75" customHeight="1" x14ac:dyDescent="0.25">
      <c r="A13" s="5">
        <f t="shared" si="3"/>
        <v>2035</v>
      </c>
      <c r="B13" s="49">
        <v>950900</v>
      </c>
      <c r="C13" s="50">
        <v>1726445.5</v>
      </c>
      <c r="D13" s="50">
        <v>2222171</v>
      </c>
      <c r="E13" s="50">
        <v>1469917</v>
      </c>
      <c r="F13" s="50">
        <v>844913</v>
      </c>
      <c r="G13" s="17">
        <f t="shared" si="0"/>
        <v>6263446.5</v>
      </c>
      <c r="H13" s="17">
        <f t="shared" si="1"/>
        <v>1108591.6379363409</v>
      </c>
      <c r="I13" s="17">
        <f t="shared" si="2"/>
        <v>5154854.8620636594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2oHlaLPDG1Ff3H5KKq/v3O7bsbCkq0LDGqnJS5wezv6+4ze8m95mltJa8AoPMDlbxOZ0mH8w6fhEUZMrsaBMiA==" saltValue="XVpQKNADt9jwMJw98S4KR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3.6768002519763941E-2</v>
      </c>
    </row>
    <row r="4" spans="1:8" ht="15.75" customHeight="1" x14ac:dyDescent="0.25">
      <c r="B4" s="19" t="s">
        <v>79</v>
      </c>
      <c r="C4" s="101">
        <v>8.0138679066978954E-2</v>
      </c>
    </row>
    <row r="5" spans="1:8" ht="15.75" customHeight="1" x14ac:dyDescent="0.25">
      <c r="B5" s="19" t="s">
        <v>80</v>
      </c>
      <c r="C5" s="101">
        <v>0.1338084305034315</v>
      </c>
    </row>
    <row r="6" spans="1:8" ht="15.75" customHeight="1" x14ac:dyDescent="0.25">
      <c r="B6" s="19" t="s">
        <v>81</v>
      </c>
      <c r="C6" s="101">
        <v>0.25636246900447218</v>
      </c>
    </row>
    <row r="7" spans="1:8" ht="15.75" customHeight="1" x14ac:dyDescent="0.25">
      <c r="B7" s="19" t="s">
        <v>82</v>
      </c>
      <c r="C7" s="101">
        <v>0.32692926681212559</v>
      </c>
    </row>
    <row r="8" spans="1:8" ht="15.75" customHeight="1" x14ac:dyDescent="0.25">
      <c r="B8" s="19" t="s">
        <v>83</v>
      </c>
      <c r="C8" s="101">
        <v>2.187063857666155E-2</v>
      </c>
    </row>
    <row r="9" spans="1:8" ht="15.75" customHeight="1" x14ac:dyDescent="0.25">
      <c r="B9" s="19" t="s">
        <v>84</v>
      </c>
      <c r="C9" s="101">
        <v>3.8326145942798762E-2</v>
      </c>
    </row>
    <row r="10" spans="1:8" ht="15.75" customHeight="1" x14ac:dyDescent="0.25">
      <c r="B10" s="19" t="s">
        <v>85</v>
      </c>
      <c r="C10" s="101">
        <v>0.1057963675737677</v>
      </c>
    </row>
    <row r="11" spans="1:8" ht="15.75" customHeight="1" x14ac:dyDescent="0.25">
      <c r="B11" s="27" t="s">
        <v>41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0.2096150945805863</v>
      </c>
      <c r="D14" s="55">
        <v>0.2096150945805863</v>
      </c>
      <c r="E14" s="55">
        <v>0.2096150945805863</v>
      </c>
      <c r="F14" s="55">
        <v>0.2096150945805863</v>
      </c>
    </row>
    <row r="15" spans="1:8" ht="15.75" customHeight="1" x14ac:dyDescent="0.25">
      <c r="B15" s="19" t="s">
        <v>88</v>
      </c>
      <c r="C15" s="101">
        <v>0.30290180191756771</v>
      </c>
      <c r="D15" s="101">
        <v>0.30290180191756771</v>
      </c>
      <c r="E15" s="101">
        <v>0.30290180191756771</v>
      </c>
      <c r="F15" s="101">
        <v>0.30290180191756771</v>
      </c>
    </row>
    <row r="16" spans="1:8" ht="15.75" customHeight="1" x14ac:dyDescent="0.25">
      <c r="B16" s="19" t="s">
        <v>89</v>
      </c>
      <c r="C16" s="101">
        <v>4.9506530600581952E-2</v>
      </c>
      <c r="D16" s="101">
        <v>4.9506530600581952E-2</v>
      </c>
      <c r="E16" s="101">
        <v>4.9506530600581952E-2</v>
      </c>
      <c r="F16" s="101">
        <v>4.9506530600581952E-2</v>
      </c>
    </row>
    <row r="17" spans="1:8" ht="15.75" customHeight="1" x14ac:dyDescent="0.25">
      <c r="B17" s="19" t="s">
        <v>90</v>
      </c>
      <c r="C17" s="101">
        <v>4.5077340701437582E-2</v>
      </c>
      <c r="D17" s="101">
        <v>4.5077340701437582E-2</v>
      </c>
      <c r="E17" s="101">
        <v>4.5077340701437582E-2</v>
      </c>
      <c r="F17" s="101">
        <v>4.5077340701437582E-2</v>
      </c>
    </row>
    <row r="18" spans="1:8" ht="15.75" customHeight="1" x14ac:dyDescent="0.25">
      <c r="B18" s="19" t="s">
        <v>91</v>
      </c>
      <c r="C18" s="101">
        <v>0.17951082498897569</v>
      </c>
      <c r="D18" s="101">
        <v>0.17951082498897569</v>
      </c>
      <c r="E18" s="101">
        <v>0.17951082498897569</v>
      </c>
      <c r="F18" s="101">
        <v>0.17951082498897569</v>
      </c>
    </row>
    <row r="19" spans="1:8" ht="15.75" customHeight="1" x14ac:dyDescent="0.25">
      <c r="B19" s="19" t="s">
        <v>92</v>
      </c>
      <c r="C19" s="101">
        <v>1.5499080026813061E-2</v>
      </c>
      <c r="D19" s="101">
        <v>1.5499080026813061E-2</v>
      </c>
      <c r="E19" s="101">
        <v>1.5499080026813061E-2</v>
      </c>
      <c r="F19" s="101">
        <v>1.5499080026813061E-2</v>
      </c>
    </row>
    <row r="20" spans="1:8" ht="15.75" customHeight="1" x14ac:dyDescent="0.25">
      <c r="B20" s="19" t="s">
        <v>93</v>
      </c>
      <c r="C20" s="101">
        <v>9.5918804033508307E-3</v>
      </c>
      <c r="D20" s="101">
        <v>9.5918804033508307E-3</v>
      </c>
      <c r="E20" s="101">
        <v>9.5918804033508307E-3</v>
      </c>
      <c r="F20" s="101">
        <v>9.5918804033508307E-3</v>
      </c>
    </row>
    <row r="21" spans="1:8" ht="15.75" customHeight="1" x14ac:dyDescent="0.25">
      <c r="B21" s="19" t="s">
        <v>94</v>
      </c>
      <c r="C21" s="101">
        <v>3.2982815508519593E-2</v>
      </c>
      <c r="D21" s="101">
        <v>3.2982815508519593E-2</v>
      </c>
      <c r="E21" s="101">
        <v>3.2982815508519593E-2</v>
      </c>
      <c r="F21" s="101">
        <v>3.2982815508519593E-2</v>
      </c>
    </row>
    <row r="22" spans="1:8" ht="15.75" customHeight="1" x14ac:dyDescent="0.25">
      <c r="B22" s="19" t="s">
        <v>95</v>
      </c>
      <c r="C22" s="101">
        <v>0.15531463127216741</v>
      </c>
      <c r="D22" s="101">
        <v>0.15531463127216741</v>
      </c>
      <c r="E22" s="101">
        <v>0.15531463127216741</v>
      </c>
      <c r="F22" s="101">
        <v>0.15531463127216741</v>
      </c>
    </row>
    <row r="23" spans="1:8" ht="15.75" customHeight="1" x14ac:dyDescent="0.25">
      <c r="B23" s="27" t="s">
        <v>41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8.8804052000000008E-2</v>
      </c>
    </row>
    <row r="27" spans="1:8" ht="15.75" customHeight="1" x14ac:dyDescent="0.25">
      <c r="B27" s="19" t="s">
        <v>102</v>
      </c>
      <c r="C27" s="101">
        <v>8.6505729999999999E-3</v>
      </c>
    </row>
    <row r="28" spans="1:8" ht="15.75" customHeight="1" x14ac:dyDescent="0.25">
      <c r="B28" s="19" t="s">
        <v>103</v>
      </c>
      <c r="C28" s="101">
        <v>0.15426393499999999</v>
      </c>
    </row>
    <row r="29" spans="1:8" ht="15.75" customHeight="1" x14ac:dyDescent="0.25">
      <c r="B29" s="19" t="s">
        <v>104</v>
      </c>
      <c r="C29" s="101">
        <v>0.16852035100000001</v>
      </c>
    </row>
    <row r="30" spans="1:8" ht="15.75" customHeight="1" x14ac:dyDescent="0.25">
      <c r="B30" s="19" t="s">
        <v>2</v>
      </c>
      <c r="C30" s="101">
        <v>0.106889969</v>
      </c>
    </row>
    <row r="31" spans="1:8" ht="15.75" customHeight="1" x14ac:dyDescent="0.25">
      <c r="B31" s="19" t="s">
        <v>105</v>
      </c>
      <c r="C31" s="101">
        <v>0.10946104600000001</v>
      </c>
    </row>
    <row r="32" spans="1:8" ht="15.75" customHeight="1" x14ac:dyDescent="0.25">
      <c r="B32" s="19" t="s">
        <v>106</v>
      </c>
      <c r="C32" s="101">
        <v>1.8636323E-2</v>
      </c>
    </row>
    <row r="33" spans="2:3" ht="15.75" customHeight="1" x14ac:dyDescent="0.25">
      <c r="B33" s="19" t="s">
        <v>107</v>
      </c>
      <c r="C33" s="101">
        <v>8.3221009999999998E-2</v>
      </c>
    </row>
    <row r="34" spans="2:3" ht="15.75" customHeight="1" x14ac:dyDescent="0.25">
      <c r="B34" s="19" t="s">
        <v>108</v>
      </c>
      <c r="C34" s="101">
        <v>0.26155274000000001</v>
      </c>
    </row>
    <row r="35" spans="2:3" ht="15.75" customHeight="1" x14ac:dyDescent="0.25">
      <c r="B35" s="27" t="s">
        <v>41</v>
      </c>
      <c r="C35" s="48">
        <f>SUM(C26:C34)</f>
        <v>0.99999999900000014</v>
      </c>
    </row>
  </sheetData>
  <sheetProtection algorithmName="SHA-512" hashValue="ngQDbeWSwhHeBm+GU2503rWRHE49RjAs7SuThov/+wZRYlKJI3jDJiNCefCQCfDaVMK5KLyF8oea6LROQs2/9g==" saltValue="vMzbHvYAuzdnvUfFrR5O5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0.57527704833162918</v>
      </c>
      <c r="D2" s="52">
        <f>IFERROR(1-_xlfn.NORM.DIST(_xlfn.NORM.INV(SUM(D4:D5), 0, 1) + 1, 0, 1, TRUE), "")</f>
        <v>0.57527704833162918</v>
      </c>
      <c r="E2" s="52">
        <f>IFERROR(1-_xlfn.NORM.DIST(_xlfn.NORM.INV(SUM(E4:E5), 0, 1) + 1, 0, 1, TRUE), "")</f>
        <v>0.38657966597483828</v>
      </c>
      <c r="F2" s="52">
        <f>IFERROR(1-_xlfn.NORM.DIST(_xlfn.NORM.INV(SUM(F4:F5), 0, 1) + 1, 0, 1, TRUE), "")</f>
        <v>0.19527089196556247</v>
      </c>
      <c r="G2" s="52">
        <f>IFERROR(1-_xlfn.NORM.DIST(_xlfn.NORM.INV(SUM(G4:G5), 0, 1) + 1, 0, 1, TRUE), "")</f>
        <v>0.21072496537900354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0.30766545166837078</v>
      </c>
      <c r="D3" s="52">
        <f>IFERROR(_xlfn.NORM.DIST(_xlfn.NORM.INV(SUM(D4:D5), 0, 1) + 1, 0, 1, TRUE) - SUM(D4:D5), "")</f>
        <v>0.30766545166837078</v>
      </c>
      <c r="E3" s="52">
        <f>IFERROR(_xlfn.NORM.DIST(_xlfn.NORM.INV(SUM(E4:E5), 0, 1) + 1, 0, 1, TRUE) - SUM(E4:E5), "")</f>
        <v>0.37511213402516169</v>
      </c>
      <c r="F3" s="52">
        <f>IFERROR(_xlfn.NORM.DIST(_xlfn.NORM.INV(SUM(F4:F5), 0, 1) + 1, 0, 1, TRUE) - SUM(F4:F5), "")</f>
        <v>0.36093820803443755</v>
      </c>
      <c r="G3" s="52">
        <f>IFERROR(_xlfn.NORM.DIST(_xlfn.NORM.INV(SUM(G4:G5), 0, 1) + 1, 0, 1, TRUE) - SUM(G4:G5), "")</f>
        <v>0.36700583462099645</v>
      </c>
    </row>
    <row r="4" spans="1:15" ht="15.75" customHeight="1" x14ac:dyDescent="0.25">
      <c r="B4" s="5" t="s">
        <v>114</v>
      </c>
      <c r="C4" s="45">
        <v>6.8478600000000001E-2</v>
      </c>
      <c r="D4" s="53">
        <v>6.8478600000000001E-2</v>
      </c>
      <c r="E4" s="53">
        <v>0.13440060000000001</v>
      </c>
      <c r="F4" s="53">
        <v>0.21662210000000001</v>
      </c>
      <c r="G4" s="53">
        <v>0.21005599999999999</v>
      </c>
    </row>
    <row r="5" spans="1:15" ht="15.75" customHeight="1" x14ac:dyDescent="0.25">
      <c r="B5" s="5" t="s">
        <v>115</v>
      </c>
      <c r="C5" s="45">
        <v>4.8578900000000001E-2</v>
      </c>
      <c r="D5" s="53">
        <v>4.8578900000000001E-2</v>
      </c>
      <c r="E5" s="53">
        <v>0.1039076</v>
      </c>
      <c r="F5" s="53">
        <v>0.2271688</v>
      </c>
      <c r="G5" s="53">
        <v>0.21221319999999999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0.50361624753888468</v>
      </c>
      <c r="D8" s="52">
        <f>IFERROR(1-_xlfn.NORM.DIST(_xlfn.NORM.INV(SUM(D10:D11), 0, 1) + 1, 0, 1, TRUE), "")</f>
        <v>0.50361624753888468</v>
      </c>
      <c r="E8" s="52">
        <f>IFERROR(1-_xlfn.NORM.DIST(_xlfn.NORM.INV(SUM(E10:E11), 0, 1) + 1, 0, 1, TRUE), "")</f>
        <v>0.42929325636114668</v>
      </c>
      <c r="F8" s="52">
        <f>IFERROR(1-_xlfn.NORM.DIST(_xlfn.NORM.INV(SUM(F10:F11), 0, 1) + 1, 0, 1, TRUE), "")</f>
        <v>0.45047069846182375</v>
      </c>
      <c r="G8" s="52">
        <f>IFERROR(1-_xlfn.NORM.DIST(_xlfn.NORM.INV(SUM(G10:G11), 0, 1) + 1, 0, 1, TRUE), "")</f>
        <v>0.58276678308832131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0.33991195246111533</v>
      </c>
      <c r="D9" s="52">
        <f>IFERROR(_xlfn.NORM.DIST(_xlfn.NORM.INV(SUM(D10:D11), 0, 1) + 1, 0, 1, TRUE) - SUM(D10:D11), "")</f>
        <v>0.33991195246111533</v>
      </c>
      <c r="E9" s="52">
        <f>IFERROR(_xlfn.NORM.DIST(_xlfn.NORM.INV(SUM(E10:E11), 0, 1) + 1, 0, 1, TRUE) - SUM(E10:E11), "")</f>
        <v>0.36511884363885333</v>
      </c>
      <c r="F9" s="52">
        <f>IFERROR(_xlfn.NORM.DIST(_xlfn.NORM.INV(SUM(F10:F11), 0, 1) + 1, 0, 1, TRUE) - SUM(F10:F11), "")</f>
        <v>0.35888590153817623</v>
      </c>
      <c r="G9" s="52">
        <f>IFERROR(_xlfn.NORM.DIST(_xlfn.NORM.INV(SUM(G10:G11), 0, 1) + 1, 0, 1, TRUE) - SUM(G10:G11), "")</f>
        <v>0.30389731691167871</v>
      </c>
    </row>
    <row r="10" spans="1:15" ht="15.75" customHeight="1" x14ac:dyDescent="0.25">
      <c r="B10" s="5" t="s">
        <v>119</v>
      </c>
      <c r="C10" s="45">
        <v>9.5934500000000006E-2</v>
      </c>
      <c r="D10" s="53">
        <v>9.5934500000000006E-2</v>
      </c>
      <c r="E10" s="53">
        <v>0.128469</v>
      </c>
      <c r="F10" s="53">
        <v>0.12639329999999999</v>
      </c>
      <c r="G10" s="53">
        <v>8.0671499999999993E-2</v>
      </c>
    </row>
    <row r="11" spans="1:15" ht="15.75" customHeight="1" x14ac:dyDescent="0.25">
      <c r="B11" s="5" t="s">
        <v>120</v>
      </c>
      <c r="C11" s="45">
        <v>6.0537300000000002E-2</v>
      </c>
      <c r="D11" s="53">
        <v>6.0537300000000002E-2</v>
      </c>
      <c r="E11" s="53">
        <v>7.7118900000000004E-2</v>
      </c>
      <c r="F11" s="53">
        <v>6.4250100000000004E-2</v>
      </c>
      <c r="G11" s="53">
        <v>3.2664400000000003E-2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0.73521598700000002</v>
      </c>
      <c r="D14" s="54">
        <v>0.72018264867199999</v>
      </c>
      <c r="E14" s="54">
        <v>0.72018264867199999</v>
      </c>
      <c r="F14" s="54">
        <v>0.82913690597400003</v>
      </c>
      <c r="G14" s="54">
        <v>0.82913690597400003</v>
      </c>
      <c r="H14" s="45">
        <v>0.52100000000000002</v>
      </c>
      <c r="I14" s="55">
        <v>0.52100000000000002</v>
      </c>
      <c r="J14" s="55">
        <v>0.52100000000000002</v>
      </c>
      <c r="K14" s="55">
        <v>0.52100000000000002</v>
      </c>
      <c r="L14" s="45">
        <v>0.47099999999999992</v>
      </c>
      <c r="M14" s="55">
        <v>0.47099999999999992</v>
      </c>
      <c r="N14" s="55">
        <v>0.47099999999999992</v>
      </c>
      <c r="O14" s="55">
        <v>0.47099999999999992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0.31991526763929701</v>
      </c>
      <c r="D15" s="52">
        <f t="shared" si="0"/>
        <v>0.313373796099296</v>
      </c>
      <c r="E15" s="52">
        <f t="shared" si="0"/>
        <v>0.313373796099296</v>
      </c>
      <c r="F15" s="52">
        <f t="shared" si="0"/>
        <v>0.3607831710333726</v>
      </c>
      <c r="G15" s="52">
        <f t="shared" si="0"/>
        <v>0.3607831710333726</v>
      </c>
      <c r="H15" s="52">
        <f t="shared" si="0"/>
        <v>0.22670325099999999</v>
      </c>
      <c r="I15" s="52">
        <f t="shared" si="0"/>
        <v>0.22670325099999999</v>
      </c>
      <c r="J15" s="52">
        <f t="shared" si="0"/>
        <v>0.22670325099999999</v>
      </c>
      <c r="K15" s="52">
        <f t="shared" si="0"/>
        <v>0.22670325099999999</v>
      </c>
      <c r="L15" s="52">
        <f t="shared" si="0"/>
        <v>0.20494670099999995</v>
      </c>
      <c r="M15" s="52">
        <f t="shared" si="0"/>
        <v>0.20494670099999995</v>
      </c>
      <c r="N15" s="52">
        <f t="shared" si="0"/>
        <v>0.20494670099999995</v>
      </c>
      <c r="O15" s="52">
        <f t="shared" si="0"/>
        <v>0.20494670099999995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yLPdfoK6Eb5Kn+6EiuJwgybweu9hacEl+PX+oEG1fJcNcze7fQayejRcWfdpvSwd5en/YyCoTV7iwl7JTvhHcQ==" saltValue="/Rulsx3zlgS37fd3YmobH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0.22203829999999999</v>
      </c>
      <c r="D2" s="53">
        <v>0.16409360000000001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0.5179011</v>
      </c>
      <c r="D3" s="53">
        <v>0.40324939999999998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0.24761810000000001</v>
      </c>
      <c r="D4" s="53">
        <v>0.4201106</v>
      </c>
      <c r="E4" s="53">
        <v>0.96840000000000004</v>
      </c>
      <c r="F4" s="53">
        <v>0.72719300000000009</v>
      </c>
      <c r="G4" s="53">
        <v>0</v>
      </c>
    </row>
    <row r="5" spans="1:7" x14ac:dyDescent="0.25">
      <c r="B5" s="3" t="s">
        <v>132</v>
      </c>
      <c r="C5" s="52">
        <v>1.2442399999999999E-2</v>
      </c>
      <c r="D5" s="52">
        <v>1.25463E-2</v>
      </c>
      <c r="E5" s="52">
        <f>1-SUM(E2:E4)</f>
        <v>3.1599999999999961E-2</v>
      </c>
      <c r="F5" s="52">
        <f>1-SUM(F2:F4)</f>
        <v>0.27280699999999991</v>
      </c>
      <c r="G5" s="52">
        <f>1-SUM(G2:G4)</f>
        <v>1</v>
      </c>
    </row>
  </sheetData>
  <sheetProtection algorithmName="SHA-512" hashValue="NogLpezCeDtUfKzqW4NYB6l1VbRqzIJX4EfaPcMIQKMVTi4h8tmPk8c/hTKNrqKbi8mgy700UP3+CSio/Ebeyw==" saltValue="kkUjLNZ0T9J3nP3B4VsC1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tM6E5Aj135o9c/h+/15aLd65FExDTeHhReSk/JhZX8rZXwAOiXcdJV4Hw5JyZA9w1Cjx+hvIdtH1Ft1dS4DS7A==" saltValue="hR7BkV0bBwCneVrCMaXcZ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oEArXqq17PWqiCfPgAGcyKVivq1QzTtBU56oOFTLbrQ9yiMKcOO4BxFHAnWj8Ddrmbtx5q/GBR/9cuTJqMBvhA==" saltValue="OW4wWq9d0L+/YPSnJJo3Y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XhXQUleMdYrmA6vXpDPSqmM7BHnDTKQgR+gQu4ajbHMRaqdayvZU4KlmJjUuN7RGPNTqnawZkgTwaqj7zdFVRQ==" saltValue="8ZkT1Hw7W3dKg02l2LTQE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BCgL8tZNaQwzZxjisorOBqyb2Af6m7M8gbgAknf2gvrn7g9IzgXsve+yTQBCGx27g2cui69JWrSEoC2KWQXGtA==" saltValue="I9KNw4cuB5Fxh4bEb4Pos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35.834023182075242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0.136995590606</v>
      </c>
      <c r="C3" s="98">
        <v>0.95</v>
      </c>
      <c r="D3" s="56">
        <v>47.385692178916713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66.429565189928027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0.15354973642230621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0.1104295</v>
      </c>
      <c r="C10" s="98">
        <v>0.95</v>
      </c>
      <c r="D10" s="56">
        <v>15.0449415094118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0.1104295</v>
      </c>
      <c r="C11" s="98">
        <v>0.95</v>
      </c>
      <c r="D11" s="56">
        <v>15.0449415094118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0.1104295</v>
      </c>
      <c r="C12" s="98">
        <v>0.95</v>
      </c>
      <c r="D12" s="56">
        <v>15.0449415094118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0.1104295</v>
      </c>
      <c r="C13" s="98">
        <v>0.95</v>
      </c>
      <c r="D13" s="56">
        <v>15.0449415094118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0.1104295</v>
      </c>
      <c r="C14" s="98">
        <v>0.95</v>
      </c>
      <c r="D14" s="56">
        <v>15.0449415094118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0.1104295</v>
      </c>
      <c r="C15" s="98">
        <v>0.95</v>
      </c>
      <c r="D15" s="56">
        <v>15.0449415094118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0.75</v>
      </c>
      <c r="C16" s="98">
        <v>0.95</v>
      </c>
      <c r="D16" s="56">
        <v>0.24753065261816909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3.4269463770299997E-2</v>
      </c>
      <c r="C18" s="98">
        <v>0.95</v>
      </c>
      <c r="D18" s="56">
        <v>1.6361723633111671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0.12922069999999999</v>
      </c>
      <c r="C19" s="98">
        <v>0.95</v>
      </c>
      <c r="D19" s="56">
        <v>1.6361723633111671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0.16786129999999999</v>
      </c>
      <c r="C21" s="98">
        <v>0.95</v>
      </c>
      <c r="D21" s="56">
        <v>1.3660250985983859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25.638805136545979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4.9287239443093789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0.25968269754360002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0.1104295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21.80411146065811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0.20364259377329999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62.990389674195526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0.91</v>
      </c>
      <c r="C31" s="98">
        <v>0.95</v>
      </c>
      <c r="D31" s="56">
        <v>2.9247513411599648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0.46793811090654153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0.91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0.23353189999999999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0.17447260000000001</v>
      </c>
      <c r="C38" s="98">
        <v>0.95</v>
      </c>
      <c r="D38" s="56">
        <v>8.1134342608599326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dprAaoULMGQuidALsrhprvh2iIA4EsunVIazQR8N4ZF9JTGf/iIc2dxqY+mE7L5yv52YMEL187DgXCsLAmiM6Q==" saltValue="2II7pyPFKQsslPCwXaS1C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nfwvmck5xG7/+pjOID5KPc64wXPdDhrOiYO8aSP8RSFpIBYbVp9nGLA0I0MPP9BrOqVi9qrzCc+LSjUVMNo9Tw==" saltValue="jMIGIJtZ7VbzJC7tx9JDN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vBusoX0I+GC+rQviKUu4X80exmUxFvL54vGTKURGoSD5K1rillF9XNJLFqq9RUqbCAQOJAJYsFIcl4N7A2zoeQ==" saltValue="qfvtskj0BUNAwaYz2ShXl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209</v>
      </c>
      <c r="B3" s="21">
        <f>frac_mam_1month * 2.6</f>
        <v>0.24942970000000003</v>
      </c>
      <c r="C3" s="21">
        <f>frac_mam_1_5months * 2.6</f>
        <v>0.24942970000000003</v>
      </c>
      <c r="D3" s="21">
        <f>frac_mam_6_11months * 2.6</f>
        <v>0.33401940000000002</v>
      </c>
      <c r="E3" s="21">
        <f>frac_mam_12_23months * 2.6</f>
        <v>0.32862258</v>
      </c>
      <c r="F3" s="21">
        <f>frac_mam_24_59months * 2.6</f>
        <v>0.20974589999999999</v>
      </c>
    </row>
    <row r="4" spans="1:6" ht="15.75" customHeight="1" x14ac:dyDescent="0.25">
      <c r="A4" s="3" t="s">
        <v>208</v>
      </c>
      <c r="B4" s="21">
        <f>frac_sam_1month * 2.6</f>
        <v>0.15739698000000002</v>
      </c>
      <c r="C4" s="21">
        <f>frac_sam_1_5months * 2.6</f>
        <v>0.15739698000000002</v>
      </c>
      <c r="D4" s="21">
        <f>frac_sam_6_11months * 2.6</f>
        <v>0.20050914000000003</v>
      </c>
      <c r="E4" s="21">
        <f>frac_sam_12_23months * 2.6</f>
        <v>0.16705026000000001</v>
      </c>
      <c r="F4" s="21">
        <f>frac_sam_24_59months * 2.6</f>
        <v>8.4927440000000007E-2</v>
      </c>
    </row>
  </sheetData>
  <sheetProtection algorithmName="SHA-512" hashValue="PkfUq84GNeoNobio8luPajmsV7oww+NVjCcFLBx7V9OBiYXuJQe9Zi/aGjKqeXxPCzn7C/FgWO18EAfVQ+yUKg==" saltValue="WVRAPZsWUql7WjqUtbEhP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0.38400000000000001</v>
      </c>
      <c r="E2" s="60">
        <f>food_insecure</f>
        <v>0.38400000000000001</v>
      </c>
      <c r="F2" s="60">
        <f>food_insecure</f>
        <v>0.38400000000000001</v>
      </c>
      <c r="G2" s="60">
        <f>food_insecure</f>
        <v>0.38400000000000001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0.38400000000000001</v>
      </c>
      <c r="F5" s="60">
        <f>food_insecure</f>
        <v>0.38400000000000001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0.38400000000000001</v>
      </c>
      <c r="F8" s="60">
        <f>food_insecure</f>
        <v>0.38400000000000001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0.38400000000000001</v>
      </c>
      <c r="F9" s="60">
        <f>food_insecure</f>
        <v>0.38400000000000001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0.38400000000000001</v>
      </c>
      <c r="I15" s="60">
        <f>food_insecure</f>
        <v>0.38400000000000001</v>
      </c>
      <c r="J15" s="60">
        <f>food_insecure</f>
        <v>0.38400000000000001</v>
      </c>
      <c r="K15" s="60">
        <f>food_insecure</f>
        <v>0.38400000000000001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0.86</v>
      </c>
      <c r="I19" s="60">
        <f>frac_malaria_risk</f>
        <v>0.86</v>
      </c>
      <c r="J19" s="60">
        <f>frac_malaria_risk</f>
        <v>0.86</v>
      </c>
      <c r="K19" s="60">
        <f>frac_malaria_risk</f>
        <v>0.86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0.82499999999999996</v>
      </c>
      <c r="M24" s="60">
        <f>famplan_unmet_need</f>
        <v>0.82499999999999996</v>
      </c>
      <c r="N24" s="60">
        <f>famplan_unmet_need</f>
        <v>0.82499999999999996</v>
      </c>
      <c r="O24" s="60">
        <f>famplan_unmet_need</f>
        <v>0.82499999999999996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0.49989798598098745</v>
      </c>
      <c r="M25" s="60">
        <f>(1-food_insecure)*(0.49)+food_insecure*(0.7)</f>
        <v>0.57064000000000004</v>
      </c>
      <c r="N25" s="60">
        <f>(1-food_insecure)*(0.49)+food_insecure*(0.7)</f>
        <v>0.57064000000000004</v>
      </c>
      <c r="O25" s="60">
        <f>(1-food_insecure)*(0.49)+food_insecure*(0.7)</f>
        <v>0.57064000000000004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0.21424199399185179</v>
      </c>
      <c r="M26" s="60">
        <f>(1-food_insecure)*(0.21)+food_insecure*(0.3)</f>
        <v>0.24456</v>
      </c>
      <c r="N26" s="60">
        <f>(1-food_insecure)*(0.21)+food_insecure*(0.3)</f>
        <v>0.24456</v>
      </c>
      <c r="O26" s="60">
        <f>(1-food_insecure)*(0.21)+food_insecure*(0.3)</f>
        <v>0.24456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0.16189041744232174</v>
      </c>
      <c r="M27" s="60">
        <f>(1-food_insecure)*(0.3)</f>
        <v>0.18479999999999999</v>
      </c>
      <c r="N27" s="60">
        <f>(1-food_insecure)*(0.3)</f>
        <v>0.18479999999999999</v>
      </c>
      <c r="O27" s="60">
        <f>(1-food_insecure)*(0.3)</f>
        <v>0.18479999999999999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0.12396960258483899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0.86</v>
      </c>
      <c r="D34" s="60">
        <f t="shared" si="3"/>
        <v>0.86</v>
      </c>
      <c r="E34" s="60">
        <f t="shared" si="3"/>
        <v>0.86</v>
      </c>
      <c r="F34" s="60">
        <f t="shared" si="3"/>
        <v>0.86</v>
      </c>
      <c r="G34" s="60">
        <f t="shared" si="3"/>
        <v>0.86</v>
      </c>
      <c r="H34" s="60">
        <f t="shared" si="3"/>
        <v>0.86</v>
      </c>
      <c r="I34" s="60">
        <f t="shared" si="3"/>
        <v>0.86</v>
      </c>
      <c r="J34" s="60">
        <f t="shared" si="3"/>
        <v>0.86</v>
      </c>
      <c r="K34" s="60">
        <f t="shared" si="3"/>
        <v>0.86</v>
      </c>
      <c r="L34" s="60">
        <f t="shared" si="3"/>
        <v>0.86</v>
      </c>
      <c r="M34" s="60">
        <f t="shared" si="3"/>
        <v>0.86</v>
      </c>
      <c r="N34" s="60">
        <f t="shared" si="3"/>
        <v>0.86</v>
      </c>
      <c r="O34" s="60">
        <f t="shared" si="3"/>
        <v>0.86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7DfXSHzvCIqBgu/43GzoJMdeNE+qJ7AfD/pEwmRiJsgVPWHIfQ5/Mh/hWGByQkoJiqPksYdxhljKyJLhTIq/AA==" saltValue="m4y+vWWC7qHvwz+txaJH3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5JuX5N+zVyOY1N80hN+dFjRB5JHqkNPBeojq7td7LyLFCnGe9cAD326c5p5PfeyGENsDAz6rmQF3mkHSAC6nlg==" saltValue="atpfyeIMBX8PtVTPR7ZlR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U7QA+YWkqovzGe9Z8g8TWlis/CrrMf2mpNI8AuQ8T4dMCSwDcvesmLY8On4IPpiR55/QafYHiI0GfkOclvA+6A==" saltValue="x19Hw+r4EEvAdxgQxwhGM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cHvYOzta/BwK2CtVqKLZVT9YW9y4x5e+fStnuokpl8sXyPYT/e/0ppMtekHA17wbHT0nxdl8hGecIsHABCYmOw==" saltValue="wRnxExdX03nVfh4ftyCIo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Mc0P0L3cJfzPpbLZdEfw9Nfm9b6YfB9i4709ICq4F/Yj0PS64B/ICveO1v9TvW0LNZIwNgz9nWonrUPGIsFfXA==" saltValue="FJ67WUeYA2IwnpO4Cg5gj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tGzVaqPd/GDgDiAt/SNMj0ZyJoNKIRAD3/Kcte+p9ijYOU+0RtObOutxT6h5Rhx/mCswCDkkrl9ROl+yIc51AQ==" saltValue="r5u4krFE/aOi3yrqGaOtd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AAmMrIiOj0DglZUe1BpiZ03w27YwD+WBE/40VhxKLvvfPoj/Wc804YOg3ekoEn5bJLH2m9i267Eos+6/xt86GQ==" saltValue="jhcp3JDGvtP1Su+EvnYwK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7AHiMay4dvPJgg7+NA1EjIrldd1nYiwRgfORsT7YHCxuVrRtRsD9j3TFoFPg5+NslGO82NwuRzfLN5RigSSg4A==" saltValue="d7cs18/o/1S5VU1wK8fL3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fw1ojGBYkY7XcaFhDLuj9GApxBaOW/yjI/6cH4fLdBd1gpnLMk3mAWOCUZhxE6OyQph4RCc8ZI8WHdTZqtoFMw==" saltValue="FFHH7/ptx769jDZ+6URm9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IRVdaiw8TQC25Vu9qA22JE6ypj8URkaUrckWXoTGv+jy1zQXdRBH8A+DLQ/p8E8dKUM+12380+usd57TysUMXg==" saltValue="1citExG2ZrOxEiZFZHZR3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bUd2V2KYvkI/H+neQpskefgCcF6FJ9algDcTs4WiFmz2KcctxzzIl3xSLitWVWHo/2LH4JLmqYjK4Ib8Q2/dpw==" saltValue="SrW7E/EXJ7LrLLhknp2Jx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H2af0H9oR14FwgQo8SxN7vQMtPTBgejG0I3fOinzV6l3qXlcsJ+8+xHExLKTdY1L2sBgOq42DDRy8fq66ZLzEw==" saltValue="t/IlNM/03bzUrs/kGJCO8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KT95Kuh61Suuh1Xlq8CJB0TFqoB8gIuxxkD2nSQ3RdAW/zvA10fRykXdKR/4JiOo60JRX5zzgxeHk07Y/EBQpw==" saltValue="l0VOWZB85vA+7xjL+QG/L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pm4YZwP6YN9D79hDsyTPS8j0GrqoKtNR1SaHgmVt2h+8SNJ09mBsM7iZHBR7s2rStavtFveZILQUw9oRFnK83A==" saltValue="1TrHo4GhgAA55dbh4U/Vs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+9ohDfFYbdhrUrx1YLehHzJFrtCPHPp1Bto5ThnerVY6ZotDOXRNHQUPD16bT5o4CB75VQdy0MtwHUVZ0XF5AQ==" saltValue="DdfdRigiZoMhyT1q25YHD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2024-05-17T00:55:52Z</dcterms:modified>
</cp:coreProperties>
</file>