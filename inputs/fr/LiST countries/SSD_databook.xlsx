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DD1491F-A353-434F-BDF8-B4365623DC4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31" i="2"/>
  <c r="A26" i="2"/>
  <c r="I39" i="2"/>
  <c r="A34" i="2"/>
  <c r="I2" i="2"/>
  <c r="I6" i="2"/>
  <c r="A19" i="2"/>
  <c r="A35" i="2"/>
  <c r="A40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<sst xmlns="http://schemas.openxmlformats.org/spreadsheetml/2006/main" count="2169" uniqueCount="369">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</sst>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1456298.5</v>
      </c>
    </row>
    <row r="8" spans="1:3" ht="15" customHeight="1" x14ac:dyDescent="0.25">
      <c r="B8" s="5" t="s">
        <v>37</v>
      </c>
      <c r="C8" s="44">
        <v>0.82299999999999995</v>
      </c>
    </row>
    <row r="9" spans="1:3" ht="15" customHeight="1" x14ac:dyDescent="0.25">
      <c r="B9" s="5" t="s">
        <v>38</v>
      </c>
      <c r="C9" s="45">
        <v>0.39</v>
      </c>
    </row>
    <row r="10" spans="1:3" ht="15" customHeight="1" x14ac:dyDescent="0.25">
      <c r="B10" s="5" t="s">
        <v>39</v>
      </c>
      <c r="C10" s="45">
        <v>4.49366E-2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6.7500000000000004E-2</v>
      </c>
    </row>
    <row r="24" spans="1:3" ht="15" customHeight="1" x14ac:dyDescent="0.25">
      <c r="B24" s="15" t="s">
        <v>51</v>
      </c>
      <c r="C24" s="45">
        <v>0.51</v>
      </c>
    </row>
    <row r="25" spans="1:3" ht="15" customHeight="1" x14ac:dyDescent="0.25">
      <c r="B25" s="15" t="s">
        <v>52</v>
      </c>
      <c r="C25" s="45">
        <v>0.32150000000000001</v>
      </c>
    </row>
    <row r="26" spans="1:3" ht="15" customHeight="1" x14ac:dyDescent="0.25">
      <c r="B26" s="15" t="s">
        <v>53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0.22259625228416199</v>
      </c>
    </row>
    <row r="30" spans="1:3" ht="14.25" customHeight="1" x14ac:dyDescent="0.25">
      <c r="B30" s="25" t="s">
        <v>56</v>
      </c>
      <c r="C30" s="97">
        <v>6.9957740305893898E-2</v>
      </c>
    </row>
    <row r="31" spans="1:3" ht="14.25" customHeight="1" x14ac:dyDescent="0.25">
      <c r="B31" s="25" t="s">
        <v>57</v>
      </c>
      <c r="C31" s="97">
        <v>0.118524449608315</v>
      </c>
    </row>
    <row r="32" spans="1:3" ht="14.25" customHeight="1" x14ac:dyDescent="0.25">
      <c r="B32" s="25" t="s">
        <v>58</v>
      </c>
      <c r="C32" s="97">
        <v>0.58892155780162903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39.626449999999998</v>
      </c>
    </row>
    <row r="38" spans="1:5" ht="15" customHeight="1" x14ac:dyDescent="0.25">
      <c r="B38" s="11" t="s">
        <v>63</v>
      </c>
      <c r="C38" s="43">
        <v>63.756</v>
      </c>
      <c r="D38" s="12"/>
      <c r="E38" s="13"/>
    </row>
    <row r="39" spans="1:5" ht="15" customHeight="1" x14ac:dyDescent="0.25">
      <c r="B39" s="11" t="s">
        <v>64</v>
      </c>
      <c r="C39" s="43">
        <v>98.689639999999997</v>
      </c>
      <c r="D39" s="12"/>
      <c r="E39" s="12"/>
    </row>
    <row r="40" spans="1:5" ht="15" customHeight="1" x14ac:dyDescent="0.25">
      <c r="B40" s="11" t="s">
        <v>65</v>
      </c>
      <c r="C40" s="98">
        <v>12.23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7.9325000000000003E-3</v>
      </c>
      <c r="D45" s="12"/>
    </row>
    <row r="46" spans="1:5" ht="15.75" customHeight="1" x14ac:dyDescent="0.25">
      <c r="B46" s="11" t="s">
        <v>70</v>
      </c>
      <c r="C46" s="45">
        <v>8.5233500000000004E-2</v>
      </c>
      <c r="D46" s="12"/>
    </row>
    <row r="47" spans="1:5" ht="15.75" customHeight="1" x14ac:dyDescent="0.25">
      <c r="B47" s="11" t="s">
        <v>71</v>
      </c>
      <c r="C47" s="45">
        <v>7.3456999999999995E-2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0.52577700000000005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P1qsjgXUMQy3BHjOEqYnQTpSsFV1rE9/GaHODRPsNxYzUGn5eEWag7TZF4L/sZwFtSZuraGVEUem2TwdBqGwA==" saltValue="k71EzqySQobQjywU8Kr9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1573241.5</v>
      </c>
      <c r="C2" s="49">
        <v>407878</v>
      </c>
      <c r="D2" s="49">
        <v>687830.5</v>
      </c>
      <c r="E2" s="49">
        <v>1552358.5</v>
      </c>
      <c r="F2" s="49">
        <v>1028185.5</v>
      </c>
      <c r="G2" s="17">
        <f t="shared" ref="G2:G13" si="0">C2+D2+E2+F2</f>
        <v>3676252.5</v>
      </c>
      <c r="H2" s="17">
        <f t="shared" ref="H2:H13" si="1">(B2 + stillbirth*B2/(1000-stillbirth))/(1-abortion)</f>
        <v>1835198.4369467765</v>
      </c>
      <c r="I2" s="17">
        <f t="shared" ref="I2:I13" si="2">G2-H2</f>
        <v>1841054.0630532235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349013</v>
      </c>
      <c r="C3" s="50">
        <v>751321</v>
      </c>
      <c r="D3" s="50">
        <v>996666.5</v>
      </c>
      <c r="E3" s="50">
        <v>607844</v>
      </c>
      <c r="F3" s="50">
        <v>643870</v>
      </c>
      <c r="G3" s="17">
        <f t="shared" si="0"/>
        <v>2999701.5</v>
      </c>
      <c r="H3" s="17">
        <f t="shared" si="1"/>
        <v>407126.37702101382</v>
      </c>
      <c r="I3" s="17">
        <f t="shared" si="2"/>
        <v>2592575.1229789862</v>
      </c>
    </row>
    <row r="4" spans="1:9" ht="15.75" customHeight="1" x14ac:dyDescent="0.25">
      <c r="A4" s="5">
        <f t="shared" si="3"/>
        <v>2026</v>
      </c>
      <c r="B4" s="49">
        <v>357711</v>
      </c>
      <c r="C4" s="50">
        <v>772056.5</v>
      </c>
      <c r="D4" s="50">
        <v>1067417.5</v>
      </c>
      <c r="E4" s="50">
        <v>609413</v>
      </c>
      <c r="F4" s="50">
        <v>647067.50000000012</v>
      </c>
      <c r="G4" s="17">
        <f t="shared" si="0"/>
        <v>3095954.5</v>
      </c>
      <c r="H4" s="17">
        <f t="shared" si="1"/>
        <v>417272.66162166983</v>
      </c>
      <c r="I4" s="17">
        <f t="shared" si="2"/>
        <v>2678681.8383783302</v>
      </c>
    </row>
    <row r="5" spans="1:9" ht="15.75" customHeight="1" x14ac:dyDescent="0.25">
      <c r="A5" s="5">
        <f t="shared" si="3"/>
        <v>2027</v>
      </c>
      <c r="B5" s="49">
        <v>365962</v>
      </c>
      <c r="C5" s="50">
        <v>791606.5</v>
      </c>
      <c r="D5" s="50">
        <v>1138464.5</v>
      </c>
      <c r="E5" s="50">
        <v>618509</v>
      </c>
      <c r="F5" s="50">
        <v>643815.49999999988</v>
      </c>
      <c r="G5" s="17">
        <f t="shared" si="0"/>
        <v>3192395.5</v>
      </c>
      <c r="H5" s="17">
        <f t="shared" si="1"/>
        <v>426897.51724825223</v>
      </c>
      <c r="I5" s="17">
        <f t="shared" si="2"/>
        <v>2765497.9827517476</v>
      </c>
    </row>
    <row r="6" spans="1:9" ht="15.75" customHeight="1" x14ac:dyDescent="0.25">
      <c r="A6" s="5">
        <f t="shared" si="3"/>
        <v>2028</v>
      </c>
      <c r="B6" s="49">
        <v>374205</v>
      </c>
      <c r="C6" s="50">
        <v>808787</v>
      </c>
      <c r="D6" s="50">
        <v>1210033.5</v>
      </c>
      <c r="E6" s="50">
        <v>637482.5</v>
      </c>
      <c r="F6" s="50">
        <v>632326</v>
      </c>
      <c r="G6" s="17">
        <f t="shared" si="0"/>
        <v>3288629</v>
      </c>
      <c r="H6" s="17">
        <f t="shared" si="1"/>
        <v>436513.04081265879</v>
      </c>
      <c r="I6" s="17">
        <f t="shared" si="2"/>
        <v>2852115.9591873414</v>
      </c>
    </row>
    <row r="7" spans="1:9" ht="15.75" customHeight="1" x14ac:dyDescent="0.25">
      <c r="A7" s="5">
        <f t="shared" si="3"/>
        <v>2029</v>
      </c>
      <c r="B7" s="49">
        <v>381724</v>
      </c>
      <c r="C7" s="50">
        <v>817985.5</v>
      </c>
      <c r="D7" s="50">
        <v>1280200</v>
      </c>
      <c r="E7" s="50">
        <v>664496.5</v>
      </c>
      <c r="F7" s="50">
        <v>616443</v>
      </c>
      <c r="G7" s="17">
        <f t="shared" si="0"/>
        <v>3379125</v>
      </c>
      <c r="H7" s="17">
        <f t="shared" si="1"/>
        <v>445284.0127501539</v>
      </c>
      <c r="I7" s="17">
        <f t="shared" si="2"/>
        <v>2933840.9872498461</v>
      </c>
    </row>
    <row r="8" spans="1:9" ht="15.75" customHeight="1" x14ac:dyDescent="0.25">
      <c r="A8" s="5">
        <f t="shared" si="3"/>
        <v>2030</v>
      </c>
      <c r="B8" s="49">
        <v>389036</v>
      </c>
      <c r="C8" s="50">
        <v>816439.5</v>
      </c>
      <c r="D8" s="50">
        <v>1343446.5</v>
      </c>
      <c r="E8" s="50">
        <v>695403</v>
      </c>
      <c r="F8" s="50">
        <v>605798</v>
      </c>
      <c r="G8" s="17">
        <f t="shared" si="0"/>
        <v>3461087</v>
      </c>
      <c r="H8" s="17">
        <f t="shared" si="1"/>
        <v>453813.51757884986</v>
      </c>
      <c r="I8" s="17">
        <f t="shared" si="2"/>
        <v>3007273.48242115</v>
      </c>
    </row>
    <row r="9" spans="1:9" ht="15.75" customHeight="1" x14ac:dyDescent="0.25">
      <c r="A9" s="5">
        <f t="shared" si="3"/>
        <v>2031</v>
      </c>
      <c r="B9" s="49">
        <v>395444</v>
      </c>
      <c r="C9" s="50">
        <v>802114.5</v>
      </c>
      <c r="D9" s="50">
        <v>1398011.5</v>
      </c>
      <c r="E9" s="50">
        <v>732143.5</v>
      </c>
      <c r="F9" s="50">
        <v>599696</v>
      </c>
      <c r="G9" s="17">
        <f t="shared" si="0"/>
        <v>3531965.5</v>
      </c>
      <c r="H9" s="17">
        <f t="shared" si="1"/>
        <v>461288.49938167853</v>
      </c>
      <c r="I9" s="17">
        <f t="shared" si="2"/>
        <v>3070677.0006183214</v>
      </c>
    </row>
    <row r="10" spans="1:9" ht="15.75" customHeight="1" x14ac:dyDescent="0.25">
      <c r="A10" s="5">
        <f t="shared" si="3"/>
        <v>2032</v>
      </c>
      <c r="B10" s="49">
        <v>400473</v>
      </c>
      <c r="C10" s="50">
        <v>777526.5</v>
      </c>
      <c r="D10" s="50">
        <v>1448069.5</v>
      </c>
      <c r="E10" s="50">
        <v>778887</v>
      </c>
      <c r="F10" s="50">
        <v>592625</v>
      </c>
      <c r="G10" s="17">
        <f t="shared" si="0"/>
        <v>3597108</v>
      </c>
      <c r="H10" s="17">
        <f t="shared" si="1"/>
        <v>467154.866966951</v>
      </c>
      <c r="I10" s="17">
        <f t="shared" si="2"/>
        <v>3129953.1330330488</v>
      </c>
    </row>
    <row r="11" spans="1:9" ht="15.75" customHeight="1" x14ac:dyDescent="0.25">
      <c r="A11" s="5">
        <f t="shared" si="3"/>
        <v>2033</v>
      </c>
      <c r="B11" s="49">
        <v>404565</v>
      </c>
      <c r="C11" s="50">
        <v>748450.5</v>
      </c>
      <c r="D11" s="50">
        <v>1492002</v>
      </c>
      <c r="E11" s="50">
        <v>834141.5</v>
      </c>
      <c r="F11" s="50">
        <v>585355.49999999988</v>
      </c>
      <c r="G11" s="17">
        <f t="shared" si="0"/>
        <v>3659949.5</v>
      </c>
      <c r="H11" s="17">
        <f t="shared" si="1"/>
        <v>471928.21676988091</v>
      </c>
      <c r="I11" s="17">
        <f t="shared" si="2"/>
        <v>3188021.2832301189</v>
      </c>
    </row>
    <row r="12" spans="1:9" ht="15.75" customHeight="1" x14ac:dyDescent="0.25">
      <c r="A12" s="5">
        <f t="shared" si="3"/>
        <v>2034</v>
      </c>
      <c r="B12" s="49">
        <v>407065</v>
      </c>
      <c r="C12" s="50">
        <v>718650</v>
      </c>
      <c r="D12" s="50">
        <v>1524421.5</v>
      </c>
      <c r="E12" s="50">
        <v>895261.5</v>
      </c>
      <c r="F12" s="50">
        <v>578769.5</v>
      </c>
      <c r="G12" s="17">
        <f t="shared" si="0"/>
        <v>3717102.5</v>
      </c>
      <c r="H12" s="17">
        <f t="shared" si="1"/>
        <v>474844.48619982344</v>
      </c>
      <c r="I12" s="17">
        <f t="shared" si="2"/>
        <v>3242258.0138001768</v>
      </c>
    </row>
    <row r="13" spans="1:9" ht="15.75" customHeight="1" x14ac:dyDescent="0.25">
      <c r="A13" s="5">
        <f t="shared" si="3"/>
        <v>2035</v>
      </c>
      <c r="B13" s="49">
        <v>407899</v>
      </c>
      <c r="C13" s="50">
        <v>696049.5</v>
      </c>
      <c r="D13" s="50">
        <v>1544980.5000000002</v>
      </c>
      <c r="E13" s="50">
        <v>960380</v>
      </c>
      <c r="F13" s="50">
        <v>575063</v>
      </c>
      <c r="G13" s="17">
        <f t="shared" si="0"/>
        <v>3776473</v>
      </c>
      <c r="H13" s="17">
        <f t="shared" si="1"/>
        <v>475817.35368165228</v>
      </c>
      <c r="I13" s="17">
        <f t="shared" si="2"/>
        <v>3300655.6463183477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cJW9cuMn0zQKhs8SP3PdG78BMb3PO8K0+sMAsg2ev5dsNg1qT005amhXb7Ed1YWubf931OC8ibS9/ed/DY/Vw==" saltValue="EJynEQQsL7jpXmbWV8iQ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2.822998082324844E-2</v>
      </c>
    </row>
    <row r="4" spans="1:8" ht="15.75" customHeight="1" x14ac:dyDescent="0.25">
      <c r="B4" s="19" t="s">
        <v>97</v>
      </c>
      <c r="C4" s="99">
        <v>7.0228368574160885E-2</v>
      </c>
    </row>
    <row r="5" spans="1:8" ht="15.75" customHeight="1" x14ac:dyDescent="0.25">
      <c r="B5" s="19" t="s">
        <v>98</v>
      </c>
      <c r="C5" s="99">
        <v>0.1233726047836731</v>
      </c>
    </row>
    <row r="6" spans="1:8" ht="15.75" customHeight="1" x14ac:dyDescent="0.25">
      <c r="B6" s="19" t="s">
        <v>99</v>
      </c>
      <c r="C6" s="99">
        <v>0.26438892254695279</v>
      </c>
    </row>
    <row r="7" spans="1:8" ht="15.75" customHeight="1" x14ac:dyDescent="0.25">
      <c r="B7" s="19" t="s">
        <v>100</v>
      </c>
      <c r="C7" s="99">
        <v>0.33964450408319652</v>
      </c>
    </row>
    <row r="8" spans="1:8" ht="15.75" customHeight="1" x14ac:dyDescent="0.25">
      <c r="B8" s="19" t="s">
        <v>101</v>
      </c>
      <c r="C8" s="99">
        <v>1.295647428162284E-2</v>
      </c>
    </row>
    <row r="9" spans="1:8" ht="15.75" customHeight="1" x14ac:dyDescent="0.25">
      <c r="B9" s="19" t="s">
        <v>102</v>
      </c>
      <c r="C9" s="99">
        <v>4.1254149538606392E-2</v>
      </c>
    </row>
    <row r="10" spans="1:8" ht="15.75" customHeight="1" x14ac:dyDescent="0.25">
      <c r="B10" s="19" t="s">
        <v>103</v>
      </c>
      <c r="C10" s="99">
        <v>0.1199249953685389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106</v>
      </c>
      <c r="C15" s="99">
        <v>0.2498034844866944</v>
      </c>
      <c r="D15" s="99">
        <v>0.2498034844866944</v>
      </c>
      <c r="E15" s="99">
        <v>0.2498034844866944</v>
      </c>
      <c r="F15" s="99">
        <v>0.2498034844866944</v>
      </c>
    </row>
    <row r="16" spans="1:8" ht="15.75" customHeight="1" x14ac:dyDescent="0.25">
      <c r="B16" s="19" t="s">
        <v>107</v>
      </c>
      <c r="C16" s="99">
        <v>4.6704185577370237E-2</v>
      </c>
      <c r="D16" s="99">
        <v>4.6704185577370237E-2</v>
      </c>
      <c r="E16" s="99">
        <v>4.6704185577370237E-2</v>
      </c>
      <c r="F16" s="99">
        <v>4.6704185577370237E-2</v>
      </c>
    </row>
    <row r="17" spans="1:8" ht="15.75" customHeight="1" x14ac:dyDescent="0.25">
      <c r="B17" s="19" t="s">
        <v>108</v>
      </c>
      <c r="C17" s="99">
        <v>7.825061005128861E-2</v>
      </c>
      <c r="D17" s="99">
        <v>7.825061005128861E-2</v>
      </c>
      <c r="E17" s="99">
        <v>7.825061005128861E-2</v>
      </c>
      <c r="F17" s="99">
        <v>7.825061005128861E-2</v>
      </c>
    </row>
    <row r="18" spans="1:8" ht="15.75" customHeight="1" x14ac:dyDescent="0.25">
      <c r="B18" s="19" t="s">
        <v>109</v>
      </c>
      <c r="C18" s="99">
        <v>0.22146118708923121</v>
      </c>
      <c r="D18" s="99">
        <v>0.22146118708923121</v>
      </c>
      <c r="E18" s="99">
        <v>0.22146118708923121</v>
      </c>
      <c r="F18" s="99">
        <v>0.22146118708923121</v>
      </c>
    </row>
    <row r="19" spans="1:8" ht="15.75" customHeight="1" x14ac:dyDescent="0.25">
      <c r="B19" s="19" t="s">
        <v>110</v>
      </c>
      <c r="C19" s="99">
        <v>2.327848719104594E-2</v>
      </c>
      <c r="D19" s="99">
        <v>2.327848719104594E-2</v>
      </c>
      <c r="E19" s="99">
        <v>2.327848719104594E-2</v>
      </c>
      <c r="F19" s="99">
        <v>2.327848719104594E-2</v>
      </c>
    </row>
    <row r="20" spans="1:8" ht="15.75" customHeight="1" x14ac:dyDescent="0.25">
      <c r="B20" s="19" t="s">
        <v>111</v>
      </c>
      <c r="C20" s="99">
        <v>6.2088160097453382E-2</v>
      </c>
      <c r="D20" s="99">
        <v>6.2088160097453382E-2</v>
      </c>
      <c r="E20" s="99">
        <v>6.2088160097453382E-2</v>
      </c>
      <c r="F20" s="99">
        <v>6.2088160097453382E-2</v>
      </c>
    </row>
    <row r="21" spans="1:8" ht="15.75" customHeight="1" x14ac:dyDescent="0.25">
      <c r="B21" s="19" t="s">
        <v>112</v>
      </c>
      <c r="C21" s="99">
        <v>3.8913994294759342E-2</v>
      </c>
      <c r="D21" s="99">
        <v>3.8913994294759342E-2</v>
      </c>
      <c r="E21" s="99">
        <v>3.8913994294759342E-2</v>
      </c>
      <c r="F21" s="99">
        <v>3.8913994294759342E-2</v>
      </c>
    </row>
    <row r="22" spans="1:8" ht="15.75" customHeight="1" x14ac:dyDescent="0.25">
      <c r="B22" s="19" t="s">
        <v>113</v>
      </c>
      <c r="C22" s="99">
        <v>0.1198874803937814</v>
      </c>
      <c r="D22" s="99">
        <v>0.1198874803937814</v>
      </c>
      <c r="E22" s="99">
        <v>0.1198874803937814</v>
      </c>
      <c r="F22" s="99">
        <v>0.1198874803937814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4.6824316999999997E-2</v>
      </c>
    </row>
    <row r="27" spans="1:8" ht="15.75" customHeight="1" x14ac:dyDescent="0.25">
      <c r="B27" s="19" t="s">
        <v>120</v>
      </c>
      <c r="C27" s="99">
        <v>2.7708330999999999E-2</v>
      </c>
    </row>
    <row r="28" spans="1:8" ht="15.75" customHeight="1" x14ac:dyDescent="0.25">
      <c r="B28" s="19" t="s">
        <v>121</v>
      </c>
      <c r="C28" s="99">
        <v>0.192682248</v>
      </c>
    </row>
    <row r="29" spans="1:8" ht="15.75" customHeight="1" x14ac:dyDescent="0.25">
      <c r="B29" s="19" t="s">
        <v>122</v>
      </c>
      <c r="C29" s="99">
        <v>0.15047112300000001</v>
      </c>
    </row>
    <row r="30" spans="1:8" ht="15.75" customHeight="1" x14ac:dyDescent="0.25">
      <c r="B30" s="19" t="s">
        <v>2</v>
      </c>
      <c r="C30" s="99">
        <v>4.9998465000000013E-2</v>
      </c>
    </row>
    <row r="31" spans="1:8" ht="15.75" customHeight="1" x14ac:dyDescent="0.25">
      <c r="B31" s="19" t="s">
        <v>123</v>
      </c>
      <c r="C31" s="99">
        <v>3.0442113E-2</v>
      </c>
    </row>
    <row r="32" spans="1:8" ht="15.75" customHeight="1" x14ac:dyDescent="0.25">
      <c r="B32" s="19" t="s">
        <v>124</v>
      </c>
      <c r="C32" s="99">
        <v>8.5598303000000001E-2</v>
      </c>
    </row>
    <row r="33" spans="2:3" ht="15.75" customHeight="1" x14ac:dyDescent="0.25">
      <c r="B33" s="19" t="s">
        <v>125</v>
      </c>
      <c r="C33" s="99">
        <v>0.16741062000000001</v>
      </c>
    </row>
    <row r="34" spans="2:3" ht="15.75" customHeight="1" x14ac:dyDescent="0.25">
      <c r="B34" s="19" t="s">
        <v>126</v>
      </c>
      <c r="C34" s="99">
        <v>0.24886448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ilL/MYaRDIoOkrwrM1Hhq+vKY/4Y8yZr7Z7TUqKlQxJWdP2Aqi6EPZNkfePFe0uJsy1WYCrPrcGXVfvtLHhEWQ==" saltValue="OWoTufBTJ+SXRi9rvI7q1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132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133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137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138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GHdp1TwBPHms7Ws91rim+Y36lh4b6xxtqpf5gKoP9gCUBt4B+9MrYXqxq09gRtfGPcUwqBeoyyGIkHHop/RAQ==" saltValue="UW7gdivPmqzhMnxCg9Ss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Gvg26w6KcTs4vZHK/EAFgSmiyEqQCIW7Kj3kMpEBzdzozK+50wBIVCdkIzS3ZIQzNUAio6xpRmiG7aWDXhup/g==" saltValue="1VhApbrLrl0MP2XZ6k/t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TnSQ5RYaiURaIz5cO2rHso7uOFe82X2xMBeToVt7sz9z1luWCUIb4SxC+I1kyNA+496n8u77TUnkxsU6nqitQ==" saltValue="InlqltyVCJB+sb+qr7Ij9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1071.7777647554501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0.40500000000000003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0.71845999999999999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1.5572250000000001E-2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90236.159549999997</v>
      </c>
      <c r="C22" s="107">
        <v>89013.564110000007</v>
      </c>
      <c r="D22" s="107">
        <v>88344.998340000006</v>
      </c>
      <c r="E22" s="107">
        <v>87810.31151</v>
      </c>
      <c r="F22" s="107">
        <v>87060.431859999997</v>
      </c>
      <c r="G22" s="107">
        <v>86047.57458</v>
      </c>
      <c r="H22" s="107">
        <v>84688.024669999999</v>
      </c>
      <c r="I22" s="107">
        <v>82896.080180000004</v>
      </c>
      <c r="J22" s="107">
        <v>80611.207680000007</v>
      </c>
      <c r="K22" s="107">
        <v>77727.759890000001</v>
      </c>
      <c r="L22" s="107">
        <v>73959.744449999998</v>
      </c>
      <c r="M22" s="107">
        <v>69062.194350000005</v>
      </c>
      <c r="N22" s="107">
        <v>62255.712050000002</v>
      </c>
      <c r="O22" s="107">
        <v>53412.950499999999</v>
      </c>
    </row>
  </sheetData>
  <sheetProtection algorithmName="SHA-512" hashValue="u8YRBy3htPUTHZTGN5stwtGuUxJmarJMc35ZMygp4HsGHtDe/R8E5EhakbhldR6m9iYqq0tcV+rJpyHo0CdNTQ==" saltValue="p008ZwnbtIT514JzPj2MV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3RQipR6SybLm8b294QVjpFISqBb6C5DNh961Vht8AfaS8dl1dzM/V+z/a4OeBY7VO3KVjD9e9a4sGBQA3YSEg==" saltValue="/2RaXSc4P4P+NiqLd+Wm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bICKTxbRGKRD6+lWT7OG/rc8ogwTN0g/L4pLo47LIpedhl+d9nc37GEXIMyt6xosgLEQTseWXGNP0THrT1E6w==" saltValue="zR/pKr+9MoLZJAspt6x7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14.98391555624624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14.98391555624624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14.98391555624624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14.98391555624624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14.98391555624624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0.192884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0.41144239999999999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0.41144239999999999</v>
      </c>
      <c r="C19" s="96">
        <v>0.95</v>
      </c>
      <c r="D19" s="56">
        <v>0.66496463640733372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0.3422287</v>
      </c>
      <c r="C23" s="96">
        <v>0.95</v>
      </c>
      <c r="D23" s="56">
        <v>4.8905827235809092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8.774884088691999E-2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0.3860053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0.49399999999999999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0.46089999999999998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5.5999999999999987E-2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0.157411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1.34567E-2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4.4852499999999997E-2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3.0882199999999999E-2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jpNIAHIlb4dubh1mR1NMZK+F+RCxfkQ2WpUwqHGHOoJAVAI3HMu5wBgPO0JPpSJUT0moCq7BvKr2HL6anA/hdQ==" saltValue="by/fJqFgiGV2n+MbHxf0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EJkmxdIELnN9+JJdXgxQwpiyVDe6rixetHsOQlxQlR6Q0zwknBovsT+qLYbuEgWylrha8MQUk+C3uSvaqL52Q==" saltValue="cc3vHvkY6Jdaof/VB6IU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cMYoOufN1HUR9mxFF6+mT550ZDdgsbtV/PpX5Hd32GCFYk8fkdqrp8y+Kyz1m6VDF2zC3kXERv8XK4aN2uNcg==" saltValue="+m2CfdUMN5/XDhv8AUL6x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237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YXqNrvWmNNWg7F6jF6jymxyHeJCu+V1bFoViCo+XisgB/q7Xj1jNKd3U2FpdXxacLtYsOisQUhKUNTW5awhvsw==" saltValue="gaVaI0qAKutExJ5ouyUG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4V6MK0uZEo9ds+FuwVHeDgPR0dvmedDBr5G+OLISbF7n0DDOgvjm/qv4lWYufCaP67WvQZIIk9IAUY2wN1osA==" saltValue="wW1PivQsB6vX2X1axnfI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NAF7AeQtgR6xoimPFk16Oht4QdTMw+51o9PHaSm0gr+SWokL+9flt3pdrEI+4l0ibXa9HiuVAGaCCNyto47jg==" saltValue="D+1DXrCjiP+IRgJQa4uo6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yxJt9o/OwaNu2XbFazkjz/FHBlowyFGqeF3SZYeZ7KW7szCrm+2nB2MgzZpQiAIoDP+ACIOnJbyz3mHbLLtMg==" saltValue="sI7UPEhanDyjr77APyXD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hYTUc3tj3JcPhSfWA/M/tB5+5RmGPC6X1GBthSwYqmbsc0bY3iALLSySC9ovydi9E1QXyo2rAuV9PDO/Kwg1Q==" saltValue="0kBoSXFtq4XRYbwoA2cz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QW95QmHURYRrNxAz5WVopyUNaW7v3qmJr8sjUSXn5YhIY9MWGEU98l+pkGPIKgiS5kIYOYSlMAnN5PwGHokRvw==" saltValue="5ETJK6TNHwTUbfPqkcKl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kFojobCWRCUBAjzBy8jRXG9W+gV2zmUTvKxfEKLi8+1zuOtoEsss/h6CGk38LzbeGKCUC0dkCyk0HTvyD5yPHw==" saltValue="iiCJbotK+/Isa4tq2y/u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7/TsHDGtGgg1P5SWE2oXFxOIoCC7xG3qQOQhCJX3Of5UDB3NYNbED0rBOFXATI+O7F3QIIMU7w61tqCyS+5aw==" saltValue="hWZf4jZeYq8SwsqM4N2Qc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Ph+ADXSmf4EpOKVy4pP4ClLS8a5mfIRq8BICWVDbvI0hCn3Fp75NHy9IDfEzTr3QTHVGPGT0i1sQZH8JTOOvQ==" saltValue="r7KvvZ2cpKg6yCh/WIDH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yfHxop2v72r7w6vacBVvNhJdASaKu9lYugWG7+K3yyq57B6U6g8UYdJX96rGM9ANHSxjAwllpQyQj4eZhht0A==" saltValue="WhJtFcxYaEAAWdYU6YPk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kKJphjcTGuBvlAztJan7cXcU/HC24meCjTfywMUBQXa0niFVs42YF6ISvX2fzEwJGSFasqFVn38fVxO/zBwHA==" saltValue="cVoYL43RJtmsdV2CorQU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XgzJEomwlAHd1+p1P4K31jPkGgwyClb73MzckChFDovhk5KM6xjHe7dGmrHGxepBJerN1bz8A5oTNSibpHthQ==" saltValue="VUTszNrefz+M9yz7vfiK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qUTwYsptIi8LdxwOBs6Vs2s9ljPDnjs+X1MmjBbNtU3+2aFlySuQSXVmtt40DYc5ePDdyUvar4CU+VO/n84ew==" saltValue="AR+cfsA1xerp5F/f9kY6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itKHeXdW/Y9tlv3WIGuLwA3/w49xSyvjb1lAi+6XfpRm/cNcbrYJ39PgERAje9TiRWT/IeDV56PmWKj01ZYUQ==" saltValue="DZqdOY8jVxxgU6jta9Tz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MONEeNasYIThze+2Q8uHvzaV1XBU34T652e6kIhGsYaBZ+AaezXsH8b1GtAdNMXNH3GQ3KeSPkOYB6DkKqS/g==" saltValue="zsjmomcx8hTHiOmNGmWK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XdxFenFrwd47pkQdPItyZWPLx0IgdbAlH/RJxFhTZ7KqRqQ48kmyGgWWsHNfsOVStCnDAobPKdFYkYRRw6OtQ==" saltValue="jXz6zt/X3PhjvqZ7rvntQ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