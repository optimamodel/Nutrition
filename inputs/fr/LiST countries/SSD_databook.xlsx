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25C519A-A231-41F7-9B1F-58DC7258329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34" i="2"/>
  <c r="A33" i="2"/>
  <c r="A29" i="2"/>
  <c r="A28" i="2"/>
  <c r="A27" i="2"/>
  <c r="A26" i="2"/>
  <c r="A25" i="2"/>
  <c r="A24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A3" i="2"/>
  <c r="H2" i="2"/>
  <c r="G2" i="2"/>
  <c r="A2" i="2"/>
  <c r="A40" i="2" s="1"/>
  <c r="C33" i="1"/>
  <c r="C20" i="1"/>
  <c r="I5" i="2" l="1"/>
  <c r="A21" i="2"/>
  <c r="A31" i="2"/>
  <c r="I2" i="2"/>
  <c r="A23" i="2"/>
  <c r="A32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<sst xmlns="http://schemas.openxmlformats.org/spreadsheetml/2006/main" count="2101" uniqueCount="337">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</sst>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1471007.40625</v>
      </c>
    </row>
    <row r="8" spans="1:3" ht="15" customHeight="1" x14ac:dyDescent="0.25">
      <c r="B8" s="5" t="s">
        <v>19</v>
      </c>
      <c r="C8" s="44">
        <v>0.42699999999999999</v>
      </c>
    </row>
    <row r="9" spans="1:3" ht="15" customHeight="1" x14ac:dyDescent="0.25">
      <c r="B9" s="5" t="s">
        <v>20</v>
      </c>
      <c r="C9" s="45">
        <v>0.39</v>
      </c>
    </row>
    <row r="10" spans="1:3" ht="15" customHeight="1" x14ac:dyDescent="0.25">
      <c r="B10" s="5" t="s">
        <v>21</v>
      </c>
      <c r="C10" s="45">
        <v>4.0349397659301803E-2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6.7500000000000004E-2</v>
      </c>
    </row>
    <row r="24" spans="1:3" ht="15" customHeight="1" x14ac:dyDescent="0.25">
      <c r="B24" s="15" t="s">
        <v>33</v>
      </c>
      <c r="C24" s="45">
        <v>0.51</v>
      </c>
    </row>
    <row r="25" spans="1:3" ht="15" customHeight="1" x14ac:dyDescent="0.25">
      <c r="B25" s="15" t="s">
        <v>34</v>
      </c>
      <c r="C25" s="45">
        <v>0.32150000000000001</v>
      </c>
    </row>
    <row r="26" spans="1:3" ht="15" customHeight="1" x14ac:dyDescent="0.25">
      <c r="B26" s="15" t="s">
        <v>35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0.22259625228416199</v>
      </c>
    </row>
    <row r="30" spans="1:3" ht="14.25" customHeight="1" x14ac:dyDescent="0.25">
      <c r="B30" s="25" t="s">
        <v>38</v>
      </c>
      <c r="C30" s="99">
        <v>6.9957740305893898E-2</v>
      </c>
    </row>
    <row r="31" spans="1:3" ht="14.25" customHeight="1" x14ac:dyDescent="0.25">
      <c r="B31" s="25" t="s">
        <v>39</v>
      </c>
      <c r="C31" s="99">
        <v>0.118524449608315</v>
      </c>
    </row>
    <row r="32" spans="1:3" ht="14.25" customHeight="1" x14ac:dyDescent="0.25">
      <c r="B32" s="25" t="s">
        <v>40</v>
      </c>
      <c r="C32" s="99">
        <v>0.58892155780162903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39.626449999999998</v>
      </c>
    </row>
    <row r="38" spans="1:5" ht="15" customHeight="1" x14ac:dyDescent="0.25">
      <c r="B38" s="11" t="s">
        <v>45</v>
      </c>
      <c r="C38" s="43">
        <v>63.756</v>
      </c>
      <c r="D38" s="12"/>
      <c r="E38" s="13"/>
    </row>
    <row r="39" spans="1:5" ht="15" customHeight="1" x14ac:dyDescent="0.25">
      <c r="B39" s="11" t="s">
        <v>46</v>
      </c>
      <c r="C39" s="43">
        <v>98.689639999999997</v>
      </c>
      <c r="D39" s="12"/>
      <c r="E39" s="12"/>
    </row>
    <row r="40" spans="1:5" ht="15" customHeight="1" x14ac:dyDescent="0.25">
      <c r="B40" s="11" t="s">
        <v>47</v>
      </c>
      <c r="C40" s="100">
        <v>12.23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7.9325000000000003E-3</v>
      </c>
      <c r="D45" s="12"/>
    </row>
    <row r="46" spans="1:5" ht="15.75" customHeight="1" x14ac:dyDescent="0.25">
      <c r="B46" s="11" t="s">
        <v>52</v>
      </c>
      <c r="C46" s="45">
        <v>8.5233500000000004E-2</v>
      </c>
      <c r="D46" s="12"/>
    </row>
    <row r="47" spans="1:5" ht="15.75" customHeight="1" x14ac:dyDescent="0.25">
      <c r="B47" s="11" t="s">
        <v>53</v>
      </c>
      <c r="C47" s="45">
        <v>7.3456999999999995E-2</v>
      </c>
      <c r="D47" s="12"/>
      <c r="E47" s="13"/>
    </row>
    <row r="48" spans="1:5" ht="15" customHeight="1" x14ac:dyDescent="0.25">
      <c r="B48" s="11" t="s">
        <v>54</v>
      </c>
      <c r="C48" s="46">
        <v>0.83337700000000003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0.52577700000000005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Bo5qFJLQnW/IJRlmqqZinTCR7SQTYPcON5WTV9uZDs8PfhyzvuvY6K/gl042r6gocnvGQyL+UiSc+dS2yKUM/g==" saltValue="SwIexL+U7t/Uq7qIl4UU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326409</v>
      </c>
      <c r="C2" s="49">
        <v>858169.50000000012</v>
      </c>
      <c r="D2" s="49">
        <v>887619</v>
      </c>
      <c r="E2" s="49">
        <v>516767.5</v>
      </c>
      <c r="F2" s="49">
        <v>485674</v>
      </c>
      <c r="G2" s="17">
        <f t="shared" ref="G2:G13" si="0">C2+D2+E2+F2</f>
        <v>2748230</v>
      </c>
      <c r="H2" s="17">
        <f t="shared" ref="H2:H13" si="1">(B2 + stillbirth*B2/(1000-stillbirth))/(1-abortion)</f>
        <v>380758.63534324535</v>
      </c>
      <c r="I2" s="17">
        <f t="shared" ref="I2:I13" si="2">G2-H2</f>
        <v>2367471.3646567548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333369</v>
      </c>
      <c r="C3" s="50">
        <v>886754.00000000012</v>
      </c>
      <c r="D3" s="50">
        <v>955679.5</v>
      </c>
      <c r="E3" s="50">
        <v>510816.50000000012</v>
      </c>
      <c r="F3" s="50">
        <v>487057</v>
      </c>
      <c r="G3" s="17">
        <f t="shared" si="0"/>
        <v>2840307</v>
      </c>
      <c r="H3" s="17">
        <f t="shared" si="1"/>
        <v>388877.5294362054</v>
      </c>
      <c r="I3" s="17">
        <f t="shared" si="2"/>
        <v>2451429.4705637945</v>
      </c>
    </row>
    <row r="4" spans="1:9" ht="15.75" customHeight="1" x14ac:dyDescent="0.25">
      <c r="A4" s="5">
        <f t="shared" si="3"/>
        <v>2026</v>
      </c>
      <c r="B4" s="49">
        <v>339774</v>
      </c>
      <c r="C4" s="50">
        <v>919534.5</v>
      </c>
      <c r="D4" s="50">
        <v>1023425.5</v>
      </c>
      <c r="E4" s="50">
        <v>511055</v>
      </c>
      <c r="F4" s="50">
        <v>486846</v>
      </c>
      <c r="G4" s="17">
        <f t="shared" si="0"/>
        <v>2940861</v>
      </c>
      <c r="H4" s="17">
        <f t="shared" si="1"/>
        <v>396349.0117157182</v>
      </c>
      <c r="I4" s="17">
        <f t="shared" si="2"/>
        <v>2544511.9882842819</v>
      </c>
    </row>
    <row r="5" spans="1:9" ht="15.75" customHeight="1" x14ac:dyDescent="0.25">
      <c r="A5" s="5">
        <f t="shared" si="3"/>
        <v>2027</v>
      </c>
      <c r="B5" s="49">
        <v>348441</v>
      </c>
      <c r="C5" s="50">
        <v>952752.00000000012</v>
      </c>
      <c r="D5" s="50">
        <v>1090961.5</v>
      </c>
      <c r="E5" s="50">
        <v>521287</v>
      </c>
      <c r="F5" s="50">
        <v>482414.5</v>
      </c>
      <c r="G5" s="17">
        <f t="shared" si="0"/>
        <v>3047415</v>
      </c>
      <c r="H5" s="17">
        <f t="shared" si="1"/>
        <v>406459.13457544293</v>
      </c>
      <c r="I5" s="17">
        <f t="shared" si="2"/>
        <v>2640955.8654245571</v>
      </c>
    </row>
    <row r="6" spans="1:9" ht="15.75" customHeight="1" x14ac:dyDescent="0.25">
      <c r="A6" s="5">
        <f t="shared" si="3"/>
        <v>2028</v>
      </c>
      <c r="B6" s="49">
        <v>356163</v>
      </c>
      <c r="C6" s="50">
        <v>981824.5</v>
      </c>
      <c r="D6" s="50">
        <v>1158705</v>
      </c>
      <c r="E6" s="50">
        <v>540270.5</v>
      </c>
      <c r="F6" s="50">
        <v>471094</v>
      </c>
      <c r="G6" s="17">
        <f t="shared" si="0"/>
        <v>3151894</v>
      </c>
      <c r="H6" s="17">
        <f t="shared" si="1"/>
        <v>415466.90759064944</v>
      </c>
      <c r="I6" s="17">
        <f t="shared" si="2"/>
        <v>2736427.0924093504</v>
      </c>
    </row>
    <row r="7" spans="1:9" ht="15.75" customHeight="1" x14ac:dyDescent="0.25">
      <c r="A7" s="5">
        <f t="shared" si="3"/>
        <v>2029</v>
      </c>
      <c r="B7" s="49">
        <v>364934</v>
      </c>
      <c r="C7" s="50">
        <v>999278.5</v>
      </c>
      <c r="D7" s="50">
        <v>1221961.5</v>
      </c>
      <c r="E7" s="50">
        <v>564893.5</v>
      </c>
      <c r="F7" s="50">
        <v>456600.5</v>
      </c>
      <c r="G7" s="17">
        <f t="shared" si="0"/>
        <v>3242734</v>
      </c>
      <c r="H7" s="17">
        <f t="shared" si="1"/>
        <v>425698.34725865984</v>
      </c>
      <c r="I7" s="17">
        <f t="shared" si="2"/>
        <v>2817035.65274134</v>
      </c>
    </row>
    <row r="8" spans="1:9" ht="15.75" customHeight="1" x14ac:dyDescent="0.25">
      <c r="A8" s="5">
        <f t="shared" si="3"/>
        <v>2030</v>
      </c>
      <c r="B8" s="49">
        <v>374932</v>
      </c>
      <c r="C8" s="50">
        <v>1003724.5</v>
      </c>
      <c r="D8" s="50">
        <v>1278873.5</v>
      </c>
      <c r="E8" s="50">
        <v>597985</v>
      </c>
      <c r="F8" s="50">
        <v>447872</v>
      </c>
      <c r="G8" s="17">
        <f t="shared" si="0"/>
        <v>3328455</v>
      </c>
      <c r="H8" s="17">
        <f t="shared" si="1"/>
        <v>437361.09196288604</v>
      </c>
      <c r="I8" s="17">
        <f t="shared" si="2"/>
        <v>2891093.908037114</v>
      </c>
    </row>
    <row r="9" spans="1:9" ht="15.75" customHeight="1" x14ac:dyDescent="0.25">
      <c r="A9" s="5">
        <f t="shared" si="3"/>
        <v>2031</v>
      </c>
      <c r="B9" s="49">
        <v>382063</v>
      </c>
      <c r="C9" s="50">
        <v>992948</v>
      </c>
      <c r="D9" s="50">
        <v>1332921.5</v>
      </c>
      <c r="E9" s="50">
        <v>642737</v>
      </c>
      <c r="F9" s="50">
        <v>443614.5</v>
      </c>
      <c r="G9" s="17">
        <f t="shared" si="0"/>
        <v>3412221</v>
      </c>
      <c r="H9" s="17">
        <f t="shared" si="1"/>
        <v>445679.4588848541</v>
      </c>
      <c r="I9" s="17">
        <f t="shared" si="2"/>
        <v>2966541.5411151461</v>
      </c>
    </row>
    <row r="10" spans="1:9" ht="15.75" customHeight="1" x14ac:dyDescent="0.25">
      <c r="A10" s="5">
        <f t="shared" si="3"/>
        <v>2032</v>
      </c>
      <c r="B10" s="49">
        <v>389850</v>
      </c>
      <c r="C10" s="50">
        <v>962730</v>
      </c>
      <c r="D10" s="50">
        <v>1384224</v>
      </c>
      <c r="E10" s="50">
        <v>697864.5</v>
      </c>
      <c r="F10" s="50">
        <v>438420.5</v>
      </c>
      <c r="G10" s="17">
        <f t="shared" si="0"/>
        <v>3483239</v>
      </c>
      <c r="H10" s="17">
        <f t="shared" si="1"/>
        <v>454763.05490523914</v>
      </c>
      <c r="I10" s="17">
        <f t="shared" si="2"/>
        <v>3028475.945094761</v>
      </c>
    </row>
    <row r="11" spans="1:9" ht="15.75" customHeight="1" x14ac:dyDescent="0.25">
      <c r="A11" s="5">
        <f t="shared" si="3"/>
        <v>2033</v>
      </c>
      <c r="B11" s="49">
        <v>393953</v>
      </c>
      <c r="C11" s="50">
        <v>920810.49999999988</v>
      </c>
      <c r="D11" s="50">
        <v>1432116.5</v>
      </c>
      <c r="E11" s="50">
        <v>760445</v>
      </c>
      <c r="F11" s="50">
        <v>432251.5</v>
      </c>
      <c r="G11" s="17">
        <f t="shared" si="0"/>
        <v>3545623.5</v>
      </c>
      <c r="H11" s="17">
        <f t="shared" si="1"/>
        <v>459549.23629366083</v>
      </c>
      <c r="I11" s="17">
        <f t="shared" si="2"/>
        <v>3086074.2637063391</v>
      </c>
    </row>
    <row r="12" spans="1:9" ht="15.75" customHeight="1" x14ac:dyDescent="0.25">
      <c r="A12" s="5">
        <f t="shared" si="3"/>
        <v>2034</v>
      </c>
      <c r="B12" s="49">
        <v>399765</v>
      </c>
      <c r="C12" s="50">
        <v>877200.49999999988</v>
      </c>
      <c r="D12" s="50">
        <v>1476641.5</v>
      </c>
      <c r="E12" s="50">
        <v>826890</v>
      </c>
      <c r="F12" s="50">
        <v>425198</v>
      </c>
      <c r="G12" s="17">
        <f t="shared" si="0"/>
        <v>3605930</v>
      </c>
      <c r="H12" s="17">
        <f t="shared" si="1"/>
        <v>466328.97946439125</v>
      </c>
      <c r="I12" s="17">
        <f t="shared" si="2"/>
        <v>3139601.0205356088</v>
      </c>
    </row>
    <row r="13" spans="1:9" ht="15.75" customHeight="1" x14ac:dyDescent="0.25">
      <c r="A13" s="5">
        <f t="shared" si="3"/>
        <v>2035</v>
      </c>
      <c r="B13" s="49">
        <v>401803</v>
      </c>
      <c r="C13" s="50">
        <v>841554.5</v>
      </c>
      <c r="D13" s="50">
        <v>1512316.5</v>
      </c>
      <c r="E13" s="50">
        <v>894742</v>
      </c>
      <c r="F13" s="50">
        <v>419422</v>
      </c>
      <c r="G13" s="17">
        <f t="shared" si="0"/>
        <v>3668035</v>
      </c>
      <c r="H13" s="17">
        <f t="shared" si="1"/>
        <v>468706.32230368035</v>
      </c>
      <c r="I13" s="17">
        <f t="shared" si="2"/>
        <v>3199328.6776963198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FOgbyooxWYErN24CNUq/k9nb2a2EdHLJ6t4mUo72FFezrnf9GepAxR9gw1lyhiHKwjJxKUnKSp0mIiysz6BEA==" saltValue="MiMpzr5HHc9IZu3rp5fo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2.822998082324844E-2</v>
      </c>
    </row>
    <row r="4" spans="1:8" ht="15.75" customHeight="1" x14ac:dyDescent="0.25">
      <c r="B4" s="19" t="s">
        <v>79</v>
      </c>
      <c r="C4" s="101">
        <v>7.0228368574160885E-2</v>
      </c>
    </row>
    <row r="5" spans="1:8" ht="15.75" customHeight="1" x14ac:dyDescent="0.25">
      <c r="B5" s="19" t="s">
        <v>80</v>
      </c>
      <c r="C5" s="101">
        <v>0.1233726047836731</v>
      </c>
    </row>
    <row r="6" spans="1:8" ht="15.75" customHeight="1" x14ac:dyDescent="0.25">
      <c r="B6" s="19" t="s">
        <v>81</v>
      </c>
      <c r="C6" s="101">
        <v>0.26438892254695279</v>
      </c>
    </row>
    <row r="7" spans="1:8" ht="15.75" customHeight="1" x14ac:dyDescent="0.25">
      <c r="B7" s="19" t="s">
        <v>82</v>
      </c>
      <c r="C7" s="101">
        <v>0.33964450408319652</v>
      </c>
    </row>
    <row r="8" spans="1:8" ht="15.75" customHeight="1" x14ac:dyDescent="0.25">
      <c r="B8" s="19" t="s">
        <v>83</v>
      </c>
      <c r="C8" s="101">
        <v>1.295647428162284E-2</v>
      </c>
    </row>
    <row r="9" spans="1:8" ht="15.75" customHeight="1" x14ac:dyDescent="0.25">
      <c r="B9" s="19" t="s">
        <v>84</v>
      </c>
      <c r="C9" s="101">
        <v>4.1254149538606392E-2</v>
      </c>
    </row>
    <row r="10" spans="1:8" ht="15.75" customHeight="1" x14ac:dyDescent="0.25">
      <c r="B10" s="19" t="s">
        <v>85</v>
      </c>
      <c r="C10" s="101">
        <v>0.1199249953685389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88</v>
      </c>
      <c r="C15" s="101">
        <v>0.2498034844866944</v>
      </c>
      <c r="D15" s="101">
        <v>0.2498034844866944</v>
      </c>
      <c r="E15" s="101">
        <v>0.2498034844866944</v>
      </c>
      <c r="F15" s="101">
        <v>0.2498034844866944</v>
      </c>
    </row>
    <row r="16" spans="1:8" ht="15.75" customHeight="1" x14ac:dyDescent="0.25">
      <c r="B16" s="19" t="s">
        <v>89</v>
      </c>
      <c r="C16" s="101">
        <v>4.6704185577370237E-2</v>
      </c>
      <c r="D16" s="101">
        <v>4.6704185577370237E-2</v>
      </c>
      <c r="E16" s="101">
        <v>4.6704185577370237E-2</v>
      </c>
      <c r="F16" s="101">
        <v>4.6704185577370237E-2</v>
      </c>
    </row>
    <row r="17" spans="1:8" ht="15.75" customHeight="1" x14ac:dyDescent="0.25">
      <c r="B17" s="19" t="s">
        <v>90</v>
      </c>
      <c r="C17" s="101">
        <v>7.825061005128861E-2</v>
      </c>
      <c r="D17" s="101">
        <v>7.825061005128861E-2</v>
      </c>
      <c r="E17" s="101">
        <v>7.825061005128861E-2</v>
      </c>
      <c r="F17" s="101">
        <v>7.825061005128861E-2</v>
      </c>
    </row>
    <row r="18" spans="1:8" ht="15.75" customHeight="1" x14ac:dyDescent="0.25">
      <c r="B18" s="19" t="s">
        <v>91</v>
      </c>
      <c r="C18" s="101">
        <v>0.22146118708923121</v>
      </c>
      <c r="D18" s="101">
        <v>0.22146118708923121</v>
      </c>
      <c r="E18" s="101">
        <v>0.22146118708923121</v>
      </c>
      <c r="F18" s="101">
        <v>0.22146118708923121</v>
      </c>
    </row>
    <row r="19" spans="1:8" ht="15.75" customHeight="1" x14ac:dyDescent="0.25">
      <c r="B19" s="19" t="s">
        <v>92</v>
      </c>
      <c r="C19" s="101">
        <v>2.327848719104594E-2</v>
      </c>
      <c r="D19" s="101">
        <v>2.327848719104594E-2</v>
      </c>
      <c r="E19" s="101">
        <v>2.327848719104594E-2</v>
      </c>
      <c r="F19" s="101">
        <v>2.327848719104594E-2</v>
      </c>
    </row>
    <row r="20" spans="1:8" ht="15.75" customHeight="1" x14ac:dyDescent="0.25">
      <c r="B20" s="19" t="s">
        <v>93</v>
      </c>
      <c r="C20" s="101">
        <v>6.2088160097453382E-2</v>
      </c>
      <c r="D20" s="101">
        <v>6.2088160097453382E-2</v>
      </c>
      <c r="E20" s="101">
        <v>6.2088160097453382E-2</v>
      </c>
      <c r="F20" s="101">
        <v>6.2088160097453382E-2</v>
      </c>
    </row>
    <row r="21" spans="1:8" ht="15.75" customHeight="1" x14ac:dyDescent="0.25">
      <c r="B21" s="19" t="s">
        <v>94</v>
      </c>
      <c r="C21" s="101">
        <v>3.8913994294759342E-2</v>
      </c>
      <c r="D21" s="101">
        <v>3.8913994294759342E-2</v>
      </c>
      <c r="E21" s="101">
        <v>3.8913994294759342E-2</v>
      </c>
      <c r="F21" s="101">
        <v>3.8913994294759342E-2</v>
      </c>
    </row>
    <row r="22" spans="1:8" ht="15.75" customHeight="1" x14ac:dyDescent="0.25">
      <c r="B22" s="19" t="s">
        <v>95</v>
      </c>
      <c r="C22" s="101">
        <v>0.1198874803937814</v>
      </c>
      <c r="D22" s="101">
        <v>0.1198874803937814</v>
      </c>
      <c r="E22" s="101">
        <v>0.1198874803937814</v>
      </c>
      <c r="F22" s="101">
        <v>0.1198874803937814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4.6824316999999997E-2</v>
      </c>
    </row>
    <row r="27" spans="1:8" ht="15.75" customHeight="1" x14ac:dyDescent="0.25">
      <c r="B27" s="19" t="s">
        <v>102</v>
      </c>
      <c r="C27" s="101">
        <v>2.7708330999999999E-2</v>
      </c>
    </row>
    <row r="28" spans="1:8" ht="15.75" customHeight="1" x14ac:dyDescent="0.25">
      <c r="B28" s="19" t="s">
        <v>103</v>
      </c>
      <c r="C28" s="101">
        <v>0.192682248</v>
      </c>
    </row>
    <row r="29" spans="1:8" ht="15.75" customHeight="1" x14ac:dyDescent="0.25">
      <c r="B29" s="19" t="s">
        <v>104</v>
      </c>
      <c r="C29" s="101">
        <v>0.15047112300000001</v>
      </c>
    </row>
    <row r="30" spans="1:8" ht="15.75" customHeight="1" x14ac:dyDescent="0.25">
      <c r="B30" s="19" t="s">
        <v>2</v>
      </c>
      <c r="C30" s="101">
        <v>4.9998465000000013E-2</v>
      </c>
    </row>
    <row r="31" spans="1:8" ht="15.75" customHeight="1" x14ac:dyDescent="0.25">
      <c r="B31" s="19" t="s">
        <v>105</v>
      </c>
      <c r="C31" s="101">
        <v>3.0442113E-2</v>
      </c>
    </row>
    <row r="32" spans="1:8" ht="15.75" customHeight="1" x14ac:dyDescent="0.25">
      <c r="B32" s="19" t="s">
        <v>106</v>
      </c>
      <c r="C32" s="101">
        <v>8.5598303000000001E-2</v>
      </c>
    </row>
    <row r="33" spans="2:3" ht="15.75" customHeight="1" x14ac:dyDescent="0.25">
      <c r="B33" s="19" t="s">
        <v>107</v>
      </c>
      <c r="C33" s="101">
        <v>0.16741062000000001</v>
      </c>
    </row>
    <row r="34" spans="2:3" ht="15.75" customHeight="1" x14ac:dyDescent="0.25">
      <c r="B34" s="19" t="s">
        <v>108</v>
      </c>
      <c r="C34" s="101">
        <v>0.24886448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mowEACbK4tnaPbNsWYYUTyobId7oHj39V5/2MPjBKaTltykX5BfKfhMih9l3RHr9/oXIzeMBDd8HzDPP0ayu3g==" saltValue="q1gTvCHXZ4c8+pbqPGXBs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114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115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119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120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03Qplb5zVJgKbnYTnCB/JDE5xi0lyNkyejBx4B8Dd0Si0DCsgs8iYDgDP3ODy9oH5y3DP0QRUxOgEMGi0Yf4g==" saltValue="EHxpO+5v9wEB9iqUhJ2F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132</v>
      </c>
      <c r="C5" s="52">
        <v>9.1521899999999989E-2</v>
      </c>
      <c r="D5" s="52">
        <v>5.9970299999999997E-2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0A7oMwekDn4KxSMtmeE2K7h0MPF9hpp31+GlO3xyl+gk4enM3c3ldq5nAlCdTwVzG2TDzFsrTfWUSsC9GU6Z3A==" saltValue="0W3SBAEnQue5Mm7NFJhjN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7T44mmHr8SMjfBPN/0t3hOqeR9aLMK4+AiIDdLHBSWFt/HwouQCdh/Rjp0lOZPqBkekqpO5+Vlh4hYZhFziDA==" saltValue="AZcVV8UKBCYMd6GNM2KuN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a7YJmKN03Z/sqid8hMxe4xxYE+rwpyRqJKvBtyMHJCV8RrWOL0HaaPf9iinJ5a9lFWaj82d40/U7vCG6rD6K5A==" saltValue="dv5tMJICu7AanDXzCm39Q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zeT1W8/EDwCNVuKbWNaWMXYWU2UwbmweJbAAwJYEZSBvVKYVxRbLVhYnaOy1h7OiKEwSxF2G4LRYY6WuEMsbIg==" saltValue="JBKAhocsOuL0zHv3AtJu4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Kh7aPM2MGtfpkZFGuA3VnJqHPfzQkFrUM+Wk4Z/UOrbOAXfo5BgMCJ2IGgUVRPrcxFORLHdTDXqkfdJ33/RcbQ==" saltValue="Clul+tTkWvE9N1B8Nrj41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3.0405569014717328E-2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0.41709554979569308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14.98391555624624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14.98391555624624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14.98391555624624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14.98391555624624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14.98391555624624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14.98391555624624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0.192884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0.41144239999999999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0.41144239999999999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25.501496741923479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0.3422287</v>
      </c>
      <c r="C23" s="98">
        <v>0.95</v>
      </c>
      <c r="D23" s="56">
        <v>4.8905827235809092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8.774884088691999E-2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0.3860053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0.49399999999999999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0.46089999999999998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5.5999999999999987E-2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0.157411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1.34567E-2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4.4852499999999997E-2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3.0882199999999999E-2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VhdLT91U+Gp7lL/eaWAmYF1DpFy5jVNAWHrNSzXPEXlrKGG5pmnDZnRH1DRj4yLLJfT4f1AaEKGo3bfT2Bu9IQ==" saltValue="dTQiqu24/vzD33uDepOr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Vu/+IWALsQHXpSDq/GuIK+QNl28OnDcv2DQGH3MCyIn3kdvgTKU2acZsXtdKw2Z4BSS7k683NxZ/U9AyYQ9Adw==" saltValue="liLCKDLTijbs5Mh5lYb7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WBvLuXTlP2fPNx6MjjfsPtg74nJNSXtN2BS7bt5CYDfyc0cFyseRd8Y0DCKSBTWIxiBHwN2dICMk5zeYgpGh/A==" saltValue="sHF7tBBRext/8GHj7Q38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208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sheetProtection algorithmName="SHA-512" hashValue="19VRn7mbaV7WS1gWz+6afl/vyB5A6MAovq/xLfSfuW6b/aEfKTI5bE0TtviTZVRBIX4vvHKoKVxfIteZCW340w==" saltValue="HqHyhWmQGkkG+2D7BeBwe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0.42699999999999999</v>
      </c>
      <c r="E2" s="60">
        <f>food_insecure</f>
        <v>0.42699999999999999</v>
      </c>
      <c r="F2" s="60">
        <f>food_insecure</f>
        <v>0.42699999999999999</v>
      </c>
      <c r="G2" s="60">
        <f>food_insecure</f>
        <v>0.42699999999999999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0.42699999999999999</v>
      </c>
      <c r="F5" s="60">
        <f>food_insecure</f>
        <v>0.42699999999999999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0.42699999999999999</v>
      </c>
      <c r="F8" s="60">
        <f>food_insecure</f>
        <v>0.42699999999999999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0.42699999999999999</v>
      </c>
      <c r="F9" s="60">
        <f>food_insecure</f>
        <v>0.42699999999999999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0.42699999999999999</v>
      </c>
      <c r="I15" s="60">
        <f>food_insecure</f>
        <v>0.42699999999999999</v>
      </c>
      <c r="J15" s="60">
        <f>food_insecure</f>
        <v>0.42699999999999999</v>
      </c>
      <c r="K15" s="60">
        <f>food_insecure</f>
        <v>0.42699999999999999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0.55628066465883252</v>
      </c>
      <c r="M25" s="60">
        <f>(1-food_insecure)*(0.49)+food_insecure*(0.7)</f>
        <v>0.57966999999999991</v>
      </c>
      <c r="N25" s="60">
        <f>(1-food_insecure)*(0.49)+food_insecure*(0.7)</f>
        <v>0.57966999999999991</v>
      </c>
      <c r="O25" s="60">
        <f>(1-food_insecure)*(0.49)+food_insecure*(0.7)</f>
        <v>0.57966999999999991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0.23840599913949964</v>
      </c>
      <c r="M26" s="60">
        <f>(1-food_insecure)*(0.21)+food_insecure*(0.3)</f>
        <v>0.24842999999999998</v>
      </c>
      <c r="N26" s="60">
        <f>(1-food_insecure)*(0.21)+food_insecure*(0.3)</f>
        <v>0.24842999999999998</v>
      </c>
      <c r="O26" s="60">
        <f>(1-food_insecure)*(0.21)+food_insecure*(0.3)</f>
        <v>0.24842999999999998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0.16496393854236599</v>
      </c>
      <c r="M27" s="60">
        <f>(1-food_insecure)*(0.3)</f>
        <v>0.17189999999999997</v>
      </c>
      <c r="N27" s="60">
        <f>(1-food_insecure)*(0.3)</f>
        <v>0.17189999999999997</v>
      </c>
      <c r="O27" s="60">
        <f>(1-food_insecure)*(0.3)</f>
        <v>0.17189999999999997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4.0349397659301803E-2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0.39</v>
      </c>
      <c r="D34" s="60">
        <f t="shared" si="3"/>
        <v>0.39</v>
      </c>
      <c r="E34" s="60">
        <f t="shared" si="3"/>
        <v>0.39</v>
      </c>
      <c r="F34" s="60">
        <f t="shared" si="3"/>
        <v>0.39</v>
      </c>
      <c r="G34" s="60">
        <f t="shared" si="3"/>
        <v>0.39</v>
      </c>
      <c r="H34" s="60">
        <f t="shared" si="3"/>
        <v>0.39</v>
      </c>
      <c r="I34" s="60">
        <f t="shared" si="3"/>
        <v>0.39</v>
      </c>
      <c r="J34" s="60">
        <f t="shared" si="3"/>
        <v>0.39</v>
      </c>
      <c r="K34" s="60">
        <f t="shared" si="3"/>
        <v>0.39</v>
      </c>
      <c r="L34" s="60">
        <f t="shared" si="3"/>
        <v>0.39</v>
      </c>
      <c r="M34" s="60">
        <f t="shared" si="3"/>
        <v>0.39</v>
      </c>
      <c r="N34" s="60">
        <f t="shared" si="3"/>
        <v>0.39</v>
      </c>
      <c r="O34" s="60">
        <f t="shared" si="3"/>
        <v>0.39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JZjRl4jTC5IJBBpXTuqkAxQVaUiIat09G4w9ZXPzq1gXjD3IhYysAHl5yQJ+vhlAWGQOVOZ3a4/2Y62GKj9bw==" saltValue="J3g3N2QriLawFbn+3pJl0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GrNww9H3qjW2VUC0KpG81zjOQqYFg+DOiPCaNn5S5Ba241BiL2oz9Qpa0aXvxR9U7tpuSPUhd90Gw0gUkL5K9g==" saltValue="EwfsI22hC33SKiTq6SHq8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/56S0UXW2+hDSu5H2x7/c4//e812coqcXs1DgwdD8Rnc2vyARlpDqRBFy0btOu/b7gqD9V29lOyw2kTWgmLYg==" saltValue="ZPhLcb3H92ffLclEUCcE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gT+4XXjkaegO80piWxTEQjW0D+co6N1X6LeS37m7Oj6dWGnL6qfDTQGGa6v3BMWFZ/pGX/JxLR1FjwJpeKbDw==" saltValue="W/0oJ4a2ehrChY5OAIW40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x07eblyhUqlcY/Tb19exuz+6aao0zvgdhbq4P9niLjn8jwFvKrM5KKg9/QQIaJodWdYRBEATRGUH/3bxpYalA==" saltValue="ljVJtitCd/2hINgaMToa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9Lhq1ZXR9fovMoZOIBrV6BAk16CKoklODSO3qzN0agUjQRZ50UWjG/qOVe6wqeHwRwjBLJGhQm1tQR4cbMij2w==" saltValue="XK2aMbmjNrN/q9qbWaoA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BGbqpAz3BCyGi7xIlZtjbvPdVVjgLq1O38eLCtN63PDlMnprCdrKQK6PVuE7BeakiibtsGRnRB3VFTjNjOPvA==" saltValue="5+VKmlYNhKgAhn4hV7lAT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7pqSabkdkofM+8u+L5JvRzkXdcdqsIPAThJACKo+CDVE4rz5MD2FFEywKYrvaScWK8DFgNslPkbcvXv3p+VYQ==" saltValue="8QX2j73J4YIEhZPd/toe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24nprTh18wDoD+qTmL4uen8gN6czBsRNHCaqJ5jDVCSMnvDHJYqLsGeKAWqU5vnwve1wnF+9iNxRk479KQdWQ==" saltValue="NlWxTyTyPUhKCGTcVBoE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KOBpBHYVTEQy585/FE5+smCY1F3M7brIlJiTSEIXtuL638Vc1Ira2Rvh4SW1OGUOW1a6Taq3SPfLIFdvdnf+Q==" saltValue="cJuv0H4VhLmj7qVMtG25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9V842zgsubxglrKm3oDSQJR58Rpn+7MXeG7ViEdsQNEq0h9ZWDkT7KHSTX3hvQCAbaTZo1gJIsG2ZPZLEsqkg==" saltValue="1z0mWPNyJHlVsU1LjBeg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kO4UwBOrD5IzIHff9/lzslt+txBdF7coSuyZKp9Q1ybGQxAwwn1X/mFIEnBKWMlhU8oS9HqaRtPKyipv28Hnw==" saltValue="5ckoVmrAXAdjQLdbT+tA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/eFyUBGJsMmJNShUxwqJ6mz4Tm+Sot7bm0AuKSz3Tc+JJXPVTVOc6eNtyi7l/qT2Mjk4spS290VEPk1ZeyDeg==" saltValue="nR6qrR/biA1zpmIejaOq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9.8735026914116397E-2</v>
      </c>
      <c r="G18" s="90">
        <f>MIN(MAX(1-0.89/(1-frac_sam_12_23months+(frac_sam_12_23months*0.89)),0),1)</f>
        <v>0.10003066347209777</v>
      </c>
      <c r="H18" s="90">
        <f>MIN(MAX(1-0.89/(1-frac_sam_24_59months+(frac_sam_24_59months*0.89)),0),1)</f>
        <v>0.10039467009960912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9.4474287157847781E-2</v>
      </c>
      <c r="G20" s="90">
        <f>MIN(MAX(1-0.89/(1-frac_mam_12_23months+(frac_mam_12_23months*0.89)),0),1)</f>
        <v>9.7259181907707548E-2</v>
      </c>
      <c r="H20" s="90">
        <f>MIN(MAX(1-0.89/(1-frac_mam_24_59months+(frac_mam_24_59months*0.89)),0),1)</f>
        <v>9.7560142713907561E-2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8.8738041172685689E-3</v>
      </c>
      <c r="G73" s="90">
        <f>MIN(MAX(1-0.99/(1-frac_sam_12_23months+(frac_sam_12_23months*0.99)),0),1)</f>
        <v>9.0020273836524112E-3</v>
      </c>
      <c r="H73" s="90">
        <f>MIN(MAX(1-0.99/(1-frac_sam_24_59months+(frac_sam_24_59months*0.99)),0),1)</f>
        <v>9.0381119427764833E-3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8.4544938843456041E-3</v>
      </c>
      <c r="G75" s="90">
        <f>MIN(MAX(1-0.99/(1-frac_mam_12_23months+(frac_mam_12_23months*0.99)),0),1)</f>
        <v>8.7281546063988635E-3</v>
      </c>
      <c r="H75" s="90">
        <f>MIN(MAX(1-0.99/(1-frac_mam_24_59months+(frac_mam_24_59months*0.99)),0),1)</f>
        <v>8.7578208982899142E-3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0.18139676673415839</v>
      </c>
      <c r="G128" s="90">
        <f>MIN(MAX(1-0.8/(1-frac_sam_12_23months+(frac_sam_12_23months*0.8)),0),1)</f>
        <v>0.18355620139888662</v>
      </c>
      <c r="H128" s="90">
        <f>MIN(MAX(1-0.8/(1-frac_sam_24_59months+(frac_sam_24_59months*0.8)),0),1)</f>
        <v>0.18416195657869261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0.17425860189264875</v>
      </c>
      <c r="G130" s="90">
        <f>MIN(MAX(1-0.8/(1-frac_mam_12_23months+(frac_mam_12_23months*0.8)),0),1)</f>
        <v>0.17893063762029793</v>
      </c>
      <c r="H130" s="90">
        <f>MIN(MAX(1-0.8/(1-frac_mam_24_59months+(frac_mam_24_59months*0.8)),0),1)</f>
        <v>0.17943409097688079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FErBDrBYo86UuhCLsmCIQ37VfGkIEHDp0v/1SKTRFh8uV2/4UZJMH9u5Vv1Gg9Ls3Lp4BHuOJZvIZqHvuqg5w==" saltValue="sD+WWswxrHXCtg/Fb1TE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lyG4FB/qebLCnmBZaFub3bNrtKj2FljoOHFBR6d5ee4zlix6EJMTKAH3LCsNfiEDDU7IFS8ggfekI5TTYJq9w==" saltValue="yj/vY4UEzf5ublcjDze7w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2024-08-06T09:46:15Z</dcterms:modified>
</cp:coreProperties>
</file>