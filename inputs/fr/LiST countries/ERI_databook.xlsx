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BAA3674-678F-4142-9277-1C9D449F856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3" i="2" l="1"/>
  <c r="A19" i="2"/>
  <c r="A25" i="2"/>
  <c r="A35" i="2"/>
  <c r="I4" i="2"/>
  <c r="I8" i="2"/>
  <c r="I12" i="2"/>
  <c r="A37" i="2"/>
  <c r="A26" i="2"/>
  <c r="I39" i="2"/>
  <c r="I9" i="2"/>
  <c r="I13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<sst xmlns="http://schemas.openxmlformats.org/spreadsheetml/2006/main" count="2159" uniqueCount="368">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</sst>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502472.00000000012</v>
      </c>
    </row>
    <row r="8" spans="1:3" ht="15" customHeight="1" x14ac:dyDescent="0.25">
      <c r="B8" s="5" t="s">
        <v>37</v>
      </c>
      <c r="C8" s="44">
        <v>0.45200000000000001</v>
      </c>
    </row>
    <row r="9" spans="1:3" ht="15" customHeight="1" x14ac:dyDescent="0.25">
      <c r="B9" s="5" t="s">
        <v>38</v>
      </c>
      <c r="C9" s="45">
        <v>0.16</v>
      </c>
    </row>
    <row r="10" spans="1:3" ht="15" customHeight="1" x14ac:dyDescent="0.25">
      <c r="B10" s="5" t="s">
        <v>39</v>
      </c>
      <c r="C10" s="45">
        <v>0.40256750000000002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8.4900000000000003E-2</v>
      </c>
    </row>
    <row r="24" spans="1:3" ht="15" customHeight="1" x14ac:dyDescent="0.25">
      <c r="B24" s="15" t="s">
        <v>51</v>
      </c>
      <c r="C24" s="45">
        <v>0.46400000000000002</v>
      </c>
    </row>
    <row r="25" spans="1:3" ht="15" customHeight="1" x14ac:dyDescent="0.25">
      <c r="B25" s="15" t="s">
        <v>52</v>
      </c>
      <c r="C25" s="45">
        <v>0.35129999999999989</v>
      </c>
    </row>
    <row r="26" spans="1:3" ht="15" customHeight="1" x14ac:dyDescent="0.25">
      <c r="B26" s="15" t="s">
        <v>53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0.21829699999999999</v>
      </c>
    </row>
    <row r="30" spans="1:3" ht="14.25" customHeight="1" x14ac:dyDescent="0.25">
      <c r="B30" s="25" t="s">
        <v>56</v>
      </c>
      <c r="C30" s="99">
        <v>7.5314300000000001E-2</v>
      </c>
    </row>
    <row r="31" spans="1:3" ht="14.25" customHeight="1" x14ac:dyDescent="0.25">
      <c r="B31" s="25" t="s">
        <v>57</v>
      </c>
      <c r="C31" s="99">
        <v>0.11899999999999999</v>
      </c>
    </row>
    <row r="32" spans="1:3" ht="14.25" customHeight="1" x14ac:dyDescent="0.25">
      <c r="B32" s="25" t="s">
        <v>58</v>
      </c>
      <c r="C32" s="99">
        <v>0.58738869999999999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17.335930000000001</v>
      </c>
    </row>
    <row r="38" spans="1:5" ht="15" customHeight="1" x14ac:dyDescent="0.25">
      <c r="B38" s="11" t="s">
        <v>63</v>
      </c>
      <c r="C38" s="43">
        <v>28.94961</v>
      </c>
      <c r="D38" s="12"/>
      <c r="E38" s="13"/>
    </row>
    <row r="39" spans="1:5" ht="15" customHeight="1" x14ac:dyDescent="0.25">
      <c r="B39" s="11" t="s">
        <v>64</v>
      </c>
      <c r="C39" s="43">
        <v>38.091560000000001</v>
      </c>
      <c r="D39" s="12"/>
      <c r="E39" s="12"/>
    </row>
    <row r="40" spans="1:5" ht="15" customHeight="1" x14ac:dyDescent="0.25">
      <c r="B40" s="11" t="s">
        <v>65</v>
      </c>
      <c r="C40" s="100">
        <v>3.22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71</v>
      </c>
      <c r="C47" s="45">
        <v>7.3457800000000004E-2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1.8460000000000001</v>
      </c>
      <c r="D51" s="12"/>
    </row>
    <row r="52" spans="1:4" ht="15" customHeight="1" x14ac:dyDescent="0.25">
      <c r="B52" s="11" t="s">
        <v>75</v>
      </c>
      <c r="C52" s="100">
        <v>1.8460000000000001</v>
      </c>
    </row>
    <row r="53" spans="1:4" ht="15.75" customHeight="1" x14ac:dyDescent="0.25">
      <c r="B53" s="11" t="s">
        <v>76</v>
      </c>
      <c r="C53" s="100">
        <v>5.3039999999999994</v>
      </c>
    </row>
    <row r="54" spans="1:4" ht="15.75" customHeight="1" x14ac:dyDescent="0.25">
      <c r="B54" s="11" t="s">
        <v>77</v>
      </c>
      <c r="C54" s="100">
        <v>5.8760000000000003</v>
      </c>
    </row>
    <row r="55" spans="1:4" ht="15.75" customHeight="1" x14ac:dyDescent="0.25">
      <c r="B55" s="11" t="s">
        <v>78</v>
      </c>
      <c r="C55" s="100">
        <v>2.8166666666666669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0.50167899999999999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0.15160142900000001</v>
      </c>
    </row>
    <row r="63" spans="1:4" ht="15.75" customHeight="1" x14ac:dyDescent="0.3">
      <c r="A63" s="4"/>
    </row>
  </sheetData>
  <sheetProtection algorithmName="SHA-512" hashValue="jYk2MU/oNsmGC3z8TG0QTbnigvKJxK2OJd/tcffC+A5KdPUOK6CN0g0UY2CK+uG1uQUNt5uRb10QldS72HDd/Q==" saltValue="cG5d3aLh8ltup352b2Yg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476046.5</v>
      </c>
      <c r="C2" s="49">
        <v>115986</v>
      </c>
      <c r="D2" s="49">
        <v>213467.5</v>
      </c>
      <c r="E2" s="49">
        <v>416290.5</v>
      </c>
      <c r="F2" s="49">
        <v>325508</v>
      </c>
      <c r="G2" s="17">
        <f t="shared" ref="G2:G13" si="0">C2+D2+E2+F2</f>
        <v>1071252</v>
      </c>
      <c r="H2" s="17">
        <f t="shared" ref="H2:H13" si="1">(B2 + stillbirth*B2/(1000-stillbirth))/(1-abortion)</f>
        <v>549834.93710246787</v>
      </c>
      <c r="I2" s="17">
        <f t="shared" ref="I2:I13" si="2">G2-H2</f>
        <v>521417.06289753213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101539</v>
      </c>
      <c r="C3" s="50">
        <v>211512</v>
      </c>
      <c r="D3" s="50">
        <v>326817.5</v>
      </c>
      <c r="E3" s="50">
        <v>194239.50000000003</v>
      </c>
      <c r="F3" s="50">
        <v>144839.99999999997</v>
      </c>
      <c r="G3" s="17">
        <f t="shared" si="0"/>
        <v>877409</v>
      </c>
      <c r="H3" s="17">
        <f t="shared" si="1"/>
        <v>117277.80726976773</v>
      </c>
      <c r="I3" s="17">
        <f t="shared" si="2"/>
        <v>760131.19273023226</v>
      </c>
    </row>
    <row r="4" spans="1:9" ht="15.75" customHeight="1" x14ac:dyDescent="0.25">
      <c r="A4" s="5">
        <f t="shared" si="3"/>
        <v>2026</v>
      </c>
      <c r="B4" s="49">
        <v>103276</v>
      </c>
      <c r="C4" s="50">
        <v>213414.5</v>
      </c>
      <c r="D4" s="50">
        <v>340270</v>
      </c>
      <c r="E4" s="50">
        <v>202782.5</v>
      </c>
      <c r="F4" s="50">
        <v>145983</v>
      </c>
      <c r="G4" s="17">
        <f t="shared" si="0"/>
        <v>902450</v>
      </c>
      <c r="H4" s="17">
        <f t="shared" si="1"/>
        <v>119284.04675634517</v>
      </c>
      <c r="I4" s="17">
        <f t="shared" si="2"/>
        <v>783165.9532436548</v>
      </c>
    </row>
    <row r="5" spans="1:9" ht="15.75" customHeight="1" x14ac:dyDescent="0.25">
      <c r="A5" s="5">
        <f t="shared" si="3"/>
        <v>2027</v>
      </c>
      <c r="B5" s="49">
        <v>105398</v>
      </c>
      <c r="C5" s="50">
        <v>214842</v>
      </c>
      <c r="D5" s="50">
        <v>351986.99999999994</v>
      </c>
      <c r="E5" s="50">
        <v>213441.50000000003</v>
      </c>
      <c r="F5" s="50">
        <v>147714.5</v>
      </c>
      <c r="G5" s="17">
        <f t="shared" si="0"/>
        <v>927985</v>
      </c>
      <c r="H5" s="17">
        <f t="shared" si="1"/>
        <v>121734.96223735687</v>
      </c>
      <c r="I5" s="17">
        <f t="shared" si="2"/>
        <v>806250.03776264307</v>
      </c>
    </row>
    <row r="6" spans="1:9" ht="15.75" customHeight="1" x14ac:dyDescent="0.25">
      <c r="A6" s="5">
        <f t="shared" si="3"/>
        <v>2028</v>
      </c>
      <c r="B6" s="49">
        <v>107199</v>
      </c>
      <c r="C6" s="50">
        <v>216074</v>
      </c>
      <c r="D6" s="50">
        <v>361609.00000000006</v>
      </c>
      <c r="E6" s="50">
        <v>225442</v>
      </c>
      <c r="F6" s="50">
        <v>150261</v>
      </c>
      <c r="G6" s="17">
        <f t="shared" si="0"/>
        <v>953386</v>
      </c>
      <c r="H6" s="17">
        <f t="shared" si="1"/>
        <v>123815.12188924287</v>
      </c>
      <c r="I6" s="17">
        <f t="shared" si="2"/>
        <v>829570.8781107571</v>
      </c>
    </row>
    <row r="7" spans="1:9" ht="15.75" customHeight="1" x14ac:dyDescent="0.25">
      <c r="A7" s="5">
        <f t="shared" si="3"/>
        <v>2029</v>
      </c>
      <c r="B7" s="49">
        <v>108940</v>
      </c>
      <c r="C7" s="50">
        <v>217081.5</v>
      </c>
      <c r="D7" s="50">
        <v>371204</v>
      </c>
      <c r="E7" s="50">
        <v>236910.5</v>
      </c>
      <c r="F7" s="50">
        <v>153461.5</v>
      </c>
      <c r="G7" s="17">
        <f t="shared" si="0"/>
        <v>978657.5</v>
      </c>
      <c r="H7" s="17">
        <f t="shared" si="1"/>
        <v>125825.9813861521</v>
      </c>
      <c r="I7" s="17">
        <f t="shared" si="2"/>
        <v>852831.5186138479</v>
      </c>
    </row>
    <row r="8" spans="1:9" ht="15.75" customHeight="1" x14ac:dyDescent="0.25">
      <c r="A8" s="5">
        <f t="shared" si="3"/>
        <v>2030</v>
      </c>
      <c r="B8" s="49">
        <v>110590</v>
      </c>
      <c r="C8" s="50">
        <v>217242</v>
      </c>
      <c r="D8" s="50">
        <v>380964.5</v>
      </c>
      <c r="E8" s="50">
        <v>248238.99999999997</v>
      </c>
      <c r="F8" s="50">
        <v>156988.5</v>
      </c>
      <c r="G8" s="17">
        <f t="shared" si="0"/>
        <v>1003434</v>
      </c>
      <c r="H8" s="17">
        <f t="shared" si="1"/>
        <v>127731.7356480132</v>
      </c>
      <c r="I8" s="17">
        <f t="shared" si="2"/>
        <v>875702.26435198681</v>
      </c>
    </row>
    <row r="9" spans="1:9" ht="15.75" customHeight="1" x14ac:dyDescent="0.25">
      <c r="A9" s="5">
        <f t="shared" si="3"/>
        <v>2031</v>
      </c>
      <c r="B9" s="49">
        <v>111974</v>
      </c>
      <c r="C9" s="50">
        <v>216570.5</v>
      </c>
      <c r="D9" s="50">
        <v>390563.5</v>
      </c>
      <c r="E9" s="50">
        <v>259933.49999999997</v>
      </c>
      <c r="F9" s="50">
        <v>160942.5</v>
      </c>
      <c r="G9" s="17">
        <f t="shared" si="0"/>
        <v>1028010</v>
      </c>
      <c r="H9" s="17">
        <f t="shared" si="1"/>
        <v>129330.25922281065</v>
      </c>
      <c r="I9" s="17">
        <f t="shared" si="2"/>
        <v>898679.74077718938</v>
      </c>
    </row>
    <row r="10" spans="1:9" ht="15.75" customHeight="1" x14ac:dyDescent="0.25">
      <c r="A10" s="5">
        <f t="shared" si="3"/>
        <v>2032</v>
      </c>
      <c r="B10" s="49">
        <v>113264</v>
      </c>
      <c r="C10" s="50">
        <v>215382</v>
      </c>
      <c r="D10" s="50">
        <v>399215.00000000006</v>
      </c>
      <c r="E10" s="50">
        <v>271938</v>
      </c>
      <c r="F10" s="50">
        <v>165359.5</v>
      </c>
      <c r="G10" s="17">
        <f t="shared" si="0"/>
        <v>1051894.5</v>
      </c>
      <c r="H10" s="17">
        <f t="shared" si="1"/>
        <v>130820.21255481118</v>
      </c>
      <c r="I10" s="17">
        <f t="shared" si="2"/>
        <v>921074.28744518885</v>
      </c>
    </row>
    <row r="11" spans="1:9" ht="15.75" customHeight="1" x14ac:dyDescent="0.25">
      <c r="A11" s="5">
        <f t="shared" si="3"/>
        <v>2033</v>
      </c>
      <c r="B11" s="49">
        <v>114266</v>
      </c>
      <c r="C11" s="50">
        <v>214055.5</v>
      </c>
      <c r="D11" s="50">
        <v>406087.99999999994</v>
      </c>
      <c r="E11" s="50">
        <v>284429</v>
      </c>
      <c r="F11" s="50">
        <v>170686</v>
      </c>
      <c r="G11" s="17">
        <f t="shared" si="0"/>
        <v>1075258.5</v>
      </c>
      <c r="H11" s="17">
        <f t="shared" si="1"/>
        <v>131977.5251429232</v>
      </c>
      <c r="I11" s="17">
        <f t="shared" si="2"/>
        <v>943280.97485707677</v>
      </c>
    </row>
    <row r="12" spans="1:9" ht="15.75" customHeight="1" x14ac:dyDescent="0.25">
      <c r="A12" s="5">
        <f t="shared" si="3"/>
        <v>2034</v>
      </c>
      <c r="B12" s="49">
        <v>115029</v>
      </c>
      <c r="C12" s="50">
        <v>213118.5</v>
      </c>
      <c r="D12" s="50">
        <v>411196</v>
      </c>
      <c r="E12" s="50">
        <v>297768</v>
      </c>
      <c r="F12" s="50">
        <v>177129.5</v>
      </c>
      <c r="G12" s="17">
        <f t="shared" si="0"/>
        <v>1099212</v>
      </c>
      <c r="H12" s="17">
        <f t="shared" si="1"/>
        <v>132858.7921137111</v>
      </c>
      <c r="I12" s="17">
        <f t="shared" si="2"/>
        <v>966353.20788628887</v>
      </c>
    </row>
    <row r="13" spans="1:9" ht="15.75" customHeight="1" x14ac:dyDescent="0.25">
      <c r="A13" s="5">
        <f t="shared" si="3"/>
        <v>2035</v>
      </c>
      <c r="B13" s="49">
        <v>115561</v>
      </c>
      <c r="C13" s="50">
        <v>212833</v>
      </c>
      <c r="D13" s="50">
        <v>414665.5</v>
      </c>
      <c r="E13" s="50">
        <v>311559.49999999994</v>
      </c>
      <c r="F13" s="50">
        <v>184954</v>
      </c>
      <c r="G13" s="17">
        <f t="shared" si="0"/>
        <v>1124012</v>
      </c>
      <c r="H13" s="17">
        <f t="shared" si="1"/>
        <v>133473.25348783846</v>
      </c>
      <c r="I13" s="17">
        <f t="shared" si="2"/>
        <v>990538.74651216157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qvfezB70QfV5KoOPkF2lC5S967kuco56jZNHLsdbSeApd8/MhMp/iIY67KmuHjKGcuNn0i3dBkL48vN/DgksQ==" saltValue="9YaTk0pJkTPL7jlN9XkFp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9.54159904584009E-3</v>
      </c>
    </row>
    <row r="4" spans="1:8" ht="15.75" customHeight="1" x14ac:dyDescent="0.25">
      <c r="B4" s="19" t="s">
        <v>97</v>
      </c>
      <c r="C4" s="101">
        <v>6.4930893506910725E-2</v>
      </c>
    </row>
    <row r="5" spans="1:8" ht="15.75" customHeight="1" x14ac:dyDescent="0.25">
      <c r="B5" s="19" t="s">
        <v>98</v>
      </c>
      <c r="C5" s="101">
        <v>8.333079166692095E-2</v>
      </c>
    </row>
    <row r="6" spans="1:8" ht="15.75" customHeight="1" x14ac:dyDescent="0.25">
      <c r="B6" s="19" t="s">
        <v>99</v>
      </c>
      <c r="C6" s="101">
        <v>0.24122667587733301</v>
      </c>
    </row>
    <row r="7" spans="1:8" ht="15.75" customHeight="1" x14ac:dyDescent="0.25">
      <c r="B7" s="19" t="s">
        <v>100</v>
      </c>
      <c r="C7" s="101">
        <v>0.41004985899501339</v>
      </c>
    </row>
    <row r="8" spans="1:8" ht="15.75" customHeight="1" x14ac:dyDescent="0.25">
      <c r="B8" s="19" t="s">
        <v>101</v>
      </c>
      <c r="C8" s="101">
        <v>1.193399880660011E-3</v>
      </c>
    </row>
    <row r="9" spans="1:8" ht="15.75" customHeight="1" x14ac:dyDescent="0.25">
      <c r="B9" s="19" t="s">
        <v>102</v>
      </c>
      <c r="C9" s="101">
        <v>8.1527291847270894E-2</v>
      </c>
    </row>
    <row r="10" spans="1:8" ht="15.75" customHeight="1" x14ac:dyDescent="0.25">
      <c r="B10" s="19" t="s">
        <v>103</v>
      </c>
      <c r="C10" s="101">
        <v>0.108199489180051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106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107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108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109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110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111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112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113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8.7620265000000017E-2</v>
      </c>
    </row>
    <row r="27" spans="1:8" ht="15.75" customHeight="1" x14ac:dyDescent="0.25">
      <c r="B27" s="19" t="s">
        <v>120</v>
      </c>
      <c r="C27" s="101">
        <v>8.4936790000000005E-3</v>
      </c>
    </row>
    <row r="28" spans="1:8" ht="15.75" customHeight="1" x14ac:dyDescent="0.25">
      <c r="B28" s="19" t="s">
        <v>121</v>
      </c>
      <c r="C28" s="101">
        <v>0.15420750799999999</v>
      </c>
    </row>
    <row r="29" spans="1:8" ht="15.75" customHeight="1" x14ac:dyDescent="0.25">
      <c r="B29" s="19" t="s">
        <v>122</v>
      </c>
      <c r="C29" s="101">
        <v>0.168404365</v>
      </c>
    </row>
    <row r="30" spans="1:8" ht="15.75" customHeight="1" x14ac:dyDescent="0.25">
      <c r="B30" s="19" t="s">
        <v>2</v>
      </c>
      <c r="C30" s="101">
        <v>0.105568509</v>
      </c>
    </row>
    <row r="31" spans="1:8" ht="15.75" customHeight="1" x14ac:dyDescent="0.25">
      <c r="B31" s="19" t="s">
        <v>123</v>
      </c>
      <c r="C31" s="101">
        <v>0.10981025899999999</v>
      </c>
    </row>
    <row r="32" spans="1:8" ht="15.75" customHeight="1" x14ac:dyDescent="0.25">
      <c r="B32" s="19" t="s">
        <v>124</v>
      </c>
      <c r="C32" s="101">
        <v>1.8832593000000002E-2</v>
      </c>
    </row>
    <row r="33" spans="2:3" ht="15.75" customHeight="1" x14ac:dyDescent="0.25">
      <c r="B33" s="19" t="s">
        <v>125</v>
      </c>
      <c r="C33" s="101">
        <v>8.4520607999999997E-2</v>
      </c>
    </row>
    <row r="34" spans="2:3" ht="15.75" customHeight="1" x14ac:dyDescent="0.25">
      <c r="B34" s="19" t="s">
        <v>126</v>
      </c>
      <c r="C34" s="101">
        <v>0.26254221300000002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j1X39IsA8Acj49OJ5TN5ZD8Aa7le48VmdiUc2m1Nu3AmXbQy4l5fAJODQAd/mSxHpAFSn3Zfd3Kg2it48wfczw==" saltValue="tRGgOAbuUymh8etN9Uuj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132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133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137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iD81w7bV7nukLylcWuv2GMv442LcIfFHXrep9VWKOQyiekNRwTS2r4OI+hzCiumD5NwzBykNjr3H4S/seS1PA==" saltValue="d1kRN3yLeNbvTPDNeGxe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oZoIqaVlR6Hjc+H9c2QouwDo4xmV5SSCX9Ujup2IK8qTTDQUgkoDjStyCYpffN9EqRxtTeXExH+hRYeWA3vXVg==" saltValue="dsmyT3MbCJAb3YhMWDwiK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GnwQ/7LIzd7enGag3tpo1EC3vsJA7GUZEAKm4N2NyvOueyVcPse/pZAnQoscy2YZ08LK5MYuRuzFwXJ4w1PkQ==" saltValue="1Kzmz/tRcKtn2q7dJg4IP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643.79004231123895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0.38130999999999998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0.73868999999999996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1.4661369499999998E-2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95935.472460000005</v>
      </c>
      <c r="C22" s="109">
        <v>95585.087790000005</v>
      </c>
      <c r="D22" s="109">
        <v>95215.541410000005</v>
      </c>
      <c r="E22" s="109">
        <v>94528.811369999996</v>
      </c>
      <c r="F22" s="109">
        <v>93532.808940000003</v>
      </c>
      <c r="G22" s="109">
        <v>92327.932209999999</v>
      </c>
      <c r="H22" s="109">
        <v>90792.587190000006</v>
      </c>
      <c r="I22" s="109">
        <v>88637.59822</v>
      </c>
      <c r="J22" s="109">
        <v>85524.114249999999</v>
      </c>
      <c r="K22" s="109">
        <v>81231.095660000006</v>
      </c>
      <c r="L22" s="109">
        <v>75422.882159999994</v>
      </c>
      <c r="M22" s="109">
        <v>67838.960309999995</v>
      </c>
      <c r="N22" s="109">
        <v>58239.989220000003</v>
      </c>
      <c r="O22" s="109">
        <v>47098.437530000003</v>
      </c>
    </row>
  </sheetData>
  <sheetProtection algorithmName="SHA-512" hashValue="W0QKy4SQJhTf6x8jwO23N7ZbynvkqFlLsHDQJHjaNeC4asCXKo804HYuRJ6TOUsUzK4N881YK54cKbiEkp1u/w==" saltValue="p1hLcileB1ogo7NqEGxb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lTzSzv5Knexu2Q/BShKM8lPy6uS1pqRu0e7wgh/u+WZLPBGfeqhzvPeYfyWezxjyo/F8YL41Rc67CYo+Cx5Hw==" saltValue="iUyTTqqwYK4xmJi4syZB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dr2frcG8MCZAAtN2LlWJAirOoPVWJLV7c3owRkYGZOH2DNuZatNALBWSj1cIuGNZ5KDEJOduq7rKxRQ2E6+1Q==" saltValue="RHni6lYAPRWo38+eS32Nm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15.05101211717766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15.05101211717766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15.05101211717766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15.05101211717766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15.05101211717766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0.14499999999999999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0.373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0.25800000000000001</v>
      </c>
      <c r="C19" s="98">
        <v>0.95</v>
      </c>
      <c r="D19" s="56">
        <v>7.29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0.70900000000000007</v>
      </c>
      <c r="C23" s="98">
        <v>0.95</v>
      </c>
      <c r="D23" s="56">
        <v>4.9325180741630454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0.24025928639999999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0.434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0.42499999999999999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0.78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0.26800000000000002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0.51764500000000002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1KLVS/IaXQ+p4uSQ1ij3wImZ1g/QcRaw6NL9xErTDBoWiMDkavK+XzrXFOETcUpDKDly0DUnaubwfWp8h3xofw==" saltValue="dxQzwSEUbP9rB4a+OdXh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7l/b4F1ymoC1X6d6EENU19Ypa1jepID+kbPPfapHnepcuRDbfCrwC9Blc8CymCzPS+4jQYlW3iPG9JvY9zZbg==" saltValue="R3JVzp4Wki3BHtFcNm29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tswr6gcnfyyr3xrdCTvt6i0IhYqzB9T0K8cFNTtpSK8VvA1r4vH5JsF0ERL1y+RRBC3jWmXPYY7//vRbdxh1w==" saltValue="fCChSeIgXT+1aS0Ke8l2b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1.8460000000000001</v>
      </c>
      <c r="C2" s="21">
        <f>'Données pop de l''année de ref'!C52</f>
        <v>1.8460000000000001</v>
      </c>
      <c r="D2" s="21">
        <f>'Données pop de l''année de ref'!C53</f>
        <v>5.3039999999999994</v>
      </c>
      <c r="E2" s="21">
        <f>'Données pop de l''année de ref'!C54</f>
        <v>5.8760000000000003</v>
      </c>
      <c r="F2" s="21">
        <f>'Données pop de l''année de ref'!C55</f>
        <v>2.8166666666666669</v>
      </c>
    </row>
    <row r="3" spans="1:6" ht="15.75" customHeight="1" x14ac:dyDescent="0.25">
      <c r="A3" s="3" t="s">
        <v>238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zzml6uldatRaC9pATHSlQbiCzRazG1kiya03wVkU0NkBdEre/SjsumYuCkSm5LYBY1OpVVERBULqucW28bRIjQ==" saltValue="1Hj0qoXIFvA4cRdtZr3f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4.0276363636363638E-2</v>
      </c>
      <c r="D7" s="60">
        <f>diarrhoea_1_5mo*frac_diarrhea_severe</f>
        <v>4.0276363636363638E-2</v>
      </c>
      <c r="E7" s="60">
        <f>diarrhoea_6_11mo*frac_diarrhea_severe</f>
        <v>0.11572363636363636</v>
      </c>
      <c r="F7" s="60">
        <f>diarrhoea_12_23mo*frac_diarrhea_severe</f>
        <v>0.12820363636363638</v>
      </c>
      <c r="G7" s="60">
        <f>diarrhoea_24_59mo*frac_diarrhea_severe</f>
        <v>6.1454545454545463E-2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4.0276363636363638E-2</v>
      </c>
      <c r="D12" s="60">
        <f>diarrhoea_1_5mo*frac_diarrhea_severe</f>
        <v>4.0276363636363638E-2</v>
      </c>
      <c r="E12" s="60">
        <f>diarrhoea_6_11mo*frac_diarrhea_severe</f>
        <v>0.11572363636363636</v>
      </c>
      <c r="F12" s="60">
        <f>diarrhoea_12_23mo*frac_diarrhea_severe</f>
        <v>0.12820363636363638</v>
      </c>
      <c r="G12" s="60">
        <f>diarrhoea_24_59mo*frac_diarrhea_severe</f>
        <v>6.1454545454545463E-2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0.34945021790000008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0.14976437910000001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9.8217903000000023E-2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0.40256750000000008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C8WyWVac2hqCXvUI/TLvrCgWLjQjvA/MWaAzJiv4YxSgLoJ5oSB27z//seF5tq7TjeROg+ApPCDf/SW8Ts0NQ==" saltValue="GuWUx+HgJSjpUMpI/hrNk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ZiwT+zPqzQeRjxdtdsDbihq/3iadM8gf3aZ3V1Z/enrOFKym8oAcLoxdLNjMdQANhqP9VDz7eGVgBBuC40kUA==" saltValue="0VVxP/zBShCyMflmDt+cm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zvbbDREU+LQKZ2YrvH+j/wp9l2EqTK94ONxiXtd7fRBIQNttQMpynZ8XtVCWcOIX4LUhUSerpZO0NBiV0qc/A==" saltValue="Rnr48N8yqL/jlII1H1zc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Apcd2tzC1YnPDlFPb0Qt7np96+eWfLgySAg5YwkQV8wiOVuvtJTsbRZe2C2QOPRoNrHVBHV8f+mJsklgZxtNA==" saltValue="Qt+AwFnKIBzfc5MdkdOcG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IVmx3z9Yom9AV5fEohgBeYxuUc6woFKBiXBmQtRVqvWvnwTkJmQx7C5bLA10mW6iIGUnjHd3D9VJy+3slH7BIQ==" saltValue="ZZbA/zJOohHeoLUBfZTM4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/8SUyahZEFmM3s2uBJTYEp45zEpyvfgyhTPlQd9itcC40dmC4m+BtEVbJXv5VVMgWJkSheYkSEJ1nLMpl8eVtg==" saltValue="eyL1Ywf6jSys9QV34ykP7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vexVPlluAcR+o9dNlP78RLhAVxo0OYekgOz8G7Z5MUWZCDJ9yyJ4VywuX0VK0UBU3gxFe51EhTpOXnHO954rA==" saltValue="AGwppRqEnIfKKngqAVJMx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IzZ0bULxI5SizDTsqNlMyBrJE/zSkc8Wcy21WgatDxd8fMUbGO8vq+wF+1RQ9Z3ax6+Wdfs/77JA8Q+0l6YpWQ==" saltValue="fAd3ghGvmK5YoasAehuw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BeOE3jOQw0KyI2DQQZCpash458dT2+Qn0LNDRyEaqnHyl/T4UjNpLBq0nPvQNjODG69QjI26XhXkJ6TWUCgllw==" saltValue="I4s0ptdud5PlbS+HTV5z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IxZw7vQV7IS0K4trK+WyPLBskBrbXfS+7HXdy5a3QTBci/4I7Rm7X4szecJAK3/I/5TuQDtNXu/1UKwkLsDMQ==" saltValue="H5yoigKs5bWxQ3luQuID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EZ0yX3idnqJ7JPobQTBF1iIdglBDvN87bxgrk+dwTzDWY/pa6BuX4ptBu9g+Rxd5PKP/+MAbSxadRH9eFYiwg==" saltValue="gl/dDe9+l9lXFFCTU0lJ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Qa1FJInaSsknw9Wo0TJWviMBKzb47bHzVTczMvFs+j3hErdIJQMUkwpaUwNpO3V1KdhcIAUylWdyupZcxvksA==" saltValue="cBPfygBE1CIbjSkA3qGt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CjjMNHv1Qt1XReLumb+FdUV5Mhg/J4z5ajjtTb0Xzby79DpC9E7MjLzy7PHl+1Q/UEZd3zllVWqqAnaCp6JNg==" saltValue="nUJMlBJRtDhBUg5hBh/s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RJA/XhU6a/Ytxjphg2qQt3CU0EeKRZt/BUecNuqx6PX1T/mwM4vydZdvpU2Z/l9LzMaJIRUltITyI6N2JmkFQ==" saltValue="D77+2yWZWIJtfFXKu4L+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wxiz2t1+zXz1a/OhRXlEcJxTiJNq34wVo9nIOb1E7VghGNIIJ8qfmlNxciFdtrODM0v+cMczJ7y2Byb1uwZVQ==" saltValue="AgBzpjO2Zre3AJXpMuFI+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