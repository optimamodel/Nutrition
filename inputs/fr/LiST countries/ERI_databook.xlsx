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FB280E3B-430C-47AE-9FA5-B746BF8E3051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6" i="2"/>
  <c r="A35" i="2"/>
  <c r="A25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2" i="2" l="1"/>
  <c r="I6" i="2"/>
  <c r="I12" i="2"/>
  <c r="A22" i="2"/>
  <c r="I39" i="2"/>
  <c r="A23" i="2"/>
  <c r="A24" i="2"/>
  <c r="A40" i="2"/>
  <c r="A19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<sst xmlns="http://schemas.openxmlformats.org/spreadsheetml/2006/main" count="2169" uniqueCount="369">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</sst>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502472.00000000012</v>
      </c>
    </row>
    <row r="8" spans="1:3" ht="15" customHeight="1" x14ac:dyDescent="0.25">
      <c r="B8" s="5" t="s">
        <v>37</v>
      </c>
      <c r="C8" s="44">
        <v>0.45200000000000001</v>
      </c>
    </row>
    <row r="9" spans="1:3" ht="15" customHeight="1" x14ac:dyDescent="0.25">
      <c r="B9" s="5" t="s">
        <v>38</v>
      </c>
      <c r="C9" s="45">
        <v>0.16</v>
      </c>
    </row>
    <row r="10" spans="1:3" ht="15" customHeight="1" x14ac:dyDescent="0.25">
      <c r="B10" s="5" t="s">
        <v>39</v>
      </c>
      <c r="C10" s="45">
        <v>0.40256750000000002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0.41799999999999998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8.4900000000000003E-2</v>
      </c>
    </row>
    <row r="24" spans="1:3" ht="15" customHeight="1" x14ac:dyDescent="0.25">
      <c r="B24" s="15" t="s">
        <v>51</v>
      </c>
      <c r="C24" s="45">
        <v>0.46400000000000002</v>
      </c>
    </row>
    <row r="25" spans="1:3" ht="15" customHeight="1" x14ac:dyDescent="0.25">
      <c r="B25" s="15" t="s">
        <v>52</v>
      </c>
      <c r="C25" s="45">
        <v>0.35129999999999989</v>
      </c>
    </row>
    <row r="26" spans="1:3" ht="15" customHeight="1" x14ac:dyDescent="0.25">
      <c r="B26" s="15" t="s">
        <v>53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0.21829699999999999</v>
      </c>
    </row>
    <row r="30" spans="1:3" ht="14.25" customHeight="1" x14ac:dyDescent="0.25">
      <c r="B30" s="25" t="s">
        <v>56</v>
      </c>
      <c r="C30" s="97">
        <v>7.5314300000000001E-2</v>
      </c>
    </row>
    <row r="31" spans="1:3" ht="14.25" customHeight="1" x14ac:dyDescent="0.25">
      <c r="B31" s="25" t="s">
        <v>57</v>
      </c>
      <c r="C31" s="97">
        <v>0.11899999999999999</v>
      </c>
    </row>
    <row r="32" spans="1:3" ht="14.25" customHeight="1" x14ac:dyDescent="0.25">
      <c r="B32" s="25" t="s">
        <v>58</v>
      </c>
      <c r="C32" s="97">
        <v>0.58738869999999999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17.335930000000001</v>
      </c>
    </row>
    <row r="38" spans="1:5" ht="15" customHeight="1" x14ac:dyDescent="0.25">
      <c r="B38" s="11" t="s">
        <v>63</v>
      </c>
      <c r="C38" s="43">
        <v>28.94961</v>
      </c>
      <c r="D38" s="12"/>
      <c r="E38" s="13"/>
    </row>
    <row r="39" spans="1:5" ht="15" customHeight="1" x14ac:dyDescent="0.25">
      <c r="B39" s="11" t="s">
        <v>64</v>
      </c>
      <c r="C39" s="43">
        <v>38.091560000000001</v>
      </c>
      <c r="D39" s="12"/>
      <c r="E39" s="12"/>
    </row>
    <row r="40" spans="1:5" ht="15" customHeight="1" x14ac:dyDescent="0.25">
      <c r="B40" s="11" t="s">
        <v>65</v>
      </c>
      <c r="C40" s="98">
        <v>3.22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7.9316999999999999E-3</v>
      </c>
      <c r="D45" s="12"/>
    </row>
    <row r="46" spans="1:5" ht="15.75" customHeight="1" x14ac:dyDescent="0.25">
      <c r="B46" s="11" t="s">
        <v>70</v>
      </c>
      <c r="C46" s="45">
        <v>8.5224899999999992E-2</v>
      </c>
      <c r="D46" s="12"/>
    </row>
    <row r="47" spans="1:5" ht="15.75" customHeight="1" x14ac:dyDescent="0.25">
      <c r="B47" s="11" t="s">
        <v>71</v>
      </c>
      <c r="C47" s="45">
        <v>7.3457800000000004E-2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1.8460000000000001</v>
      </c>
      <c r="D51" s="12"/>
    </row>
    <row r="52" spans="1:4" ht="15" customHeight="1" x14ac:dyDescent="0.25">
      <c r="B52" s="11" t="s">
        <v>75</v>
      </c>
      <c r="C52" s="98">
        <v>1.8460000000000001</v>
      </c>
    </row>
    <row r="53" spans="1:4" ht="15.75" customHeight="1" x14ac:dyDescent="0.25">
      <c r="B53" s="11" t="s">
        <v>76</v>
      </c>
      <c r="C53" s="98">
        <v>5.3039999999999994</v>
      </c>
    </row>
    <row r="54" spans="1:4" ht="15.75" customHeight="1" x14ac:dyDescent="0.25">
      <c r="B54" s="11" t="s">
        <v>77</v>
      </c>
      <c r="C54" s="98">
        <v>5.8760000000000003</v>
      </c>
    </row>
    <row r="55" spans="1:4" ht="15.75" customHeight="1" x14ac:dyDescent="0.25">
      <c r="B55" s="11" t="s">
        <v>78</v>
      </c>
      <c r="C55" s="98">
        <v>2.8166666666666669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0.50167899999999999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0.15160142900000001</v>
      </c>
    </row>
    <row r="63" spans="1:4" ht="15.75" customHeight="1" x14ac:dyDescent="0.3">
      <c r="A63" s="4"/>
    </row>
  </sheetData>
  <sheetProtection algorithmName="SHA-512" hashValue="4yhhgdHFo6536a7p7Hub//fAy6f7iEiO1ZQ3Y/HwnFDZLEU+wpxokGKZuWfCAEt0YaKzUcSK8ov3sEcxkWBTiA==" saltValue="BkwOa5ymcLwsJ2Rg2iSp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101539</v>
      </c>
      <c r="C2" s="49">
        <v>211512</v>
      </c>
      <c r="D2" s="49">
        <v>326817.5</v>
      </c>
      <c r="E2" s="49">
        <v>194239.5</v>
      </c>
      <c r="F2" s="49">
        <v>144840</v>
      </c>
      <c r="G2" s="17">
        <f t="shared" ref="G2:G13" si="0">C2+D2+E2+F2</f>
        <v>877409</v>
      </c>
      <c r="H2" s="17">
        <f t="shared" ref="H2:H13" si="1">(B2 + stillbirth*B2/(1000-stillbirth))/(1-abortion)</f>
        <v>117277.80726976773</v>
      </c>
      <c r="I2" s="17">
        <f t="shared" ref="I2:I13" si="2">G2-H2</f>
        <v>760131.19273023226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103276</v>
      </c>
      <c r="C3" s="50">
        <v>213414.5</v>
      </c>
      <c r="D3" s="50">
        <v>340270</v>
      </c>
      <c r="E3" s="50">
        <v>202782.5</v>
      </c>
      <c r="F3" s="50">
        <v>145983</v>
      </c>
      <c r="G3" s="17">
        <f t="shared" si="0"/>
        <v>902450</v>
      </c>
      <c r="H3" s="17">
        <f t="shared" si="1"/>
        <v>119284.04675634517</v>
      </c>
      <c r="I3" s="17">
        <f t="shared" si="2"/>
        <v>783165.9532436548</v>
      </c>
    </row>
    <row r="4" spans="1:9" ht="15.75" customHeight="1" x14ac:dyDescent="0.25">
      <c r="A4" s="5">
        <f t="shared" si="3"/>
        <v>2026</v>
      </c>
      <c r="B4" s="49">
        <v>105398</v>
      </c>
      <c r="C4" s="50">
        <v>214842</v>
      </c>
      <c r="D4" s="50">
        <v>351986.99999999988</v>
      </c>
      <c r="E4" s="50">
        <v>213441.5</v>
      </c>
      <c r="F4" s="50">
        <v>147714.5</v>
      </c>
      <c r="G4" s="17">
        <f t="shared" si="0"/>
        <v>927984.99999999988</v>
      </c>
      <c r="H4" s="17">
        <f t="shared" si="1"/>
        <v>121734.96223735687</v>
      </c>
      <c r="I4" s="17">
        <f t="shared" si="2"/>
        <v>806250.03776264307</v>
      </c>
    </row>
    <row r="5" spans="1:9" ht="15.75" customHeight="1" x14ac:dyDescent="0.25">
      <c r="A5" s="5">
        <f t="shared" si="3"/>
        <v>2027</v>
      </c>
      <c r="B5" s="49">
        <v>107199</v>
      </c>
      <c r="C5" s="50">
        <v>216074</v>
      </c>
      <c r="D5" s="50">
        <v>361609.00000000012</v>
      </c>
      <c r="E5" s="50">
        <v>225442</v>
      </c>
      <c r="F5" s="50">
        <v>150261</v>
      </c>
      <c r="G5" s="17">
        <f t="shared" si="0"/>
        <v>953386.00000000012</v>
      </c>
      <c r="H5" s="17">
        <f t="shared" si="1"/>
        <v>123815.12188924287</v>
      </c>
      <c r="I5" s="17">
        <f t="shared" si="2"/>
        <v>829570.87811075721</v>
      </c>
    </row>
    <row r="6" spans="1:9" ht="15.75" customHeight="1" x14ac:dyDescent="0.25">
      <c r="A6" s="5">
        <f t="shared" si="3"/>
        <v>2028</v>
      </c>
      <c r="B6" s="49">
        <v>108940</v>
      </c>
      <c r="C6" s="50">
        <v>217081.5</v>
      </c>
      <c r="D6" s="50">
        <v>371204</v>
      </c>
      <c r="E6" s="50">
        <v>236910.5</v>
      </c>
      <c r="F6" s="50">
        <v>153461.5</v>
      </c>
      <c r="G6" s="17">
        <f t="shared" si="0"/>
        <v>978657.5</v>
      </c>
      <c r="H6" s="17">
        <f t="shared" si="1"/>
        <v>125825.9813861521</v>
      </c>
      <c r="I6" s="17">
        <f t="shared" si="2"/>
        <v>852831.5186138479</v>
      </c>
    </row>
    <row r="7" spans="1:9" ht="15.75" customHeight="1" x14ac:dyDescent="0.25">
      <c r="A7" s="5">
        <f t="shared" si="3"/>
        <v>2029</v>
      </c>
      <c r="B7" s="49">
        <v>110590</v>
      </c>
      <c r="C7" s="50">
        <v>217242</v>
      </c>
      <c r="D7" s="50">
        <v>380964.5</v>
      </c>
      <c r="E7" s="50">
        <v>248239</v>
      </c>
      <c r="F7" s="50">
        <v>156988.5</v>
      </c>
      <c r="G7" s="17">
        <f t="shared" si="0"/>
        <v>1003434</v>
      </c>
      <c r="H7" s="17">
        <f t="shared" si="1"/>
        <v>127731.7356480132</v>
      </c>
      <c r="I7" s="17">
        <f t="shared" si="2"/>
        <v>875702.26435198681</v>
      </c>
    </row>
    <row r="8" spans="1:9" ht="15.75" customHeight="1" x14ac:dyDescent="0.25">
      <c r="A8" s="5">
        <f t="shared" si="3"/>
        <v>2030</v>
      </c>
      <c r="B8" s="49">
        <v>111974</v>
      </c>
      <c r="C8" s="50">
        <v>216570.5</v>
      </c>
      <c r="D8" s="50">
        <v>390563.5</v>
      </c>
      <c r="E8" s="50">
        <v>259933.5</v>
      </c>
      <c r="F8" s="50">
        <v>160942.5</v>
      </c>
      <c r="G8" s="17">
        <f t="shared" si="0"/>
        <v>1028010</v>
      </c>
      <c r="H8" s="17">
        <f t="shared" si="1"/>
        <v>129330.25922281065</v>
      </c>
      <c r="I8" s="17">
        <f t="shared" si="2"/>
        <v>898679.74077718938</v>
      </c>
    </row>
    <row r="9" spans="1:9" ht="15.75" customHeight="1" x14ac:dyDescent="0.25">
      <c r="A9" s="5">
        <f t="shared" si="3"/>
        <v>2031</v>
      </c>
      <c r="B9" s="49">
        <v>113264</v>
      </c>
      <c r="C9" s="50">
        <v>215382</v>
      </c>
      <c r="D9" s="50">
        <v>399215.00000000012</v>
      </c>
      <c r="E9" s="50">
        <v>271938</v>
      </c>
      <c r="F9" s="50">
        <v>165359.5</v>
      </c>
      <c r="G9" s="17">
        <f t="shared" si="0"/>
        <v>1051894.5</v>
      </c>
      <c r="H9" s="17">
        <f t="shared" si="1"/>
        <v>130820.21255481118</v>
      </c>
      <c r="I9" s="17">
        <f t="shared" si="2"/>
        <v>921074.28744518885</v>
      </c>
    </row>
    <row r="10" spans="1:9" ht="15.75" customHeight="1" x14ac:dyDescent="0.25">
      <c r="A10" s="5">
        <f t="shared" si="3"/>
        <v>2032</v>
      </c>
      <c r="B10" s="49">
        <v>114266</v>
      </c>
      <c r="C10" s="50">
        <v>214055.5</v>
      </c>
      <c r="D10" s="50">
        <v>406087.99999999988</v>
      </c>
      <c r="E10" s="50">
        <v>284429</v>
      </c>
      <c r="F10" s="50">
        <v>170686</v>
      </c>
      <c r="G10" s="17">
        <f t="shared" si="0"/>
        <v>1075258.5</v>
      </c>
      <c r="H10" s="17">
        <f t="shared" si="1"/>
        <v>131977.5251429232</v>
      </c>
      <c r="I10" s="17">
        <f t="shared" si="2"/>
        <v>943280.97485707677</v>
      </c>
    </row>
    <row r="11" spans="1:9" ht="15.75" customHeight="1" x14ac:dyDescent="0.25">
      <c r="A11" s="5">
        <f t="shared" si="3"/>
        <v>2033</v>
      </c>
      <c r="B11" s="49">
        <v>115029</v>
      </c>
      <c r="C11" s="50">
        <v>213118.5</v>
      </c>
      <c r="D11" s="50">
        <v>411196</v>
      </c>
      <c r="E11" s="50">
        <v>297768</v>
      </c>
      <c r="F11" s="50">
        <v>177129.5</v>
      </c>
      <c r="G11" s="17">
        <f t="shared" si="0"/>
        <v>1099212</v>
      </c>
      <c r="H11" s="17">
        <f t="shared" si="1"/>
        <v>132858.7921137111</v>
      </c>
      <c r="I11" s="17">
        <f t="shared" si="2"/>
        <v>966353.20788628887</v>
      </c>
    </row>
    <row r="12" spans="1:9" ht="15.75" customHeight="1" x14ac:dyDescent="0.25">
      <c r="A12" s="5">
        <f t="shared" si="3"/>
        <v>2034</v>
      </c>
      <c r="B12" s="49">
        <v>115561</v>
      </c>
      <c r="C12" s="50">
        <v>212833</v>
      </c>
      <c r="D12" s="50">
        <v>414665.5</v>
      </c>
      <c r="E12" s="50">
        <v>311559.49999999988</v>
      </c>
      <c r="F12" s="50">
        <v>184954</v>
      </c>
      <c r="G12" s="17">
        <f t="shared" si="0"/>
        <v>1124012</v>
      </c>
      <c r="H12" s="17">
        <f t="shared" si="1"/>
        <v>133473.25348783846</v>
      </c>
      <c r="I12" s="17">
        <f t="shared" si="2"/>
        <v>990538.74651216157</v>
      </c>
    </row>
    <row r="13" spans="1:9" ht="15.75" customHeight="1" x14ac:dyDescent="0.25">
      <c r="A13" s="5">
        <f t="shared" si="3"/>
        <v>2035</v>
      </c>
      <c r="B13" s="49">
        <v>115986</v>
      </c>
      <c r="C13" s="50">
        <v>213467.5</v>
      </c>
      <c r="D13" s="50">
        <v>416290.5</v>
      </c>
      <c r="E13" s="50">
        <v>325508</v>
      </c>
      <c r="F13" s="50">
        <v>193703.5</v>
      </c>
      <c r="G13" s="17">
        <f t="shared" si="0"/>
        <v>1148969.5</v>
      </c>
      <c r="H13" s="17">
        <f t="shared" si="1"/>
        <v>133964.12958559056</v>
      </c>
      <c r="I13" s="17">
        <f t="shared" si="2"/>
        <v>1015005.3704144094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vIoomQra86g1l4j0+Z4H0PoPRy4oKEidrifIV73i8zZMtEjWAOvIsPpNK9RSeLaZgywENODeRrko7ejKnVg5g==" saltValue="3sV2Ds7+I4/if0jaD8MsB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9.54159904584009E-3</v>
      </c>
    </row>
    <row r="4" spans="1:8" ht="15.75" customHeight="1" x14ac:dyDescent="0.25">
      <c r="B4" s="19" t="s">
        <v>97</v>
      </c>
      <c r="C4" s="99">
        <v>6.4930893506910725E-2</v>
      </c>
    </row>
    <row r="5" spans="1:8" ht="15.75" customHeight="1" x14ac:dyDescent="0.25">
      <c r="B5" s="19" t="s">
        <v>98</v>
      </c>
      <c r="C5" s="99">
        <v>8.333079166692095E-2</v>
      </c>
    </row>
    <row r="6" spans="1:8" ht="15.75" customHeight="1" x14ac:dyDescent="0.25">
      <c r="B6" s="19" t="s">
        <v>99</v>
      </c>
      <c r="C6" s="99">
        <v>0.24122667587733301</v>
      </c>
    </row>
    <row r="7" spans="1:8" ht="15.75" customHeight="1" x14ac:dyDescent="0.25">
      <c r="B7" s="19" t="s">
        <v>100</v>
      </c>
      <c r="C7" s="99">
        <v>0.41004985899501339</v>
      </c>
    </row>
    <row r="8" spans="1:8" ht="15.75" customHeight="1" x14ac:dyDescent="0.25">
      <c r="B8" s="19" t="s">
        <v>101</v>
      </c>
      <c r="C8" s="99">
        <v>1.193399880660011E-3</v>
      </c>
    </row>
    <row r="9" spans="1:8" ht="15.75" customHeight="1" x14ac:dyDescent="0.25">
      <c r="B9" s="19" t="s">
        <v>102</v>
      </c>
      <c r="C9" s="99">
        <v>8.1527291847270894E-2</v>
      </c>
    </row>
    <row r="10" spans="1:8" ht="15.75" customHeight="1" x14ac:dyDescent="0.25">
      <c r="B10" s="19" t="s">
        <v>103</v>
      </c>
      <c r="C10" s="99">
        <v>0.108199489180051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106</v>
      </c>
      <c r="C15" s="99">
        <v>0.24104474898363951</v>
      </c>
      <c r="D15" s="99">
        <v>0.24104474898363951</v>
      </c>
      <c r="E15" s="99">
        <v>0.24104474898363951</v>
      </c>
      <c r="F15" s="99">
        <v>0.24104474898363951</v>
      </c>
    </row>
    <row r="16" spans="1:8" ht="15.75" customHeight="1" x14ac:dyDescent="0.25">
      <c r="B16" s="19" t="s">
        <v>107</v>
      </c>
      <c r="C16" s="99">
        <v>2.6390130677189091E-2</v>
      </c>
      <c r="D16" s="99">
        <v>2.6390130677189091E-2</v>
      </c>
      <c r="E16" s="99">
        <v>2.6390130677189091E-2</v>
      </c>
      <c r="F16" s="99">
        <v>2.6390130677189091E-2</v>
      </c>
    </row>
    <row r="17" spans="1:8" ht="15.75" customHeight="1" x14ac:dyDescent="0.25">
      <c r="B17" s="19" t="s">
        <v>108</v>
      </c>
      <c r="C17" s="99">
        <v>6.6708176145966061E-3</v>
      </c>
      <c r="D17" s="99">
        <v>6.6708176145966061E-3</v>
      </c>
      <c r="E17" s="99">
        <v>6.6708176145966061E-3</v>
      </c>
      <c r="F17" s="99">
        <v>6.6708176145966061E-3</v>
      </c>
    </row>
    <row r="18" spans="1:8" ht="15.75" customHeight="1" x14ac:dyDescent="0.25">
      <c r="B18" s="19" t="s">
        <v>109</v>
      </c>
      <c r="C18" s="99">
        <v>8.4191652621648683E-2</v>
      </c>
      <c r="D18" s="99">
        <v>8.4191652621648683E-2</v>
      </c>
      <c r="E18" s="99">
        <v>8.4191652621648683E-2</v>
      </c>
      <c r="F18" s="99">
        <v>8.4191652621648683E-2</v>
      </c>
    </row>
    <row r="19" spans="1:8" ht="15.75" customHeight="1" x14ac:dyDescent="0.25">
      <c r="B19" s="19" t="s">
        <v>110</v>
      </c>
      <c r="C19" s="99">
        <v>6.8330843258333274E-2</v>
      </c>
      <c r="D19" s="99">
        <v>6.8330843258333274E-2</v>
      </c>
      <c r="E19" s="99">
        <v>6.8330843258333274E-2</v>
      </c>
      <c r="F19" s="99">
        <v>6.8330843258333274E-2</v>
      </c>
    </row>
    <row r="20" spans="1:8" ht="15.75" customHeight="1" x14ac:dyDescent="0.25">
      <c r="B20" s="19" t="s">
        <v>111</v>
      </c>
      <c r="C20" s="99">
        <v>1.250400620514191E-2</v>
      </c>
      <c r="D20" s="99">
        <v>1.250400620514191E-2</v>
      </c>
      <c r="E20" s="99">
        <v>1.250400620514191E-2</v>
      </c>
      <c r="F20" s="99">
        <v>1.250400620514191E-2</v>
      </c>
    </row>
    <row r="21" spans="1:8" ht="15.75" customHeight="1" x14ac:dyDescent="0.25">
      <c r="B21" s="19" t="s">
        <v>112</v>
      </c>
      <c r="C21" s="99">
        <v>0.1655459558925296</v>
      </c>
      <c r="D21" s="99">
        <v>0.1655459558925296</v>
      </c>
      <c r="E21" s="99">
        <v>0.1655459558925296</v>
      </c>
      <c r="F21" s="99">
        <v>0.1655459558925296</v>
      </c>
    </row>
    <row r="22" spans="1:8" ht="15.75" customHeight="1" x14ac:dyDescent="0.25">
      <c r="B22" s="19" t="s">
        <v>113</v>
      </c>
      <c r="C22" s="99">
        <v>0.21903383257052109</v>
      </c>
      <c r="D22" s="99">
        <v>0.21903383257052109</v>
      </c>
      <c r="E22" s="99">
        <v>0.21903383257052109</v>
      </c>
      <c r="F22" s="99">
        <v>0.21903383257052109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8.7620265000000017E-2</v>
      </c>
    </row>
    <row r="27" spans="1:8" ht="15.75" customHeight="1" x14ac:dyDescent="0.25">
      <c r="B27" s="19" t="s">
        <v>120</v>
      </c>
      <c r="C27" s="99">
        <v>8.4936790000000005E-3</v>
      </c>
    </row>
    <row r="28" spans="1:8" ht="15.75" customHeight="1" x14ac:dyDescent="0.25">
      <c r="B28" s="19" t="s">
        <v>121</v>
      </c>
      <c r="C28" s="99">
        <v>0.15420750799999999</v>
      </c>
    </row>
    <row r="29" spans="1:8" ht="15.75" customHeight="1" x14ac:dyDescent="0.25">
      <c r="B29" s="19" t="s">
        <v>122</v>
      </c>
      <c r="C29" s="99">
        <v>0.168404365</v>
      </c>
    </row>
    <row r="30" spans="1:8" ht="15.75" customHeight="1" x14ac:dyDescent="0.25">
      <c r="B30" s="19" t="s">
        <v>2</v>
      </c>
      <c r="C30" s="99">
        <v>0.105568509</v>
      </c>
    </row>
    <row r="31" spans="1:8" ht="15.75" customHeight="1" x14ac:dyDescent="0.25">
      <c r="B31" s="19" t="s">
        <v>123</v>
      </c>
      <c r="C31" s="99">
        <v>0.10981025899999999</v>
      </c>
    </row>
    <row r="32" spans="1:8" ht="15.75" customHeight="1" x14ac:dyDescent="0.25">
      <c r="B32" s="19" t="s">
        <v>124</v>
      </c>
      <c r="C32" s="99">
        <v>1.8832593000000002E-2</v>
      </c>
    </row>
    <row r="33" spans="2:3" ht="15.75" customHeight="1" x14ac:dyDescent="0.25">
      <c r="B33" s="19" t="s">
        <v>125</v>
      </c>
      <c r="C33" s="99">
        <v>8.4520607999999997E-2</v>
      </c>
    </row>
    <row r="34" spans="2:3" ht="15.75" customHeight="1" x14ac:dyDescent="0.25">
      <c r="B34" s="19" t="s">
        <v>126</v>
      </c>
      <c r="C34" s="99">
        <v>0.26254221300000002</v>
      </c>
    </row>
    <row r="35" spans="2:3" ht="15.75" customHeight="1" x14ac:dyDescent="0.25">
      <c r="B35" s="27" t="s">
        <v>59</v>
      </c>
      <c r="C35" s="48">
        <f>SUM(C26:C34)</f>
        <v>0.99999999900000003</v>
      </c>
    </row>
  </sheetData>
  <sheetProtection algorithmName="SHA-512" hashValue="ysgDagBd4miLnNc1JzNmrhBFlhVfVYkvuomLUcY3q/tzFQQi1StTVddCCCOQGKLwzhc5cM/hPAhyy/KWJ6aR9A==" saltValue="eULejI8ovycjlKTg02BHl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132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133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137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138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0.45566463765020654</v>
      </c>
      <c r="D15" s="52">
        <f t="shared" si="0"/>
        <v>0.45162762935847928</v>
      </c>
      <c r="E15" s="52">
        <f t="shared" si="0"/>
        <v>0.45162762935847928</v>
      </c>
      <c r="F15" s="52">
        <f t="shared" si="0"/>
        <v>0.31347914346228822</v>
      </c>
      <c r="G15" s="52">
        <f t="shared" si="0"/>
        <v>0.31347914346228822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rOfFiQnFq/cKgE3CKh+HuREkblEYT1lIHxsE3KoV/6UtG3ZbHAPSppanTuZ/1m2PmcCejd0uyCsx6KTLbodJQ==" saltValue="3omswKxUwGePfj1phgBL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</v>
      </c>
      <c r="D5" s="52">
        <f t="shared" si="0"/>
        <v>9.9999999999988987E-4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Mj4uRWLSey7KRxLDA/rANq9SvTVYS17JhqA8sLLJeu2/GAvSRVDs7XE7qS9BTm9MO5quU8xr2a7DapLe2FyYCw==" saltValue="OqE6w9qkAnGlJ0yYeRecM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X8Nwihov9gHnpbmPiAzGhYW4UwWWffT/ZDVMPEiKlIUQqR6UiJVmmJQBTgWol25FJfAez3TZUzGdedS+lZlzg==" saltValue="a1hnIu00G0yn8oY8VsAjb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643.79004231123895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0.38130999999999998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0.73868999999999996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1.4661369499999998E-2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95935.472460000005</v>
      </c>
      <c r="C22" s="107">
        <v>95585.087790000005</v>
      </c>
      <c r="D22" s="107">
        <v>95215.541410000005</v>
      </c>
      <c r="E22" s="107">
        <v>94528.811369999996</v>
      </c>
      <c r="F22" s="107">
        <v>93532.808940000003</v>
      </c>
      <c r="G22" s="107">
        <v>92327.932209999999</v>
      </c>
      <c r="H22" s="107">
        <v>90792.587190000006</v>
      </c>
      <c r="I22" s="107">
        <v>88637.59822</v>
      </c>
      <c r="J22" s="107">
        <v>85524.114249999999</v>
      </c>
      <c r="K22" s="107">
        <v>81231.095660000006</v>
      </c>
      <c r="L22" s="107">
        <v>75422.882159999994</v>
      </c>
      <c r="M22" s="107">
        <v>67838.960309999995</v>
      </c>
      <c r="N22" s="107">
        <v>58239.989220000003</v>
      </c>
      <c r="O22" s="107">
        <v>47098.437530000003</v>
      </c>
    </row>
  </sheetData>
  <sheetProtection algorithmName="SHA-512" hashValue="Bh0HRnIx+hUCpoikJncIKcbzUdxlbXehP4X8EkQAcbJcHuIAlHNJh/6oyjkQr5jXGQeDxN2QnUdzZah3F7lnKQ==" saltValue="XtLN9xeEcmrlxRp4wKrtu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6waNh8H3Vhje41HkIcXZbDpenHSBMaBh4i/gCuzZzFKLeHyMANFiPoDzTtRA5juC5vQdWfUZc5f4SAHQUdlmNg==" saltValue="7h1r4tO5H1SVNi6oqs1pi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ldwXWQ8341csQ0N+oZefSN/+q5JcOJoFcpIO4EO34yT8yowU9zFOYSs7CgXps6D3/riZZyfJgmWvzZ0Ps7g8Wg==" saltValue="1MF9q5xnga13pieETvbrA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15.05101211717766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15.05101211717766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15.05101211717766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15.05101211717766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15.05101211717766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0.14499999999999999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0.373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0.25800000000000001</v>
      </c>
      <c r="C19" s="96">
        <v>0.95</v>
      </c>
      <c r="D19" s="56">
        <v>7.29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0.70900000000000007</v>
      </c>
      <c r="C23" s="96">
        <v>0.95</v>
      </c>
      <c r="D23" s="56">
        <v>4.9325180741630454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0.24025928639999999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0.434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0.42499999999999999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0.78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0.26800000000000002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0.51764500000000002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jOUQxxIeTx6w/8RtARy+Yw9OrdReL8aoQ5QquBfVg55DutUpnKOBjwL4XULLo/RT2tUabvDF+5JuDc9cFSVN0w==" saltValue="6ajHjrKmDkgKitnPj+7N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fUpqUisEZkz7EG3U/cs4Qf3eCnPWGZkPz2y7rgUrmruU86AN9peemd1u6agzyoDb6RwZIQYo3GaQF3JFcqEekw==" saltValue="uQcYpS84N2x6Sq+T7+c9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9wiVekIWl3JPdeOFTIIscR2dneoIfm2kJ3r+hTUbpb4D0dhIlYpfG5BQgqRjGjQNks6fvMA9xgePqVk1is4Bvg==" saltValue="Gh8k49Eo0wWGNnwPISbRc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1.8460000000000001</v>
      </c>
      <c r="C2" s="21">
        <f>'Données pop de l''année de ref'!C52</f>
        <v>1.8460000000000001</v>
      </c>
      <c r="D2" s="21">
        <f>'Données pop de l''année de ref'!C53</f>
        <v>5.3039999999999994</v>
      </c>
      <c r="E2" s="21">
        <f>'Données pop de l''année de ref'!C54</f>
        <v>5.8760000000000003</v>
      </c>
      <c r="F2" s="21">
        <f>'Données pop de l''année de ref'!C55</f>
        <v>2.8166666666666669</v>
      </c>
    </row>
    <row r="3" spans="1:6" ht="15.75" customHeight="1" x14ac:dyDescent="0.25">
      <c r="A3" s="3" t="s">
        <v>238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237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dYzzqfrqsaRjL9KJLOYjGrz/RKOb2i5uGUhIZCLwOqa4JjRulzo7RfZ4AL2xmp3QoicoxYFDsQPzzWbd5jo2yg==" saltValue="DnUUt6U/VgWpH+1yIVAzG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0.45200000000000001</v>
      </c>
      <c r="F2" s="60">
        <f>food_insecure</f>
        <v>0.45200000000000001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4.0276363636363638E-2</v>
      </c>
      <c r="D7" s="60">
        <f>diarrhoea_1_5mo*frac_diarrhea_severe</f>
        <v>4.0276363636363638E-2</v>
      </c>
      <c r="E7" s="60">
        <f>diarrhoea_6_11mo*frac_diarrhea_severe</f>
        <v>0.11572363636363636</v>
      </c>
      <c r="F7" s="60">
        <f>diarrhoea_12_23mo*frac_diarrhea_severe</f>
        <v>0.12820363636363638</v>
      </c>
      <c r="G7" s="60">
        <f>diarrhoea_24_59mo*frac_diarrhea_severe</f>
        <v>6.1454545454545463E-2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4.0276363636363638E-2</v>
      </c>
      <c r="D12" s="60">
        <f>diarrhoea_1_5mo*frac_diarrhea_severe</f>
        <v>4.0276363636363638E-2</v>
      </c>
      <c r="E12" s="60">
        <f>diarrhoea_6_11mo*frac_diarrhea_severe</f>
        <v>0.11572363636363636</v>
      </c>
      <c r="F12" s="60">
        <f>diarrhoea_12_23mo*frac_diarrhea_severe</f>
        <v>0.12820363636363638</v>
      </c>
      <c r="G12" s="60">
        <f>diarrhoea_24_59mo*frac_diarrhea_severe</f>
        <v>6.1454545454545463E-2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0.45200000000000001</v>
      </c>
      <c r="I15" s="60">
        <f t="shared" si="0"/>
        <v>0.45200000000000001</v>
      </c>
      <c r="J15" s="60">
        <f t="shared" si="0"/>
        <v>0.45200000000000001</v>
      </c>
      <c r="K15" s="60">
        <f t="shared" si="0"/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0.45200000000000001</v>
      </c>
      <c r="I16" s="60">
        <f t="shared" si="0"/>
        <v>0.45200000000000001</v>
      </c>
      <c r="J16" s="60">
        <f t="shared" si="0"/>
        <v>0.45200000000000001</v>
      </c>
      <c r="K16" s="60">
        <f t="shared" si="0"/>
        <v>0.45200000000000001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0.41799999999999998</v>
      </c>
      <c r="M24" s="60">
        <f>famplan_unmet_need</f>
        <v>0.41799999999999998</v>
      </c>
      <c r="N24" s="60">
        <f>famplan_unmet_need</f>
        <v>0.41799999999999998</v>
      </c>
      <c r="O24" s="60">
        <f>famplan_unmet_need</f>
        <v>0.41799999999999998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0.34945021790000008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0.14976437910000001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9.8217903000000023E-2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0.40256750000000008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0.16</v>
      </c>
      <c r="D34" s="60">
        <f t="shared" si="4"/>
        <v>0.16</v>
      </c>
      <c r="E34" s="60">
        <f t="shared" si="4"/>
        <v>0.16</v>
      </c>
      <c r="F34" s="60">
        <f t="shared" si="4"/>
        <v>0.16</v>
      </c>
      <c r="G34" s="60">
        <f t="shared" si="4"/>
        <v>0.16</v>
      </c>
      <c r="H34" s="60">
        <f t="shared" si="4"/>
        <v>0.16</v>
      </c>
      <c r="I34" s="60">
        <f t="shared" si="4"/>
        <v>0.16</v>
      </c>
      <c r="J34" s="60">
        <f t="shared" si="4"/>
        <v>0.16</v>
      </c>
      <c r="K34" s="60">
        <f t="shared" si="4"/>
        <v>0.16</v>
      </c>
      <c r="L34" s="60">
        <f t="shared" si="4"/>
        <v>0.16</v>
      </c>
      <c r="M34" s="60">
        <f t="shared" si="4"/>
        <v>0.16</v>
      </c>
      <c r="N34" s="60">
        <f t="shared" si="4"/>
        <v>0.16</v>
      </c>
      <c r="O34" s="60">
        <f t="shared" si="4"/>
        <v>0.16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/amiTycVWZiAoy04R6II47zB0Kq0gx66MGsMMQPn1FvvF6bRyH5U4+MbY6XXgTolGHv0Zqcjb5UCWbtgC9Ixw==" saltValue="E29n8rWrOCvQY/22IXsLj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wO/ePxXyMJI6th/uXr7+O2QVdcdFyhFJjXaL+Ch3FvmQwMvV1RCwXZlv2V6zv7vbYwdAE83JcckLJlvOoWTwYQ==" saltValue="EncwZu2tP3sWNlIvLC5wh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/lkA7DLTcw5k7si8thdhmRrMOqCwkY9UDMKDZh/uB/rtes9rQSd3WMymtyFLC08VPRZ897xrcRSTldu7SopsA==" saltValue="y+f4dGC5JDiOmobRhC3M6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ZvV3Ex0n1ql1uQ73SzCeUwU7Z2VHajb6vFYtgvFHHLIZ+jGOhxj4ha/uyPjMivVUVef5cxzID/5RcOtYQpFqA==" saltValue="Ghy1gGk0lDRdD04NcacZq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gC9IouFhlXUttGUvfA8a+/uJFWCnF9jvYcEgUmR5mwzp5MBkZ1+C0VGSNGp3k/nxeFonUyw2Q79DrMYlyDlXgw==" saltValue="2uqA0gJn72E5RRSLJzt7J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7/2YvuyXleAkwgS0kQ2nv3DV2H+OxNzxAe1DARto/BN4zsDxn1xPATXVaEWpVC9S+EuUyJNI5eS2BNioehZY9g==" saltValue="w7V6K1WZOd8FmhfE1/agX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qkhWloIusaQ0mU2QhzjVjBlJwWTnUBuWcxvvLlhxPZ010sQnftBmEO3fPs5AWd+o0f+WdQkRx0B3RcikSvRhA==" saltValue="ccaoIvJFmF44FShGrrrQu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lTJXXc0sScHAs5nINFdX6yxc6DmPH1xdFbwE3vd76pX+3E/7djr/AGhJMwEko7ws/t938mGbdZ52KGpcTVoJMg==" saltValue="LHLLruRiUHg2/gXkNRvW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ovywPyA+8NyZ+JeehcBOwMClzk7b9MCgL8MQFkiDWAXZ3+f/hJdS0H6aRww35iuuelA8tzy30fX1mcxGfxH75A==" saltValue="k1fW4L0FXkaHfS/YKRAL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dzF4nr3oeuPX2yDYM9XhpyvNVUo7OQ4WD+kt3FIYBNqFWW9MUS5B0veYAKNB1GCYN1uatk4Yjm7/FAfPlpAvg==" saltValue="opW5spKMGCWIeaQplNJP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R76IHNQ2TS/DEOZbwrjPGIy7fIExt+TftG2OPgN5g/n6nOXZSzSxZBuVA3TGIZjPK+BaiWfi1N1dWy5LMBXog==" saltValue="wnQa5EyHp31EMycSgHcG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LZfHjl7JPoriY+hIIaM/aAIltN1I/DvGwu9wjrCy3il/zYN4J6O2vNBMCMkMkbCRm24TF3j+HmsKCsCTJCIIA==" saltValue="esl5SAgBKT+eknuDIO2S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8XxW2BIdfWajjIG5lKX/CDazbtwuNcwGircgBy0iu8ks/7PAz8VtD5iwaO1eIk0s8VeXDcs2qOZP6prOgVoPA==" saltValue="Eis2NG+uuQ/NhXhzJuqKw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tHXevWgcJhxfgP7GxnZz7jvmwNjsAEKS83oEC8apeMsfH5WUGABYvPNuN8LjksHWIdWDtDg/PxfpwIkRiqP4qw==" saltValue="2V3QZtXOdWUDezEAIfx9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otUY1sCbIA4TQhxAnnvlxHcXWmSs7H6JQ7I9l2oWJknLtpymu8rRxC+mwlmyz25H7UgvE3lSh1nxEuqppuH4Jg==" saltValue="jBX7xwSMlASoymz1BqC04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2026-04-29T05:29:08Z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