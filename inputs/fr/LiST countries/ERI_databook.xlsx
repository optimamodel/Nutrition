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fr\LiST countries\"/>
    </mc:Choice>
  </mc:AlternateContent>
  <xr:revisionPtr revIDLastSave="0" documentId="8_{2785BCD8-B204-4C30-B411-CAC4565A9613}" xr6:coauthVersionLast="47" xr6:coauthVersionMax="47" xr10:uidLastSave="{00000000-0000-0000-0000-000000000000}"/>
  <bookViews>
    <workbookView xWindow="20" yWindow="620" windowWidth="19180" windowHeight="1018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Perte économique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isques des rés. des naissances" sheetId="21" state="hidden" r:id="rId21"/>
    <sheet name="Risques relatifs" sheetId="22" state="hidden" r:id="rId22"/>
    <sheet name="Rapports des cotes" sheetId="23" state="hidden" r:id="rId23"/>
    <sheet name="Programmes-rés. des naissances" sheetId="24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G25" i="28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E112" i="27"/>
  <c r="D112" i="27"/>
  <c r="H97" i="27"/>
  <c r="H152" i="27" s="1"/>
  <c r="G97" i="27"/>
  <c r="G152" i="27" s="1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G112" i="27" s="1"/>
  <c r="F57" i="27"/>
  <c r="F112" i="27" s="1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F120" i="20" s="1"/>
  <c r="E67" i="20"/>
  <c r="E120" i="20" s="1"/>
  <c r="D67" i="20"/>
  <c r="D120" i="20" s="1"/>
  <c r="H66" i="20"/>
  <c r="G66" i="20"/>
  <c r="G119" i="20" s="1"/>
  <c r="F66" i="20"/>
  <c r="F119" i="20" s="1"/>
  <c r="E66" i="20"/>
  <c r="E119" i="20" s="1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G117" i="20" s="1"/>
  <c r="E64" i="20"/>
  <c r="E117" i="20" s="1"/>
  <c r="D64" i="20"/>
  <c r="D117" i="20" s="1"/>
  <c r="H63" i="20"/>
  <c r="G63" i="20"/>
  <c r="G116" i="20" s="1"/>
  <c r="F63" i="20"/>
  <c r="F116" i="20" s="1"/>
  <c r="E63" i="20"/>
  <c r="E116" i="20" s="1"/>
  <c r="D63" i="20"/>
  <c r="D116" i="20" s="1"/>
  <c r="H62" i="20"/>
  <c r="G62" i="20"/>
  <c r="G115" i="20" s="1"/>
  <c r="F62" i="20"/>
  <c r="F115" i="20" s="1"/>
  <c r="D62" i="20"/>
  <c r="D115" i="20" s="1"/>
  <c r="H61" i="20"/>
  <c r="G61" i="20"/>
  <c r="G114" i="20" s="1"/>
  <c r="F61" i="20"/>
  <c r="F114" i="20" s="1"/>
  <c r="D61" i="20"/>
  <c r="D114" i="20" s="1"/>
  <c r="H60" i="20"/>
  <c r="G60" i="20"/>
  <c r="G113" i="20" s="1"/>
  <c r="F60" i="20"/>
  <c r="F113" i="20" s="1"/>
  <c r="E60" i="20"/>
  <c r="E113" i="20" s="1"/>
  <c r="D60" i="20"/>
  <c r="D113" i="20" s="1"/>
  <c r="H59" i="20"/>
  <c r="G59" i="20"/>
  <c r="G112" i="20" s="1"/>
  <c r="F59" i="20"/>
  <c r="F112" i="20" s="1"/>
  <c r="E59" i="20"/>
  <c r="E112" i="20" s="1"/>
  <c r="H58" i="20"/>
  <c r="G58" i="20"/>
  <c r="G111" i="20" s="1"/>
  <c r="F58" i="20"/>
  <c r="F111" i="20" s="1"/>
  <c r="E58" i="20"/>
  <c r="E111" i="20" s="1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I40" i="2" s="1"/>
  <c r="G40" i="2"/>
  <c r="H39" i="2"/>
  <c r="I39" i="2" s="1"/>
  <c r="G39" i="2"/>
  <c r="A39" i="2"/>
  <c r="I38" i="2"/>
  <c r="H38" i="2"/>
  <c r="G38" i="2"/>
  <c r="A37" i="2"/>
  <c r="A36" i="2"/>
  <c r="A34" i="2"/>
  <c r="A33" i="2"/>
  <c r="A31" i="2"/>
  <c r="A29" i="2"/>
  <c r="A26" i="2"/>
  <c r="A25" i="2"/>
  <c r="A23" i="2"/>
  <c r="A21" i="2"/>
  <c r="A20" i="2"/>
  <c r="A18" i="2"/>
  <c r="A17" i="2"/>
  <c r="H13" i="2"/>
  <c r="I13" i="2" s="1"/>
  <c r="G13" i="2"/>
  <c r="H12" i="2"/>
  <c r="I12" i="2" s="1"/>
  <c r="G12" i="2"/>
  <c r="H11" i="2"/>
  <c r="I11" i="2" s="1"/>
  <c r="G11" i="2"/>
  <c r="H10" i="2"/>
  <c r="I10" i="2" s="1"/>
  <c r="G10" i="2"/>
  <c r="H9" i="2"/>
  <c r="I9" i="2" s="1"/>
  <c r="G9" i="2"/>
  <c r="H8" i="2"/>
  <c r="I8" i="2" s="1"/>
  <c r="G8" i="2"/>
  <c r="H7" i="2"/>
  <c r="I7" i="2" s="1"/>
  <c r="G7" i="2"/>
  <c r="H6" i="2"/>
  <c r="I6" i="2" s="1"/>
  <c r="G6" i="2"/>
  <c r="H5" i="2"/>
  <c r="I5" i="2" s="1"/>
  <c r="G5" i="2"/>
  <c r="I4" i="2"/>
  <c r="H4" i="2"/>
  <c r="G4" i="2"/>
  <c r="H3" i="2"/>
  <c r="I3" i="2" s="1"/>
  <c r="G3" i="2"/>
  <c r="A3" i="2"/>
  <c r="H2" i="2"/>
  <c r="I2" i="2" s="1"/>
  <c r="G2" i="2"/>
  <c r="A2" i="2"/>
  <c r="A40" i="2" s="1"/>
  <c r="C33" i="1"/>
  <c r="C20" i="1"/>
  <c r="A15" i="2" l="1"/>
  <c r="A28" i="2"/>
  <c r="A16" i="2"/>
  <c r="A24" i="2"/>
  <c r="A32" i="2"/>
  <c r="A19" i="2"/>
  <c r="A27" i="2"/>
  <c r="A35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/>
  <c r="A22" i="2"/>
  <c r="A30" i="2"/>
  <c r="A3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0" shapeId="0" xr:uid="{00000000-0006-0000-1600-00000B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5" authorId="0" shapeId="0" xr:uid="{00000000-0006-0000-1600-000016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A37" authorId="1" shapeId="0" xr:uid="{00000000-0006-0000-1600-000017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9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A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B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C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2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58" authorId="0" shapeId="0" xr:uid="{00000000-0006-0000-1600-000021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C61" authorId="0" shapeId="0" xr:uid="{00000000-0006-0000-1600-000022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3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4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5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8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9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A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B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4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5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6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7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27" authorId="0" shapeId="0" xr:uid="{00000000-0006-0000-1800-00004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5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5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5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5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7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7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E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F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70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50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8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8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8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9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A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A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B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D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E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A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A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A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8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9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A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B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C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1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6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4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9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4E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4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7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D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7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71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5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9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B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7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3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8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2" authorId="0" shapeId="0" xr:uid="{00000000-0006-0000-1B00-000001000000}">
      <text>
        <r>
          <rPr>
            <sz val="10"/>
            <color rgb="FF000000"/>
            <rFont val="Arial"/>
          </rPr>
          <t>Nick Scott:
Note: Ca supplementation impacts preterm birth, not curretly captured in the model Hofmeyr et al 2023, RR 0.76 (0.60-0.97), all women</t>
        </r>
      </text>
    </comment>
    <comment ref="D3" authorId="1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1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1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1" shapeId="0" xr:uid="{00000000-0006-0000-1B00-000005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1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1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1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1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1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1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1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1" shapeId="0" xr:uid="{00000000-0006-0000-1B00-00000D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1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1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1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1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1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1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1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1" shapeId="0" xr:uid="{00000000-0006-0000-1B00-000015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<sst xmlns="http://schemas.openxmlformats.org/spreadsheetml/2006/main" count="2101" uniqueCount="337">
  <si>
    <t>Field</t>
  </si>
  <si>
    <t>Causes</t>
  </si>
  <si>
    <t>Sepsis</t>
  </si>
  <si>
    <t>Population</t>
  </si>
  <si>
    <t>Type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</si>
  <si>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</si>
  <si>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</si>
  <si>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</si>
  <si>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</si>
  <si>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</si>
  <si>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</si>
  <si>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</si>
  <si>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</si>
  <si>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</si>
  <si>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</si>
  <si>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</si>
  <si>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</si>
  <si>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</si>
  <si>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</si>
  <si>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</si>
  <si>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</si>
  <si>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</si>
  <si>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</si>
  <si>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</si>
  <si>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</si>
  <si>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</si>
  <si>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</si>
  <si>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</si>
  <si>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</si>
  <si>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</si>
  <si>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</si>
  <si>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</si>
  <si>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</si>
  <si>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</si>
  <si>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</si>
  <si>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</si>
  <si>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</si>
  <si>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</si>
  <si>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</si>
  <si>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</si>
  <si>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</si>
  <si>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</si>
  <si>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</si>
  <si>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</si>
  <si>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</si>
  <si>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</si>
  <si>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</si>
  <si>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</si>
  <si>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</si>
  <si>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</si>
  <si>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</si>
  <si>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</si>
  <si>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</si>
  <si>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</si>
  <si>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</si>
  <si>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</si>
  <si>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</si>
  <si>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</si>
  <si>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</si>
  <si>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</si>
  <si>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</si>
  <si>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</si>
  <si>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</si>
  <si>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</si>
  <si>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</si>
  <si>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</si>
  <si>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</si>
  <si>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</si>
  <si>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</si>
  <si>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</si>
  <si>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</si>
  <si>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</si>
  <si>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</si>
  <si>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</si>
  <si>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</si>
  <si>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</si>
  <si>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</si>
  <si>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</si>
  <si>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</si>
  <si>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</si>
  <si>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</si>
  <si>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</si>
  <si>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</si>
  <si>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</si>
  <si>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</si>
  <si>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</si>
  <si>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</si>
  <si>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</si>
  <si>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</si>
  <si>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</si>
  <si>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</si>
  <si>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</si>
  <si>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</si>
  <si>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</si>
  <si>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</si>
  <si>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</si>
  <si>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</si>
  <si>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</si>
  <si>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</si>
  <si>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</si>
  <si>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</si>
  <si>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</si>
  <si>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</si>
  <si>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</si>
  <si>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</si>
  <si>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</si>
  <si>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</si>
  <si>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</si>
  <si>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</si>
  <si>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</si>
  <si>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</si>
  <si>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</si>
  <si>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</si>
  <si>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</si>
  <si>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</si>
  <si>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</si>
  <si>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</si>
  <si>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</si>
  <si>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</si>
  <si>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</si>
  <si>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</si>
  <si>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</si>
  <si>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</si>
  <si>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</si>
  <si>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</si>
  <si>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</si>
  <si>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</si>
  <si>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</si>
  <si>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</si>
  <si>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</si>
  <si>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</si>
  <si>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</si>
  <si>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</si>
  <si>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</si>
  <si>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</si>
  <si>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</si>
  <si>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</si>
  <si>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</si>
  <si>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</si>
  <si>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</si>
  <si>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</si>
  <si>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</si>
  <si>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</si>
  <si>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</si>
  <si>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Coût</t>
  </si>
  <si>
    <t>Épisode d'émaciation d'un enfant</t>
  </si>
  <si>
    <t>Décès d'enfant</t>
  </si>
  <si>
    <t>Décès maternel</t>
  </si>
  <si>
    <t>Enfant anémique (par an)</t>
  </si>
  <si>
    <t>Femme enceinte anémique (par grossesse)</t>
  </si>
  <si>
    <t>Enfant souffrant d'un retard de croissance qui aura 5 ans (au cours de sa vie)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</si>
  <si>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</si>
  <si>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</si>
  <si>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</si>
  <si>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</si>
  <si>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</si>
  <si>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</si>
  <si>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</si>
  <si>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</si>
  <si>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</si>
  <si>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</si>
  <si>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</si>
  <si>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</si>
  <si>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</si>
  <si>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</si>
  <si>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</si>
  <si>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</si>
  <si>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</si>
  <si>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</si>
  <si>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</si>
  <si>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</si>
  <si>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</si>
  <si>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</si>
  <si>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</si>
  <si>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</si>
  <si>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</si>
  <si>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</si>
  <si>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</si>
  <si>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</si>
  <si>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</si>
  <si>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</si>
  <si>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</si>
  <si>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</si>
  <si>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</si>
  <si>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</si>
  <si>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</si>
  <si>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</si>
  <si>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</si>
  <si>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</si>
  <si>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</si>
  <si>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</si>
  <si>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</si>
  <si>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</si>
  <si>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</si>
  <si>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</si>
  <si>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</si>
  <si>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</si>
  <si>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</si>
  <si>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</si>
  <si>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</si>
  <si>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</si>
  <si>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</si>
  <si>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</si>
  <si>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</si>
  <si>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</si>
  <si>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</si>
  <si>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</si>
  <si>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</si>
  <si>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</si>
  <si>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</si>
  <si>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</si>
  <si>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</si>
  <si>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</si>
  <si>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</si>
  <si>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</si>
  <si>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</si>
  <si>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</si>
  <si>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</si>
  <si>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</si>
  <si>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</si>
  <si>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</si>
  <si>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</si>
  <si>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</si>
  <si>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</si>
  <si>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</si>
  <si>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</si>
  <si>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</si>
  <si>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</si>
  <si>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</si>
  <si>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</si>
  <si>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</si>
  <si>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</si>
  <si>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</si>
  <si>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</si>
  <si>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</si>
  <si>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</si>
  <si>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</si>
  <si>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</si>
  <si>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</si>
  <si>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</si>
  <si>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</si>
  <si>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</si>
  <si>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</si>
  <si>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</si>
  <si>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</si>
  <si>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</si>
  <si>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</si>
  <si>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</si>
  <si>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</si>
  <si>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</si>
  <si>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</si>
  <si>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</si>
  <si>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</si>
  <si>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</si>
  <si>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</si>
  <si>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</si>
  <si>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</si>
  <si>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</si>
  <si>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</si>
  <si>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</si>
  <si>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</si>
  <si>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</si>
  <si>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</si>
  <si>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</si>
  <si>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</si>
  <si>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</si>
  <si>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</si>
  <si>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</si>
  <si>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</si>
  <si>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</si>
  <si>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</si>
  <si>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</si>
  <si>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</si>
  <si>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</si>
  <si>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</si>
  <si>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</si>
  <si>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</si>
  <si>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</si>
  <si>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</si>
  <si>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Émaciation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</si>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</sst>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13</v>
      </c>
      <c r="B1" s="29" t="s">
        <v>0</v>
      </c>
      <c r="C1" s="29" t="s">
        <v>66</v>
      </c>
    </row>
    <row r="2" spans="1:3" ht="15.9" customHeight="1" x14ac:dyDescent="0.3">
      <c r="A2" s="8" t="s">
        <v>14</v>
      </c>
      <c r="B2" s="29"/>
      <c r="C2" s="29"/>
    </row>
    <row r="3" spans="1:3" ht="15.9" customHeight="1" x14ac:dyDescent="0.3">
      <c r="A3" s="1"/>
      <c r="B3" s="5" t="s">
        <v>15</v>
      </c>
      <c r="C3" s="41">
        <v>2024</v>
      </c>
    </row>
    <row r="4" spans="1:3" ht="15.9" customHeight="1" x14ac:dyDescent="0.3">
      <c r="A4" s="1"/>
      <c r="B4" s="5" t="s">
        <v>16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17</v>
      </c>
    </row>
    <row r="7" spans="1:3" ht="15" customHeight="1" x14ac:dyDescent="0.25">
      <c r="B7" s="11" t="s">
        <v>18</v>
      </c>
      <c r="C7" s="43">
        <v>503774.5703125</v>
      </c>
    </row>
    <row r="8" spans="1:3" ht="15" customHeight="1" x14ac:dyDescent="0.25">
      <c r="B8" s="5" t="s">
        <v>19</v>
      </c>
      <c r="C8" s="44">
        <v>0.45200000000000001</v>
      </c>
    </row>
    <row r="9" spans="1:3" ht="15" customHeight="1" x14ac:dyDescent="0.25">
      <c r="B9" s="5" t="s">
        <v>20</v>
      </c>
      <c r="C9" s="45">
        <v>0.16</v>
      </c>
    </row>
    <row r="10" spans="1:3" ht="15" customHeight="1" x14ac:dyDescent="0.25">
      <c r="B10" s="5" t="s">
        <v>21</v>
      </c>
      <c r="C10" s="45">
        <v>0.30309999999999998</v>
      </c>
    </row>
    <row r="11" spans="1:3" ht="15" customHeight="1" x14ac:dyDescent="0.25">
      <c r="B11" s="5" t="s">
        <v>22</v>
      </c>
      <c r="C11" s="45">
        <v>1</v>
      </c>
    </row>
    <row r="12" spans="1:3" ht="15" customHeight="1" x14ac:dyDescent="0.25">
      <c r="B12" s="5" t="s">
        <v>23</v>
      </c>
      <c r="C12" s="45">
        <v>1</v>
      </c>
    </row>
    <row r="13" spans="1:3" ht="15" customHeight="1" x14ac:dyDescent="0.25">
      <c r="B13" s="5" t="s">
        <v>24</v>
      </c>
      <c r="C13" s="45">
        <v>0.41799999999999998</v>
      </c>
    </row>
    <row r="14" spans="1:3" ht="15" customHeight="1" x14ac:dyDescent="0.25">
      <c r="B14" s="8"/>
    </row>
    <row r="15" spans="1:3" ht="15" customHeight="1" x14ac:dyDescent="0.3">
      <c r="A15" s="8" t="s">
        <v>25</v>
      </c>
      <c r="B15" s="14"/>
      <c r="C15" s="3"/>
    </row>
    <row r="16" spans="1:3" ht="15" customHeight="1" x14ac:dyDescent="0.25">
      <c r="B16" s="5" t="s">
        <v>26</v>
      </c>
      <c r="C16" s="45">
        <v>0.1</v>
      </c>
    </row>
    <row r="17" spans="1:3" ht="15" customHeight="1" x14ac:dyDescent="0.25">
      <c r="B17" s="5" t="s">
        <v>27</v>
      </c>
      <c r="C17" s="45">
        <v>0.01</v>
      </c>
    </row>
    <row r="18" spans="1:3" ht="15" customHeight="1" x14ac:dyDescent="0.25">
      <c r="B18" s="5" t="s">
        <v>28</v>
      </c>
      <c r="C18" s="45">
        <v>0.98</v>
      </c>
    </row>
    <row r="19" spans="1:3" ht="15" customHeight="1" x14ac:dyDescent="0.25">
      <c r="B19" s="5" t="s">
        <v>29</v>
      </c>
      <c r="C19" s="45">
        <v>0.01</v>
      </c>
    </row>
    <row r="20" spans="1:3" ht="15" customHeight="1" x14ac:dyDescent="0.25">
      <c r="B20" s="5" t="s">
        <v>30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32</v>
      </c>
      <c r="C23" s="45">
        <v>8.4900000000000003E-2</v>
      </c>
    </row>
    <row r="24" spans="1:3" ht="15" customHeight="1" x14ac:dyDescent="0.25">
      <c r="B24" s="15" t="s">
        <v>33</v>
      </c>
      <c r="C24" s="45">
        <v>0.46400000000000002</v>
      </c>
    </row>
    <row r="25" spans="1:3" ht="15" customHeight="1" x14ac:dyDescent="0.25">
      <c r="B25" s="15" t="s">
        <v>34</v>
      </c>
      <c r="C25" s="45">
        <v>0.35129999999999989</v>
      </c>
    </row>
    <row r="26" spans="1:3" ht="15" customHeight="1" x14ac:dyDescent="0.25">
      <c r="B26" s="15" t="s">
        <v>35</v>
      </c>
      <c r="C26" s="45">
        <v>9.98E-2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36</v>
      </c>
      <c r="B28" s="15"/>
      <c r="C28" s="15"/>
    </row>
    <row r="29" spans="1:3" ht="14.25" customHeight="1" x14ac:dyDescent="0.25">
      <c r="B29" s="25" t="s">
        <v>37</v>
      </c>
      <c r="C29" s="45">
        <v>0.21829699999999999</v>
      </c>
    </row>
    <row r="30" spans="1:3" ht="14.25" customHeight="1" x14ac:dyDescent="0.25">
      <c r="B30" s="25" t="s">
        <v>38</v>
      </c>
      <c r="C30" s="99">
        <v>7.5314300000000001E-2</v>
      </c>
    </row>
    <row r="31" spans="1:3" ht="14.25" customHeight="1" x14ac:dyDescent="0.25">
      <c r="B31" s="25" t="s">
        <v>39</v>
      </c>
      <c r="C31" s="99">
        <v>0.11899999999999999</v>
      </c>
    </row>
    <row r="32" spans="1:3" ht="14.25" customHeight="1" x14ac:dyDescent="0.25">
      <c r="B32" s="25" t="s">
        <v>40</v>
      </c>
      <c r="C32" s="99">
        <v>0.58738869999999999</v>
      </c>
    </row>
    <row r="33" spans="1:5" ht="13" customHeight="1" x14ac:dyDescent="0.25">
      <c r="B33" s="27" t="s">
        <v>41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42</v>
      </c>
    </row>
    <row r="36" spans="1:5" ht="15" customHeight="1" x14ac:dyDescent="0.25">
      <c r="A36" s="8" t="s">
        <v>43</v>
      </c>
      <c r="B36" s="5"/>
    </row>
    <row r="37" spans="1:5" ht="15" customHeight="1" x14ac:dyDescent="0.25">
      <c r="B37" s="11" t="s">
        <v>44</v>
      </c>
      <c r="C37" s="43">
        <v>17.335930000000001</v>
      </c>
    </row>
    <row r="38" spans="1:5" ht="15" customHeight="1" x14ac:dyDescent="0.25">
      <c r="B38" s="11" t="s">
        <v>45</v>
      </c>
      <c r="C38" s="43">
        <v>28.94961</v>
      </c>
      <c r="D38" s="12"/>
      <c r="E38" s="13"/>
    </row>
    <row r="39" spans="1:5" ht="15" customHeight="1" x14ac:dyDescent="0.25">
      <c r="B39" s="11" t="s">
        <v>46</v>
      </c>
      <c r="C39" s="43">
        <v>38.091560000000001</v>
      </c>
      <c r="D39" s="12"/>
      <c r="E39" s="12"/>
    </row>
    <row r="40" spans="1:5" ht="15" customHeight="1" x14ac:dyDescent="0.25">
      <c r="B40" s="11" t="s">
        <v>47</v>
      </c>
      <c r="C40" s="100">
        <v>3.22</v>
      </c>
    </row>
    <row r="41" spans="1:5" ht="15" customHeight="1" x14ac:dyDescent="0.25">
      <c r="B41" s="11" t="s">
        <v>48</v>
      </c>
      <c r="C41" s="45">
        <v>0.12</v>
      </c>
    </row>
    <row r="42" spans="1:5" ht="15" customHeight="1" x14ac:dyDescent="0.25">
      <c r="B42" s="11" t="s">
        <v>49</v>
      </c>
      <c r="C42" s="43">
        <v>16.13758</v>
      </c>
    </row>
    <row r="43" spans="1:5" ht="15.75" customHeight="1" x14ac:dyDescent="0.25">
      <c r="D43" s="12"/>
    </row>
    <row r="44" spans="1:5" ht="15.75" customHeight="1" x14ac:dyDescent="0.25">
      <c r="A44" s="8" t="s">
        <v>50</v>
      </c>
      <c r="D44" s="12"/>
    </row>
    <row r="45" spans="1:5" ht="15.75" customHeight="1" x14ac:dyDescent="0.25">
      <c r="B45" s="11" t="s">
        <v>51</v>
      </c>
      <c r="C45" s="45">
        <v>7.9316999999999999E-3</v>
      </c>
      <c r="D45" s="12"/>
    </row>
    <row r="46" spans="1:5" ht="15.75" customHeight="1" x14ac:dyDescent="0.25">
      <c r="B46" s="11" t="s">
        <v>52</v>
      </c>
      <c r="C46" s="45">
        <v>8.5224899999999992E-2</v>
      </c>
      <c r="D46" s="12"/>
    </row>
    <row r="47" spans="1:5" ht="15.75" customHeight="1" x14ac:dyDescent="0.25">
      <c r="B47" s="11" t="s">
        <v>53</v>
      </c>
      <c r="C47" s="45">
        <v>7.3457800000000004E-2</v>
      </c>
      <c r="D47" s="12"/>
      <c r="E47" s="13"/>
    </row>
    <row r="48" spans="1:5" ht="15" customHeight="1" x14ac:dyDescent="0.25">
      <c r="B48" s="11" t="s">
        <v>54</v>
      </c>
      <c r="C48" s="46">
        <v>0.83338560000000006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55</v>
      </c>
      <c r="D50" s="12"/>
    </row>
    <row r="51" spans="1:4" ht="15.75" customHeight="1" x14ac:dyDescent="0.25">
      <c r="B51" s="11" t="s">
        <v>56</v>
      </c>
      <c r="C51" s="100">
        <v>3.3</v>
      </c>
      <c r="D51" s="12"/>
    </row>
    <row r="52" spans="1:4" ht="15" customHeight="1" x14ac:dyDescent="0.25">
      <c r="B52" s="11" t="s">
        <v>57</v>
      </c>
      <c r="C52" s="100">
        <v>3.3</v>
      </c>
    </row>
    <row r="53" spans="1:4" ht="15.75" customHeight="1" x14ac:dyDescent="0.25">
      <c r="B53" s="11" t="s">
        <v>58</v>
      </c>
      <c r="C53" s="100">
        <v>3.3</v>
      </c>
    </row>
    <row r="54" spans="1:4" ht="15.75" customHeight="1" x14ac:dyDescent="0.25">
      <c r="B54" s="11" t="s">
        <v>59</v>
      </c>
      <c r="C54" s="100">
        <v>3.3</v>
      </c>
    </row>
    <row r="55" spans="1:4" ht="15.75" customHeight="1" x14ac:dyDescent="0.25">
      <c r="B55" s="11" t="s">
        <v>60</v>
      </c>
      <c r="C55" s="100">
        <v>3.3</v>
      </c>
    </row>
    <row r="57" spans="1:4" ht="15.75" customHeight="1" x14ac:dyDescent="0.25">
      <c r="A57" s="8" t="s">
        <v>61</v>
      </c>
    </row>
    <row r="58" spans="1:4" ht="15.75" customHeight="1" x14ac:dyDescent="0.25">
      <c r="B58" s="5" t="s">
        <v>62</v>
      </c>
      <c r="C58" s="45">
        <v>2.181818181818182E-2</v>
      </c>
    </row>
    <row r="59" spans="1:4" ht="15.75" customHeight="1" x14ac:dyDescent="0.25">
      <c r="B59" s="11" t="s">
        <v>63</v>
      </c>
      <c r="C59" s="45">
        <v>0.50167899999999999</v>
      </c>
    </row>
    <row r="60" spans="1:4" ht="15.75" customHeight="1" x14ac:dyDescent="0.25">
      <c r="B60" s="11" t="s">
        <v>64</v>
      </c>
      <c r="C60" s="45">
        <v>4.5999999999999999E-2</v>
      </c>
    </row>
    <row r="61" spans="1:4" ht="15.75" customHeight="1" x14ac:dyDescent="0.25">
      <c r="B61" s="11" t="s">
        <v>65</v>
      </c>
      <c r="C61" s="45">
        <v>1.4E-2</v>
      </c>
    </row>
    <row r="62" spans="1:4" ht="15.75" customHeight="1" x14ac:dyDescent="0.25">
      <c r="B62" s="11" t="s">
        <v>67</v>
      </c>
      <c r="C62" s="44">
        <v>0.15160000000000001</v>
      </c>
    </row>
    <row r="63" spans="1:4" ht="15.75" customHeight="1" x14ac:dyDescent="0.3">
      <c r="A63" s="4"/>
    </row>
  </sheetData>
  <sheetProtection algorithmName="SHA-512" hashValue="kQ3HAvSpKH8/sK82OTcAhGWno10BDe/YQdyeak42v08lfwWCuKlhTGsYkKfrBGj+GSAkLoe6utDXjhZ4imbDzQ==" saltValue="kIhjUqlbg7VYMcKyNs3v2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76</v>
      </c>
      <c r="B1" s="20" t="s">
        <v>68</v>
      </c>
      <c r="C1" s="18" t="s">
        <v>69</v>
      </c>
      <c r="D1" s="18" t="s">
        <v>70</v>
      </c>
      <c r="E1" s="18" t="s">
        <v>71</v>
      </c>
      <c r="F1" s="18" t="s">
        <v>72</v>
      </c>
      <c r="G1" s="18" t="s">
        <v>73</v>
      </c>
      <c r="H1" s="18" t="s">
        <v>74</v>
      </c>
      <c r="I1" s="18" t="s">
        <v>75</v>
      </c>
    </row>
    <row r="2" spans="1:9" ht="15.75" customHeight="1" x14ac:dyDescent="0.25">
      <c r="A2" s="5">
        <f>start_year</f>
        <v>2024</v>
      </c>
      <c r="B2" s="49">
        <v>107286</v>
      </c>
      <c r="C2" s="49">
        <v>275962.5</v>
      </c>
      <c r="D2" s="49">
        <v>350286</v>
      </c>
      <c r="E2" s="49">
        <v>211773</v>
      </c>
      <c r="F2" s="49">
        <v>144809</v>
      </c>
      <c r="G2" s="17">
        <f t="shared" ref="G2:G13" si="0">C2+D2+E2+F2</f>
        <v>982830.5</v>
      </c>
      <c r="H2" s="17">
        <f t="shared" ref="H2:H13" si="1">(B2 + stillbirth*B2/(1000-stillbirth))/(1-abortion)</f>
        <v>123915.60711395918</v>
      </c>
      <c r="I2" s="17">
        <f t="shared" ref="I2:I13" si="2">G2-H2</f>
        <v>858914.89288604085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108679</v>
      </c>
      <c r="C3" s="50">
        <v>277892.5</v>
      </c>
      <c r="D3" s="50">
        <v>364123.49999999988</v>
      </c>
      <c r="E3" s="50">
        <v>218688</v>
      </c>
      <c r="F3" s="50">
        <v>147036.5</v>
      </c>
      <c r="G3" s="17">
        <f t="shared" si="0"/>
        <v>1007740.4999999999</v>
      </c>
      <c r="H3" s="17">
        <f t="shared" si="1"/>
        <v>125524.52571200315</v>
      </c>
      <c r="I3" s="17">
        <f t="shared" si="2"/>
        <v>882215.97428799677</v>
      </c>
    </row>
    <row r="4" spans="1:9" ht="15.75" customHeight="1" x14ac:dyDescent="0.25">
      <c r="A4" s="5">
        <f t="shared" si="3"/>
        <v>2026</v>
      </c>
      <c r="B4" s="49">
        <v>109897</v>
      </c>
      <c r="C4" s="50">
        <v>279236.99999999988</v>
      </c>
      <c r="D4" s="50">
        <v>376094</v>
      </c>
      <c r="E4" s="50">
        <v>228269</v>
      </c>
      <c r="F4" s="50">
        <v>149249.5</v>
      </c>
      <c r="G4" s="17">
        <f t="shared" si="0"/>
        <v>1032849.4999999999</v>
      </c>
      <c r="H4" s="17">
        <f t="shared" si="1"/>
        <v>126931.31885803155</v>
      </c>
      <c r="I4" s="17">
        <f t="shared" si="2"/>
        <v>905918.18114196835</v>
      </c>
    </row>
    <row r="5" spans="1:9" ht="15.75" customHeight="1" x14ac:dyDescent="0.25">
      <c r="A5" s="5">
        <f t="shared" si="3"/>
        <v>2027</v>
      </c>
      <c r="B5" s="49">
        <v>111776</v>
      </c>
      <c r="C5" s="50">
        <v>280189.5</v>
      </c>
      <c r="D5" s="50">
        <v>386187.5</v>
      </c>
      <c r="E5" s="50">
        <v>239987</v>
      </c>
      <c r="F5" s="50">
        <v>151529</v>
      </c>
      <c r="G5" s="17">
        <f t="shared" si="0"/>
        <v>1057893</v>
      </c>
      <c r="H5" s="17">
        <f t="shared" si="1"/>
        <v>129101.56871138733</v>
      </c>
      <c r="I5" s="17">
        <f t="shared" si="2"/>
        <v>928791.43128861266</v>
      </c>
    </row>
    <row r="6" spans="1:9" ht="15.75" customHeight="1" x14ac:dyDescent="0.25">
      <c r="A6" s="5">
        <f t="shared" si="3"/>
        <v>2028</v>
      </c>
      <c r="B6" s="49">
        <v>113415</v>
      </c>
      <c r="C6" s="50">
        <v>281051</v>
      </c>
      <c r="D6" s="50">
        <v>396432.5</v>
      </c>
      <c r="E6" s="50">
        <v>251416</v>
      </c>
      <c r="F6" s="50">
        <v>153967</v>
      </c>
      <c r="G6" s="17">
        <f t="shared" si="0"/>
        <v>1082866.5</v>
      </c>
      <c r="H6" s="17">
        <f t="shared" si="1"/>
        <v>130994.61794483603</v>
      </c>
      <c r="I6" s="17">
        <f t="shared" si="2"/>
        <v>951871.88205516397</v>
      </c>
    </row>
    <row r="7" spans="1:9" ht="15.75" customHeight="1" x14ac:dyDescent="0.25">
      <c r="A7" s="5">
        <f t="shared" si="3"/>
        <v>2029</v>
      </c>
      <c r="B7" s="49">
        <v>114328</v>
      </c>
      <c r="C7" s="50">
        <v>280942.5</v>
      </c>
      <c r="D7" s="50">
        <v>407210.00000000012</v>
      </c>
      <c r="E7" s="50">
        <v>262756.5</v>
      </c>
      <c r="F7" s="50">
        <v>156688.5</v>
      </c>
      <c r="G7" s="17">
        <f t="shared" si="0"/>
        <v>1107597.5</v>
      </c>
      <c r="H7" s="17">
        <f t="shared" si="1"/>
        <v>132049.13530306588</v>
      </c>
      <c r="I7" s="17">
        <f t="shared" si="2"/>
        <v>975548.36469693412</v>
      </c>
    </row>
    <row r="8" spans="1:9" ht="15.75" customHeight="1" x14ac:dyDescent="0.25">
      <c r="A8" s="5">
        <f t="shared" si="3"/>
        <v>2030</v>
      </c>
      <c r="B8" s="49">
        <v>115732</v>
      </c>
      <c r="C8" s="50">
        <v>279947.5</v>
      </c>
      <c r="D8" s="50">
        <v>417870</v>
      </c>
      <c r="E8" s="50">
        <v>274506.5</v>
      </c>
      <c r="F8" s="50">
        <v>159702</v>
      </c>
      <c r="G8" s="17">
        <f t="shared" si="0"/>
        <v>1132026</v>
      </c>
      <c r="H8" s="17">
        <f t="shared" si="1"/>
        <v>133670.75892952224</v>
      </c>
      <c r="I8" s="17">
        <f t="shared" si="2"/>
        <v>998355.24107047776</v>
      </c>
    </row>
    <row r="9" spans="1:9" ht="15.75" customHeight="1" x14ac:dyDescent="0.25">
      <c r="A9" s="5">
        <f t="shared" si="3"/>
        <v>2031</v>
      </c>
      <c r="B9" s="49">
        <v>116752</v>
      </c>
      <c r="C9" s="50">
        <v>278789.50000000012</v>
      </c>
      <c r="D9" s="50">
        <v>427743.5</v>
      </c>
      <c r="E9" s="50">
        <v>286855</v>
      </c>
      <c r="F9" s="50">
        <v>162924</v>
      </c>
      <c r="G9" s="17">
        <f t="shared" si="0"/>
        <v>1156312</v>
      </c>
      <c r="H9" s="17">
        <f t="shared" si="1"/>
        <v>134848.86156412729</v>
      </c>
      <c r="I9" s="17">
        <f t="shared" si="2"/>
        <v>1021463.1384358727</v>
      </c>
    </row>
    <row r="10" spans="1:9" ht="15.75" customHeight="1" x14ac:dyDescent="0.25">
      <c r="A10" s="5">
        <f t="shared" si="3"/>
        <v>2032</v>
      </c>
      <c r="B10" s="49">
        <v>117648</v>
      </c>
      <c r="C10" s="50">
        <v>277729</v>
      </c>
      <c r="D10" s="50">
        <v>436071</v>
      </c>
      <c r="E10" s="50">
        <v>300085.5</v>
      </c>
      <c r="F10" s="50">
        <v>166320.5</v>
      </c>
      <c r="G10" s="17">
        <f t="shared" si="0"/>
        <v>1180206</v>
      </c>
      <c r="H10" s="17">
        <f t="shared" si="1"/>
        <v>135883.74387844704</v>
      </c>
      <c r="I10" s="17">
        <f t="shared" si="2"/>
        <v>1044322.256121553</v>
      </c>
    </row>
    <row r="11" spans="1:9" ht="15.75" customHeight="1" x14ac:dyDescent="0.25">
      <c r="A11" s="5">
        <f t="shared" si="3"/>
        <v>2033</v>
      </c>
      <c r="B11" s="49">
        <v>118560</v>
      </c>
      <c r="C11" s="50">
        <v>277367.5</v>
      </c>
      <c r="D11" s="50">
        <v>442362</v>
      </c>
      <c r="E11" s="50">
        <v>314280.5</v>
      </c>
      <c r="F11" s="50">
        <v>170188.5</v>
      </c>
      <c r="G11" s="17">
        <f t="shared" si="0"/>
        <v>1204198.5</v>
      </c>
      <c r="H11" s="17">
        <f t="shared" si="1"/>
        <v>136937.10623409392</v>
      </c>
      <c r="I11" s="17">
        <f t="shared" si="2"/>
        <v>1067261.3937659061</v>
      </c>
    </row>
    <row r="12" spans="1:9" ht="15.75" customHeight="1" x14ac:dyDescent="0.25">
      <c r="A12" s="5">
        <f t="shared" si="3"/>
        <v>2034</v>
      </c>
      <c r="B12" s="49">
        <v>118811</v>
      </c>
      <c r="C12" s="50">
        <v>277695</v>
      </c>
      <c r="D12" s="50">
        <v>446557</v>
      </c>
      <c r="E12" s="50">
        <v>328919.5</v>
      </c>
      <c r="F12" s="50">
        <v>174679</v>
      </c>
      <c r="G12" s="17">
        <f t="shared" si="0"/>
        <v>1227850.5</v>
      </c>
      <c r="H12" s="17">
        <f t="shared" si="1"/>
        <v>137227.01188241341</v>
      </c>
      <c r="I12" s="17">
        <f t="shared" si="2"/>
        <v>1090623.4881175866</v>
      </c>
    </row>
    <row r="13" spans="1:9" ht="15.75" customHeight="1" x14ac:dyDescent="0.25">
      <c r="A13" s="5">
        <f t="shared" si="3"/>
        <v>2035</v>
      </c>
      <c r="B13" s="49">
        <v>119568</v>
      </c>
      <c r="C13" s="50">
        <v>279009</v>
      </c>
      <c r="D13" s="50">
        <v>448648.99999999988</v>
      </c>
      <c r="E13" s="50">
        <v>343753.5</v>
      </c>
      <c r="F13" s="50">
        <v>180478.5</v>
      </c>
      <c r="G13" s="17">
        <f t="shared" si="0"/>
        <v>1251890</v>
      </c>
      <c r="H13" s="17">
        <f t="shared" si="1"/>
        <v>138101.34883770361</v>
      </c>
      <c r="I13" s="17">
        <f t="shared" si="2"/>
        <v>1113788.6511622963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mTQJM+fD7DTzI/oGNgV/d7H8GZXMLPO9FBmZajHQqky8J0y/zoG1ULpjLK12FHYV4Agap99aGWUXZaHNkZBMAg==" saltValue="fbImGAN4leZUUoprIH4Xvw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77</v>
      </c>
      <c r="B2" s="29" t="s">
        <v>1</v>
      </c>
      <c r="C2" s="29" t="s">
        <v>109</v>
      </c>
      <c r="D2" s="29"/>
      <c r="E2" s="29"/>
      <c r="F2" s="29"/>
      <c r="G2" s="29"/>
    </row>
    <row r="3" spans="1:8" ht="15.75" customHeight="1" x14ac:dyDescent="0.25">
      <c r="B3" s="19" t="s">
        <v>78</v>
      </c>
      <c r="C3" s="55">
        <v>9.54159904584009E-3</v>
      </c>
    </row>
    <row r="4" spans="1:8" ht="15.75" customHeight="1" x14ac:dyDescent="0.25">
      <c r="B4" s="19" t="s">
        <v>79</v>
      </c>
      <c r="C4" s="101">
        <v>6.4930893506910725E-2</v>
      </c>
    </row>
    <row r="5" spans="1:8" ht="15.75" customHeight="1" x14ac:dyDescent="0.25">
      <c r="B5" s="19" t="s">
        <v>80</v>
      </c>
      <c r="C5" s="101">
        <v>8.333079166692095E-2</v>
      </c>
    </row>
    <row r="6" spans="1:8" ht="15.75" customHeight="1" x14ac:dyDescent="0.25">
      <c r="B6" s="19" t="s">
        <v>81</v>
      </c>
      <c r="C6" s="101">
        <v>0.24122667587733301</v>
      </c>
    </row>
    <row r="7" spans="1:8" ht="15.75" customHeight="1" x14ac:dyDescent="0.25">
      <c r="B7" s="19" t="s">
        <v>82</v>
      </c>
      <c r="C7" s="101">
        <v>0.41004985899501339</v>
      </c>
    </row>
    <row r="8" spans="1:8" ht="15.75" customHeight="1" x14ac:dyDescent="0.25">
      <c r="B8" s="19" t="s">
        <v>83</v>
      </c>
      <c r="C8" s="101">
        <v>1.193399880660011E-3</v>
      </c>
    </row>
    <row r="9" spans="1:8" ht="15.75" customHeight="1" x14ac:dyDescent="0.25">
      <c r="B9" s="19" t="s">
        <v>84</v>
      </c>
      <c r="C9" s="101">
        <v>8.1527291847270894E-2</v>
      </c>
    </row>
    <row r="10" spans="1:8" ht="15.75" customHeight="1" x14ac:dyDescent="0.25">
      <c r="B10" s="19" t="s">
        <v>85</v>
      </c>
      <c r="C10" s="101">
        <v>0.108199489180051</v>
      </c>
    </row>
    <row r="11" spans="1:8" ht="15.75" customHeight="1" x14ac:dyDescent="0.25">
      <c r="B11" s="27" t="s">
        <v>41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86</v>
      </c>
      <c r="B13" s="29" t="s">
        <v>1</v>
      </c>
      <c r="C13" s="102" t="s">
        <v>96</v>
      </c>
      <c r="D13" s="102" t="s">
        <v>97</v>
      </c>
      <c r="E13" s="102" t="s">
        <v>98</v>
      </c>
      <c r="F13" s="102" t="s">
        <v>99</v>
      </c>
      <c r="G13" s="19"/>
    </row>
    <row r="14" spans="1:8" ht="15.75" customHeight="1" x14ac:dyDescent="0.25">
      <c r="B14" s="19" t="s">
        <v>87</v>
      </c>
      <c r="C14" s="55">
        <v>0.17628801217640019</v>
      </c>
      <c r="D14" s="55">
        <v>0.17628801217640019</v>
      </c>
      <c r="E14" s="55">
        <v>0.17628801217640019</v>
      </c>
      <c r="F14" s="55">
        <v>0.17628801217640019</v>
      </c>
    </row>
    <row r="15" spans="1:8" ht="15.75" customHeight="1" x14ac:dyDescent="0.25">
      <c r="B15" s="19" t="s">
        <v>88</v>
      </c>
      <c r="C15" s="101">
        <v>0.24104474898363951</v>
      </c>
      <c r="D15" s="101">
        <v>0.24104474898363951</v>
      </c>
      <c r="E15" s="101">
        <v>0.24104474898363951</v>
      </c>
      <c r="F15" s="101">
        <v>0.24104474898363951</v>
      </c>
    </row>
    <row r="16" spans="1:8" ht="15.75" customHeight="1" x14ac:dyDescent="0.25">
      <c r="B16" s="19" t="s">
        <v>89</v>
      </c>
      <c r="C16" s="101">
        <v>2.6390130677189091E-2</v>
      </c>
      <c r="D16" s="101">
        <v>2.6390130677189091E-2</v>
      </c>
      <c r="E16" s="101">
        <v>2.6390130677189091E-2</v>
      </c>
      <c r="F16" s="101">
        <v>2.6390130677189091E-2</v>
      </c>
    </row>
    <row r="17" spans="1:8" ht="15.75" customHeight="1" x14ac:dyDescent="0.25">
      <c r="B17" s="19" t="s">
        <v>90</v>
      </c>
      <c r="C17" s="101">
        <v>6.6708176145966061E-3</v>
      </c>
      <c r="D17" s="101">
        <v>6.6708176145966061E-3</v>
      </c>
      <c r="E17" s="101">
        <v>6.6708176145966061E-3</v>
      </c>
      <c r="F17" s="101">
        <v>6.6708176145966061E-3</v>
      </c>
    </row>
    <row r="18" spans="1:8" ht="15.75" customHeight="1" x14ac:dyDescent="0.25">
      <c r="B18" s="19" t="s">
        <v>91</v>
      </c>
      <c r="C18" s="101">
        <v>8.4191652621648683E-2</v>
      </c>
      <c r="D18" s="101">
        <v>8.4191652621648683E-2</v>
      </c>
      <c r="E18" s="101">
        <v>8.4191652621648683E-2</v>
      </c>
      <c r="F18" s="101">
        <v>8.4191652621648683E-2</v>
      </c>
    </row>
    <row r="19" spans="1:8" ht="15.75" customHeight="1" x14ac:dyDescent="0.25">
      <c r="B19" s="19" t="s">
        <v>92</v>
      </c>
      <c r="C19" s="101">
        <v>6.8330843258333274E-2</v>
      </c>
      <c r="D19" s="101">
        <v>6.8330843258333274E-2</v>
      </c>
      <c r="E19" s="101">
        <v>6.8330843258333274E-2</v>
      </c>
      <c r="F19" s="101">
        <v>6.8330843258333274E-2</v>
      </c>
    </row>
    <row r="20" spans="1:8" ht="15.75" customHeight="1" x14ac:dyDescent="0.25">
      <c r="B20" s="19" t="s">
        <v>93</v>
      </c>
      <c r="C20" s="101">
        <v>1.250400620514191E-2</v>
      </c>
      <c r="D20" s="101">
        <v>1.250400620514191E-2</v>
      </c>
      <c r="E20" s="101">
        <v>1.250400620514191E-2</v>
      </c>
      <c r="F20" s="101">
        <v>1.250400620514191E-2</v>
      </c>
    </row>
    <row r="21" spans="1:8" ht="15.75" customHeight="1" x14ac:dyDescent="0.25">
      <c r="B21" s="19" t="s">
        <v>94</v>
      </c>
      <c r="C21" s="101">
        <v>0.1655459558925296</v>
      </c>
      <c r="D21" s="101">
        <v>0.1655459558925296</v>
      </c>
      <c r="E21" s="101">
        <v>0.1655459558925296</v>
      </c>
      <c r="F21" s="101">
        <v>0.1655459558925296</v>
      </c>
    </row>
    <row r="22" spans="1:8" ht="15.75" customHeight="1" x14ac:dyDescent="0.25">
      <c r="B22" s="19" t="s">
        <v>95</v>
      </c>
      <c r="C22" s="101">
        <v>0.21903383257052109</v>
      </c>
      <c r="D22" s="101">
        <v>0.21903383257052109</v>
      </c>
      <c r="E22" s="101">
        <v>0.21903383257052109</v>
      </c>
      <c r="F22" s="101">
        <v>0.21903383257052109</v>
      </c>
    </row>
    <row r="23" spans="1:8" ht="15.75" customHeight="1" x14ac:dyDescent="0.25">
      <c r="B23" s="27" t="s">
        <v>41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100</v>
      </c>
      <c r="B25" s="29" t="s">
        <v>1</v>
      </c>
      <c r="C25" s="29" t="s">
        <v>100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101</v>
      </c>
      <c r="C26" s="55">
        <v>8.7620265000000017E-2</v>
      </c>
    </row>
    <row r="27" spans="1:8" ht="15.75" customHeight="1" x14ac:dyDescent="0.25">
      <c r="B27" s="19" t="s">
        <v>102</v>
      </c>
      <c r="C27" s="101">
        <v>8.4936790000000005E-3</v>
      </c>
    </row>
    <row r="28" spans="1:8" ht="15.75" customHeight="1" x14ac:dyDescent="0.25">
      <c r="B28" s="19" t="s">
        <v>103</v>
      </c>
      <c r="C28" s="101">
        <v>0.15420750799999999</v>
      </c>
    </row>
    <row r="29" spans="1:8" ht="15.75" customHeight="1" x14ac:dyDescent="0.25">
      <c r="B29" s="19" t="s">
        <v>104</v>
      </c>
      <c r="C29" s="101">
        <v>0.168404365</v>
      </c>
    </row>
    <row r="30" spans="1:8" ht="15.75" customHeight="1" x14ac:dyDescent="0.25">
      <c r="B30" s="19" t="s">
        <v>2</v>
      </c>
      <c r="C30" s="101">
        <v>0.105568509</v>
      </c>
    </row>
    <row r="31" spans="1:8" ht="15.75" customHeight="1" x14ac:dyDescent="0.25">
      <c r="B31" s="19" t="s">
        <v>105</v>
      </c>
      <c r="C31" s="101">
        <v>0.10981025899999999</v>
      </c>
    </row>
    <row r="32" spans="1:8" ht="15.75" customHeight="1" x14ac:dyDescent="0.25">
      <c r="B32" s="19" t="s">
        <v>106</v>
      </c>
      <c r="C32" s="101">
        <v>1.8832593000000002E-2</v>
      </c>
    </row>
    <row r="33" spans="2:3" ht="15.75" customHeight="1" x14ac:dyDescent="0.25">
      <c r="B33" s="19" t="s">
        <v>107</v>
      </c>
      <c r="C33" s="101">
        <v>8.4520607999999997E-2</v>
      </c>
    </row>
    <row r="34" spans="2:3" ht="15.75" customHeight="1" x14ac:dyDescent="0.25">
      <c r="B34" s="19" t="s">
        <v>108</v>
      </c>
      <c r="C34" s="101">
        <v>0.26254221300000002</v>
      </c>
    </row>
    <row r="35" spans="2:3" ht="15.75" customHeight="1" x14ac:dyDescent="0.25">
      <c r="B35" s="27" t="s">
        <v>41</v>
      </c>
      <c r="C35" s="48">
        <f>SUM(C26:C34)</f>
        <v>0.99999999900000003</v>
      </c>
    </row>
  </sheetData>
  <sheetProtection algorithmName="SHA-512" hashValue="lOmXhqrQqIUusJXMsiitb8rNI5UV04QMOZZU2yTk0PobaheNlht5cZnZAsIwdVHqcSqonYjC7VAsW+44oyXuAw==" saltValue="NNSEdU7wIS5TI5t+fW4Eyw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110</v>
      </c>
      <c r="C1" s="11" t="s">
        <v>109</v>
      </c>
      <c r="D1" s="11" t="s">
        <v>96</v>
      </c>
      <c r="E1" s="11" t="s">
        <v>97</v>
      </c>
      <c r="F1" s="11" t="s">
        <v>98</v>
      </c>
      <c r="G1" s="11" t="s">
        <v>99</v>
      </c>
    </row>
    <row r="2" spans="1:15" ht="15.75" customHeight="1" x14ac:dyDescent="0.25">
      <c r="A2" s="3" t="s">
        <v>111</v>
      </c>
      <c r="B2" s="5" t="s">
        <v>112</v>
      </c>
      <c r="C2" s="52">
        <f>IFERROR(1-_xlfn.NORM.DIST(_xlfn.NORM.INV(SUM(C4:C5), 0, 1) + 1, 0, 1, TRUE), "")</f>
        <v>0.44451771354283154</v>
      </c>
      <c r="D2" s="52">
        <f>IFERROR(1-_xlfn.NORM.DIST(_xlfn.NORM.INV(SUM(D4:D5), 0, 1) + 1, 0, 1, TRUE), "")</f>
        <v>0.44451771354283154</v>
      </c>
      <c r="E2" s="52">
        <f>IFERROR(1-_xlfn.NORM.DIST(_xlfn.NORM.INV(SUM(E4:E5), 0, 1) + 1, 0, 1, TRUE), "")</f>
        <v>0.34864384608921117</v>
      </c>
      <c r="F2" s="52">
        <f>IFERROR(1-_xlfn.NORM.DIST(_xlfn.NORM.INV(SUM(F4:F5), 0, 1) + 1, 0, 1, TRUE), "")</f>
        <v>0.17995639145896147</v>
      </c>
      <c r="G2" s="52">
        <f>IFERROR(1-_xlfn.NORM.DIST(_xlfn.NORM.INV(SUM(G4:G5), 0, 1) + 1, 0, 1, TRUE), "")</f>
        <v>0.17038300794971728</v>
      </c>
    </row>
    <row r="3" spans="1:15" ht="15.75" customHeight="1" x14ac:dyDescent="0.25">
      <c r="B3" s="5" t="s">
        <v>113</v>
      </c>
      <c r="C3" s="52">
        <f>IFERROR(_xlfn.NORM.DIST(_xlfn.NORM.INV(SUM(C4:C5), 0, 1) + 1, 0, 1, TRUE) - SUM(C4:C5), "")</f>
        <v>0.36071870074288248</v>
      </c>
      <c r="D3" s="52">
        <f>IFERROR(_xlfn.NORM.DIST(_xlfn.NORM.INV(SUM(D4:D5), 0, 1) + 1, 0, 1, TRUE) - SUM(D4:D5), "")</f>
        <v>0.36071870074288248</v>
      </c>
      <c r="E3" s="52">
        <f>IFERROR(_xlfn.NORM.DIST(_xlfn.NORM.INV(SUM(E4:E5), 0, 1) + 1, 0, 1, TRUE) - SUM(E4:E5), "")</f>
        <v>0.38076153010126584</v>
      </c>
      <c r="F3" s="52">
        <f>IFERROR(_xlfn.NORM.DIST(_xlfn.NORM.INV(SUM(F4:F5), 0, 1) + 1, 0, 1, TRUE) - SUM(F4:F5), "")</f>
        <v>0.35370171806484851</v>
      </c>
      <c r="G3" s="52">
        <f>IFERROR(_xlfn.NORM.DIST(_xlfn.NORM.INV(SUM(G4:G5), 0, 1) + 1, 0, 1, TRUE) - SUM(G4:G5), "")</f>
        <v>0.34849873728837771</v>
      </c>
    </row>
    <row r="4" spans="1:15" ht="15.75" customHeight="1" x14ac:dyDescent="0.25">
      <c r="B4" s="5" t="s">
        <v>114</v>
      </c>
      <c r="C4" s="45">
        <v>0.113393635714286</v>
      </c>
      <c r="D4" s="53">
        <v>0.113393635714286</v>
      </c>
      <c r="E4" s="53">
        <v>0.16521329047618999</v>
      </c>
      <c r="F4" s="53">
        <v>0.25580331428571401</v>
      </c>
      <c r="G4" s="53">
        <v>0.26141645714285699</v>
      </c>
    </row>
    <row r="5" spans="1:15" ht="15.75" customHeight="1" x14ac:dyDescent="0.25">
      <c r="B5" s="5" t="s">
        <v>115</v>
      </c>
      <c r="C5" s="45">
        <v>8.136995000000001E-2</v>
      </c>
      <c r="D5" s="53">
        <v>8.136995000000001E-2</v>
      </c>
      <c r="E5" s="53">
        <v>0.10538133333333299</v>
      </c>
      <c r="F5" s="53">
        <v>0.210538576190476</v>
      </c>
      <c r="G5" s="53">
        <v>0.21970179761904801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116</v>
      </c>
      <c r="B8" s="5" t="s">
        <v>117</v>
      </c>
      <c r="C8" s="52">
        <f>IFERROR(1-_xlfn.NORM.DIST(_xlfn.NORM.INV(SUM(C10:C11), 0, 1) + 1, 0, 1, TRUE), "")</f>
        <v>0.6109569956403027</v>
      </c>
      <c r="D8" s="52">
        <f>IFERROR(1-_xlfn.NORM.DIST(_xlfn.NORM.INV(SUM(D10:D11), 0, 1) + 1, 0, 1, TRUE), "")</f>
        <v>0.6109569956403027</v>
      </c>
      <c r="E8" s="52">
        <f>IFERROR(1-_xlfn.NORM.DIST(_xlfn.NORM.INV(SUM(E10:E11), 0, 1) + 1, 0, 1, TRUE), "")</f>
        <v>0.58939751230095949</v>
      </c>
      <c r="F8" s="52">
        <f>IFERROR(1-_xlfn.NORM.DIST(_xlfn.NORM.INV(SUM(F10:F11), 0, 1) + 1, 0, 1, TRUE), "")</f>
        <v>0.63333615294728807</v>
      </c>
      <c r="G8" s="52">
        <f>IFERROR(1-_xlfn.NORM.DIST(_xlfn.NORM.INV(SUM(G10:G11), 0, 1) + 1, 0, 1, TRUE), "")</f>
        <v>0.73754048279180073</v>
      </c>
    </row>
    <row r="9" spans="1:15" ht="15.75" customHeight="1" x14ac:dyDescent="0.25">
      <c r="B9" s="5" t="s">
        <v>118</v>
      </c>
      <c r="C9" s="52">
        <f>IFERROR(_xlfn.NORM.DIST(_xlfn.NORM.INV(SUM(C10:C11), 0, 1) + 1, 0, 1, TRUE) - SUM(C10:C11), "")</f>
        <v>0.28908908240847775</v>
      </c>
      <c r="D9" s="52">
        <f>IFERROR(_xlfn.NORM.DIST(_xlfn.NORM.INV(SUM(D10:D11), 0, 1) + 1, 0, 1, TRUE) - SUM(D10:D11), "")</f>
        <v>0.28908908240847775</v>
      </c>
      <c r="E9" s="52">
        <f>IFERROR(_xlfn.NORM.DIST(_xlfn.NORM.INV(SUM(E10:E11), 0, 1) + 1, 0, 1, TRUE) - SUM(E10:E11), "")</f>
        <v>0.3005022901380649</v>
      </c>
      <c r="F9" s="52">
        <f>IFERROR(_xlfn.NORM.DIST(_xlfn.NORM.INV(SUM(F10:F11), 0, 1) + 1, 0, 1, TRUE) - SUM(F10:F11), "")</f>
        <v>0.2766552860771021</v>
      </c>
      <c r="G9" s="52">
        <f>IFERROR(_xlfn.NORM.DIST(_xlfn.NORM.INV(SUM(G10:G11), 0, 1) + 1, 0, 1, TRUE) - SUM(G10:G11), "")</f>
        <v>0.21151682452527237</v>
      </c>
    </row>
    <row r="10" spans="1:15" ht="15.75" customHeight="1" x14ac:dyDescent="0.25">
      <c r="B10" s="5" t="s">
        <v>119</v>
      </c>
      <c r="C10" s="45">
        <v>5.8169595121951197E-2</v>
      </c>
      <c r="D10" s="53">
        <v>5.8169595121951197E-2</v>
      </c>
      <c r="E10" s="53">
        <v>7.0832097560975596E-2</v>
      </c>
      <c r="F10" s="53">
        <v>5.9730256097561003E-2</v>
      </c>
      <c r="G10" s="53">
        <v>3.3807034146341501E-2</v>
      </c>
    </row>
    <row r="11" spans="1:15" ht="15.75" customHeight="1" x14ac:dyDescent="0.25">
      <c r="B11" s="5" t="s">
        <v>120</v>
      </c>
      <c r="C11" s="45">
        <v>4.1784326829268303E-2</v>
      </c>
      <c r="D11" s="53">
        <v>4.1784326829268303E-2</v>
      </c>
      <c r="E11" s="53">
        <v>3.92681E-2</v>
      </c>
      <c r="F11" s="53">
        <v>3.0278304878048799E-2</v>
      </c>
      <c r="G11" s="53">
        <v>1.7135658536585399E-2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121</v>
      </c>
      <c r="C13" s="11" t="s">
        <v>109</v>
      </c>
      <c r="D13" s="11" t="s">
        <v>96</v>
      </c>
      <c r="E13" s="11" t="s">
        <v>97</v>
      </c>
      <c r="F13" s="11" t="s">
        <v>98</v>
      </c>
      <c r="G13" s="11" t="s">
        <v>99</v>
      </c>
      <c r="H13" s="18" t="s">
        <v>122</v>
      </c>
      <c r="I13" s="18" t="s">
        <v>123</v>
      </c>
      <c r="J13" s="18" t="s">
        <v>124</v>
      </c>
      <c r="K13" s="18" t="s">
        <v>125</v>
      </c>
      <c r="L13" s="18" t="s">
        <v>69</v>
      </c>
      <c r="M13" s="18" t="s">
        <v>70</v>
      </c>
      <c r="N13" s="18" t="s">
        <v>71</v>
      </c>
      <c r="O13" s="18" t="s">
        <v>72</v>
      </c>
    </row>
    <row r="14" spans="1:15" ht="15.75" customHeight="1" x14ac:dyDescent="0.25">
      <c r="B14" s="11" t="s">
        <v>126</v>
      </c>
      <c r="C14" s="51">
        <v>0.90827927350000015</v>
      </c>
      <c r="D14" s="54">
        <v>0.900232278725</v>
      </c>
      <c r="E14" s="54">
        <v>0.900232278725</v>
      </c>
      <c r="F14" s="54">
        <v>0.62486000702099997</v>
      </c>
      <c r="G14" s="54">
        <v>0.62486000702099997</v>
      </c>
      <c r="H14" s="45">
        <v>0.40699999999999997</v>
      </c>
      <c r="I14" s="55">
        <v>0.40699999999999997</v>
      </c>
      <c r="J14" s="55">
        <v>0.40699999999999997</v>
      </c>
      <c r="K14" s="55">
        <v>0.40699999999999997</v>
      </c>
      <c r="L14" s="45">
        <v>0.37799999999999989</v>
      </c>
      <c r="M14" s="55">
        <v>0.37799999999999989</v>
      </c>
      <c r="N14" s="55">
        <v>0.37799999999999989</v>
      </c>
      <c r="O14" s="55">
        <v>0.37799999999999989</v>
      </c>
    </row>
    <row r="15" spans="1:15" ht="15.75" customHeight="1" x14ac:dyDescent="0.25">
      <c r="B15" s="11" t="s">
        <v>127</v>
      </c>
      <c r="C15" s="52">
        <f t="shared" ref="C15:O15" si="0">iron_deficiency_anaemia*C14</f>
        <v>0.45566463765020654</v>
      </c>
      <c r="D15" s="52">
        <f t="shared" si="0"/>
        <v>0.45162762935847928</v>
      </c>
      <c r="E15" s="52">
        <f t="shared" si="0"/>
        <v>0.45162762935847928</v>
      </c>
      <c r="F15" s="52">
        <f t="shared" si="0"/>
        <v>0.31347914346228822</v>
      </c>
      <c r="G15" s="52">
        <f t="shared" si="0"/>
        <v>0.31347914346228822</v>
      </c>
      <c r="H15" s="52">
        <f t="shared" si="0"/>
        <v>0.20418335299999998</v>
      </c>
      <c r="I15" s="52">
        <f t="shared" si="0"/>
        <v>0.20418335299999998</v>
      </c>
      <c r="J15" s="52">
        <f t="shared" si="0"/>
        <v>0.20418335299999998</v>
      </c>
      <c r="K15" s="52">
        <f t="shared" si="0"/>
        <v>0.20418335299999998</v>
      </c>
      <c r="L15" s="52">
        <f t="shared" si="0"/>
        <v>0.18963466199999995</v>
      </c>
      <c r="M15" s="52">
        <f t="shared" si="0"/>
        <v>0.18963466199999995</v>
      </c>
      <c r="N15" s="52">
        <f t="shared" si="0"/>
        <v>0.18963466199999995</v>
      </c>
      <c r="O15" s="52">
        <f t="shared" si="0"/>
        <v>0.18963466199999995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ilAvp/vY3QAmlllYLJwpA+oqEWpsqglUSiM8Ke0VXSSFMPx7Gzz3Crlk0CV6NNdJIhsot2hB8382K7yyGRmsaQ==" saltValue="c7QwfGL8CHY+HENOdNTG7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110</v>
      </c>
      <c r="C1" s="8" t="s">
        <v>109</v>
      </c>
      <c r="D1" s="8" t="s">
        <v>96</v>
      </c>
      <c r="E1" s="8" t="s">
        <v>97</v>
      </c>
      <c r="F1" s="8" t="s">
        <v>98</v>
      </c>
      <c r="G1" s="8" t="s">
        <v>99</v>
      </c>
    </row>
    <row r="2" spans="1:7" x14ac:dyDescent="0.25">
      <c r="A2" s="3" t="s">
        <v>128</v>
      </c>
      <c r="B2" s="3" t="s">
        <v>129</v>
      </c>
      <c r="C2" s="45">
        <v>0.79400000000000004</v>
      </c>
      <c r="D2" s="53">
        <v>0.25800000000000001</v>
      </c>
      <c r="E2" s="53">
        <v>0</v>
      </c>
      <c r="F2" s="53">
        <v>0</v>
      </c>
      <c r="G2" s="53">
        <v>0</v>
      </c>
    </row>
    <row r="3" spans="1:7" x14ac:dyDescent="0.25">
      <c r="B3" s="3" t="s">
        <v>130</v>
      </c>
      <c r="C3" s="53">
        <v>0.183</v>
      </c>
      <c r="D3" s="53">
        <v>0.53900000000000003</v>
      </c>
      <c r="E3" s="53">
        <v>0</v>
      </c>
      <c r="F3" s="53">
        <v>0</v>
      </c>
      <c r="G3" s="53">
        <v>0</v>
      </c>
    </row>
    <row r="4" spans="1:7" x14ac:dyDescent="0.25">
      <c r="B4" s="3" t="s">
        <v>131</v>
      </c>
      <c r="C4" s="53">
        <v>2.3E-2</v>
      </c>
      <c r="D4" s="53">
        <v>0.20200000000000001</v>
      </c>
      <c r="E4" s="53">
        <v>0.97900000000000009</v>
      </c>
      <c r="F4" s="53">
        <v>0.77599999999999991</v>
      </c>
      <c r="G4" s="53">
        <v>0</v>
      </c>
    </row>
    <row r="5" spans="1:7" x14ac:dyDescent="0.25">
      <c r="B5" s="3" t="s">
        <v>132</v>
      </c>
      <c r="C5" s="52">
        <v>0</v>
      </c>
      <c r="D5" s="52">
        <v>1E-3</v>
      </c>
      <c r="E5" s="52">
        <f>1-SUM(E2:E4)</f>
        <v>2.0999999999999908E-2</v>
      </c>
      <c r="F5" s="52">
        <f>1-SUM(F2:F4)</f>
        <v>0.22400000000000009</v>
      </c>
      <c r="G5" s="52">
        <f>1-SUM(G2:G4)</f>
        <v>1</v>
      </c>
    </row>
  </sheetData>
  <sheetProtection algorithmName="SHA-512" hashValue="tp8UQQpFq2wiBonoy1nWyvZkldj7yGHmjeQPXGbD4OpHOtyMiriYQKR9Ihtm0AxAgckol8m65KIRSZlnwNUoiA==" saltValue="AZ7nuLgLkhRKgmPDV2jT1g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133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134</v>
      </c>
      <c r="B2" s="9" t="s">
        <v>143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135</v>
      </c>
      <c r="B4" s="9" t="s">
        <v>143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136</v>
      </c>
      <c r="B6" s="9" t="s">
        <v>143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100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137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138</v>
      </c>
      <c r="B10" s="11" t="s">
        <v>139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140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43</v>
      </c>
      <c r="B13" s="11" t="s">
        <v>141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142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b+c9DgksVwCF+9DTgkJGjxqebWqoRbjtpLFGxoMs9YXpeBE6cmp+6iFt21YTQA/Hw8jT6rrvub76AOb/7fbT+g==" saltValue="v1gAd9f21J1/548CkD6Dbw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4</v>
      </c>
      <c r="B1" s="4" t="s">
        <v>144</v>
      </c>
    </row>
    <row r="2" spans="1:2" ht="13.25" customHeight="1" x14ac:dyDescent="0.25">
      <c r="A2" s="8" t="s">
        <v>145</v>
      </c>
      <c r="B2" s="41">
        <v>10</v>
      </c>
    </row>
    <row r="3" spans="1:2" ht="13.25" customHeight="1" x14ac:dyDescent="0.25">
      <c r="A3" s="8" t="s">
        <v>150</v>
      </c>
      <c r="B3" s="41">
        <v>10</v>
      </c>
    </row>
    <row r="4" spans="1:2" ht="13.25" customHeight="1" x14ac:dyDescent="0.25">
      <c r="A4" s="8" t="s">
        <v>146</v>
      </c>
      <c r="B4" s="41">
        <v>10</v>
      </c>
    </row>
    <row r="5" spans="1:2" ht="13.25" customHeight="1" x14ac:dyDescent="0.25">
      <c r="A5" s="8" t="s">
        <v>147</v>
      </c>
      <c r="B5" s="41">
        <v>10</v>
      </c>
    </row>
    <row r="6" spans="1:2" ht="13.25" customHeight="1" x14ac:dyDescent="0.25">
      <c r="A6" s="8" t="s">
        <v>148</v>
      </c>
      <c r="B6" s="41">
        <v>10</v>
      </c>
    </row>
    <row r="7" spans="1:2" ht="13.25" customHeight="1" x14ac:dyDescent="0.25">
      <c r="A7" s="8" t="s">
        <v>149</v>
      </c>
      <c r="B7" s="41">
        <v>10</v>
      </c>
    </row>
  </sheetData>
  <sheetProtection algorithmName="SHA-512" hashValue="i4TG1LXJttbf8ZFm7nrz8sXXDXvMp728l7goBc/FUo5eNoPWnMO1xN44J5BTu95EDQ5NDfVQO9jLMoKa30Nc5Q==" saltValue="ogYZAQrxYATvwf/bdkUWcQ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151</v>
      </c>
      <c r="B1" s="36" t="s">
        <v>152</v>
      </c>
      <c r="C1" s="36" t="s">
        <v>153</v>
      </c>
      <c r="D1" s="36" t="s">
        <v>154</v>
      </c>
      <c r="E1" s="36" t="s">
        <v>155</v>
      </c>
    </row>
    <row r="2" spans="1:5" ht="13" customHeight="1" x14ac:dyDescent="0.3">
      <c r="A2" s="34" t="s">
        <v>157</v>
      </c>
      <c r="B2" s="32" t="s">
        <v>100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109</v>
      </c>
      <c r="C3" s="47"/>
      <c r="D3" s="47" t="s">
        <v>5</v>
      </c>
      <c r="E3" s="38" t="str">
        <f>IF(E$7="","",E$7)</f>
        <v/>
      </c>
    </row>
    <row r="4" spans="1:5" ht="13.25" customHeight="1" x14ac:dyDescent="0.25">
      <c r="B4" s="32" t="s">
        <v>96</v>
      </c>
      <c r="C4" s="47"/>
      <c r="D4" s="47" t="s">
        <v>5</v>
      </c>
      <c r="E4" s="38" t="str">
        <f>IF(E$7="","",E$7)</f>
        <v/>
      </c>
    </row>
    <row r="5" spans="1:5" ht="13.25" customHeight="1" x14ac:dyDescent="0.25">
      <c r="B5" s="32" t="s">
        <v>97</v>
      </c>
      <c r="C5" s="47"/>
      <c r="D5" s="47" t="s">
        <v>5</v>
      </c>
      <c r="E5" s="38" t="str">
        <f>IF(E$7="","",E$7)</f>
        <v/>
      </c>
    </row>
    <row r="6" spans="1:5" ht="13.25" customHeight="1" x14ac:dyDescent="0.25">
      <c r="B6" s="32" t="s">
        <v>98</v>
      </c>
      <c r="C6" s="47"/>
      <c r="D6" s="47" t="s">
        <v>5</v>
      </c>
      <c r="E6" s="38" t="str">
        <f>IF(E$7="","",E$7)</f>
        <v/>
      </c>
    </row>
    <row r="7" spans="1:5" ht="13.25" customHeight="1" x14ac:dyDescent="0.25">
      <c r="B7" s="32" t="s">
        <v>156</v>
      </c>
      <c r="C7" s="31"/>
      <c r="D7" s="30"/>
      <c r="E7" s="47"/>
    </row>
    <row r="9" spans="1:5" ht="13" customHeight="1" x14ac:dyDescent="0.3">
      <c r="A9" s="34" t="s">
        <v>158</v>
      </c>
      <c r="B9" s="32" t="s">
        <v>100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109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96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97</v>
      </c>
      <c r="C12" s="47"/>
      <c r="D12" s="47" t="s">
        <v>5</v>
      </c>
      <c r="E12" s="38" t="str">
        <f>IF(E$7="","",E$7)</f>
        <v/>
      </c>
    </row>
    <row r="13" spans="1:5" ht="13.25" customHeight="1" x14ac:dyDescent="0.25">
      <c r="B13" s="32" t="s">
        <v>98</v>
      </c>
      <c r="C13" s="47"/>
      <c r="D13" s="47" t="s">
        <v>5</v>
      </c>
      <c r="E13" s="38" t="str">
        <f>IF(E$7="","",E$7)</f>
        <v/>
      </c>
    </row>
    <row r="14" spans="1:5" ht="13.25" customHeight="1" x14ac:dyDescent="0.25">
      <c r="B14" s="32" t="s">
        <v>156</v>
      </c>
      <c r="C14" s="31"/>
      <c r="D14" s="30"/>
      <c r="E14" s="47"/>
    </row>
    <row r="16" spans="1:5" ht="13" customHeight="1" x14ac:dyDescent="0.3">
      <c r="A16" s="34" t="s">
        <v>159</v>
      </c>
      <c r="B16" s="32" t="s">
        <v>100</v>
      </c>
      <c r="C16" s="47"/>
      <c r="D16" s="47" t="s">
        <v>5</v>
      </c>
      <c r="E16" s="38" t="str">
        <f>IF(E$7="","",E$7)</f>
        <v/>
      </c>
    </row>
    <row r="17" spans="2:5" ht="13.25" customHeight="1" x14ac:dyDescent="0.25">
      <c r="B17" s="32" t="s">
        <v>109</v>
      </c>
      <c r="C17" s="47"/>
      <c r="D17" s="47" t="s">
        <v>5</v>
      </c>
      <c r="E17" s="38" t="str">
        <f>IF(E$7="","",E$7)</f>
        <v/>
      </c>
    </row>
    <row r="18" spans="2:5" ht="13.25" customHeight="1" x14ac:dyDescent="0.25">
      <c r="B18" s="32" t="s">
        <v>96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97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98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156</v>
      </c>
      <c r="C21" s="31"/>
      <c r="D21" s="30"/>
      <c r="E21" s="47"/>
    </row>
  </sheetData>
  <sheetProtection algorithmName="SHA-512" hashValue="PgyHy4Ydr5uZwXykG8SyNUca2A1WY4TQqHF4vTG0oh5haq4CcNEV1dx+2aiteG94T385hYdwE8Vv4PVybSGZ1g==" saltValue="bDM1WdGByNnfsJZiKr7zSw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0</v>
      </c>
      <c r="B1" s="36" t="s">
        <v>162</v>
      </c>
      <c r="C1" s="40" t="s">
        <v>6</v>
      </c>
      <c r="D1" s="40" t="s">
        <v>163</v>
      </c>
    </row>
    <row r="2" spans="1:4" ht="13" customHeight="1" x14ac:dyDescent="0.3">
      <c r="A2" s="40" t="s">
        <v>160</v>
      </c>
      <c r="B2" s="32" t="s">
        <v>161</v>
      </c>
      <c r="C2" s="32" t="s">
        <v>165</v>
      </c>
      <c r="D2" s="47"/>
    </row>
    <row r="3" spans="1:4" ht="13" customHeight="1" x14ac:dyDescent="0.3">
      <c r="A3" s="40" t="s">
        <v>164</v>
      </c>
      <c r="B3" s="32" t="s">
        <v>153</v>
      </c>
      <c r="C3" s="32" t="s">
        <v>154</v>
      </c>
      <c r="D3" s="47"/>
    </row>
  </sheetData>
  <sheetProtection algorithmName="SHA-512" hashValue="wzGIq55r3SsEy5Yg43pjl21PftMQGl118NkHK5GzlYTAXmjmb7ezDoGLjdeTE5n1o7qwUSaeer52ZVhqERYqVA==" saltValue="LeJTVcPnep8cd+9W31OPBQ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160</v>
      </c>
      <c r="B1" s="22" t="str">
        <f>"Couverture de l'année de référence ("&amp;start_year&amp;")"</f>
        <v>Couverture de l'année de référence (2024)</v>
      </c>
      <c r="C1" s="22" t="s">
        <v>166</v>
      </c>
      <c r="D1" s="22" t="s">
        <v>202</v>
      </c>
      <c r="E1" s="22" t="s">
        <v>167</v>
      </c>
      <c r="F1" s="22" t="s">
        <v>203</v>
      </c>
      <c r="G1" s="22" t="s">
        <v>204</v>
      </c>
    </row>
    <row r="2" spans="1:7" ht="15.75" customHeight="1" x14ac:dyDescent="0.25">
      <c r="A2" s="5" t="s">
        <v>168</v>
      </c>
      <c r="B2" s="45">
        <v>0</v>
      </c>
      <c r="C2" s="98">
        <v>0.95</v>
      </c>
      <c r="D2" s="56">
        <v>65.60734264525216</v>
      </c>
      <c r="E2" s="56" t="s">
        <v>201</v>
      </c>
      <c r="F2" s="98">
        <v>1</v>
      </c>
      <c r="G2" s="98">
        <v>1</v>
      </c>
    </row>
    <row r="3" spans="1:7" ht="15.75" customHeight="1" x14ac:dyDescent="0.25">
      <c r="A3" s="5" t="s">
        <v>169</v>
      </c>
      <c r="B3" s="45">
        <v>0</v>
      </c>
      <c r="C3" s="98">
        <v>0.95</v>
      </c>
      <c r="D3" s="56">
        <v>19.75203299904819</v>
      </c>
      <c r="E3" s="56" t="s">
        <v>201</v>
      </c>
      <c r="F3" s="98">
        <v>1</v>
      </c>
      <c r="G3" s="98">
        <v>1</v>
      </c>
    </row>
    <row r="4" spans="1:7" ht="15.75" customHeight="1" x14ac:dyDescent="0.25">
      <c r="A4" s="5" t="s">
        <v>170</v>
      </c>
      <c r="B4" s="98">
        <v>0</v>
      </c>
      <c r="C4" s="98">
        <v>0.95</v>
      </c>
      <c r="D4" s="56">
        <v>7.2861200073283072</v>
      </c>
      <c r="E4" s="56" t="s">
        <v>201</v>
      </c>
      <c r="F4" s="98">
        <v>1</v>
      </c>
      <c r="G4" s="98">
        <v>1</v>
      </c>
    </row>
    <row r="5" spans="1:7" ht="15.75" customHeight="1" x14ac:dyDescent="0.25">
      <c r="A5" s="5" t="s">
        <v>171</v>
      </c>
      <c r="B5" s="98">
        <v>0</v>
      </c>
      <c r="C5" s="98">
        <v>0.95</v>
      </c>
      <c r="D5" s="56">
        <v>0.1622916426232176</v>
      </c>
      <c r="E5" s="56" t="s">
        <v>201</v>
      </c>
      <c r="F5" s="98">
        <v>1</v>
      </c>
      <c r="G5" s="98">
        <v>1</v>
      </c>
    </row>
    <row r="6" spans="1:7" ht="15.75" customHeight="1" x14ac:dyDescent="0.25">
      <c r="A6" s="5" t="s">
        <v>172</v>
      </c>
      <c r="B6" s="98">
        <v>0</v>
      </c>
      <c r="C6" s="98">
        <v>0.95</v>
      </c>
      <c r="D6" s="56">
        <v>99.99</v>
      </c>
      <c r="E6" s="56" t="s">
        <v>201</v>
      </c>
      <c r="F6" s="98">
        <v>1</v>
      </c>
      <c r="G6" s="98">
        <v>1</v>
      </c>
    </row>
    <row r="7" spans="1:7" ht="15.75" customHeight="1" x14ac:dyDescent="0.25">
      <c r="A7" s="5" t="s">
        <v>173</v>
      </c>
      <c r="B7" s="98">
        <v>0</v>
      </c>
      <c r="C7" s="98">
        <v>0.95</v>
      </c>
      <c r="D7" s="56">
        <v>0.2139553248340432</v>
      </c>
      <c r="E7" s="56" t="s">
        <v>201</v>
      </c>
      <c r="F7" s="98">
        <v>1</v>
      </c>
      <c r="G7" s="98">
        <v>1</v>
      </c>
    </row>
    <row r="8" spans="1:7" ht="15.75" customHeight="1" x14ac:dyDescent="0.25">
      <c r="A8" s="5" t="s">
        <v>174</v>
      </c>
      <c r="B8" s="98">
        <v>0</v>
      </c>
      <c r="C8" s="98">
        <v>0.95</v>
      </c>
      <c r="D8" s="56">
        <v>0.78848199824391296</v>
      </c>
      <c r="E8" s="56" t="s">
        <v>201</v>
      </c>
      <c r="F8" s="98">
        <v>1</v>
      </c>
      <c r="G8" s="98">
        <v>1</v>
      </c>
    </row>
    <row r="9" spans="1:7" ht="15.75" customHeight="1" x14ac:dyDescent="0.25">
      <c r="A9" s="5" t="s">
        <v>175</v>
      </c>
      <c r="B9" s="98">
        <v>0</v>
      </c>
      <c r="C9" s="98">
        <v>0.95</v>
      </c>
      <c r="D9" s="56">
        <v>0.40394964285693302</v>
      </c>
      <c r="E9" s="56" t="s">
        <v>201</v>
      </c>
      <c r="F9" s="98">
        <v>1</v>
      </c>
      <c r="G9" s="98">
        <v>1</v>
      </c>
    </row>
    <row r="10" spans="1:7" ht="15.75" customHeight="1" x14ac:dyDescent="0.25">
      <c r="A10" s="11" t="s">
        <v>176</v>
      </c>
      <c r="B10" s="45">
        <v>0</v>
      </c>
      <c r="C10" s="98">
        <v>0.95</v>
      </c>
      <c r="D10" s="56">
        <v>15.05101211717766</v>
      </c>
      <c r="E10" s="56" t="s">
        <v>201</v>
      </c>
      <c r="F10" s="98">
        <v>1</v>
      </c>
      <c r="G10" s="98">
        <v>1</v>
      </c>
    </row>
    <row r="11" spans="1:7" ht="15.75" customHeight="1" x14ac:dyDescent="0.25">
      <c r="A11" s="11" t="s">
        <v>177</v>
      </c>
      <c r="B11" s="98">
        <v>0</v>
      </c>
      <c r="C11" s="98">
        <v>0.95</v>
      </c>
      <c r="D11" s="56">
        <v>15.05101211717766</v>
      </c>
      <c r="E11" s="56" t="s">
        <v>201</v>
      </c>
      <c r="F11" s="98">
        <v>1</v>
      </c>
      <c r="G11" s="98">
        <v>1</v>
      </c>
    </row>
    <row r="12" spans="1:7" ht="15.75" customHeight="1" x14ac:dyDescent="0.25">
      <c r="A12" s="11" t="s">
        <v>178</v>
      </c>
      <c r="B12" s="98">
        <v>0</v>
      </c>
      <c r="C12" s="98">
        <v>0.95</v>
      </c>
      <c r="D12" s="56">
        <v>15.05101211717766</v>
      </c>
      <c r="E12" s="56" t="s">
        <v>201</v>
      </c>
      <c r="F12" s="98">
        <v>1</v>
      </c>
      <c r="G12" s="98">
        <v>1</v>
      </c>
    </row>
    <row r="13" spans="1:7" ht="15.75" customHeight="1" x14ac:dyDescent="0.25">
      <c r="A13" s="11" t="s">
        <v>179</v>
      </c>
      <c r="B13" s="98">
        <v>0</v>
      </c>
      <c r="C13" s="98">
        <v>0.95</v>
      </c>
      <c r="D13" s="56">
        <v>15.05101211717766</v>
      </c>
      <c r="E13" s="56" t="s">
        <v>201</v>
      </c>
      <c r="F13" s="98">
        <v>1</v>
      </c>
      <c r="G13" s="98">
        <v>1</v>
      </c>
    </row>
    <row r="14" spans="1:7" ht="15.75" customHeight="1" x14ac:dyDescent="0.25">
      <c r="A14" s="5" t="s">
        <v>180</v>
      </c>
      <c r="B14" s="45">
        <v>0</v>
      </c>
      <c r="C14" s="98">
        <v>0.95</v>
      </c>
      <c r="D14" s="56">
        <v>15.05101211717766</v>
      </c>
      <c r="E14" s="56" t="s">
        <v>201</v>
      </c>
      <c r="F14" s="98">
        <v>1</v>
      </c>
      <c r="G14" s="98">
        <v>1</v>
      </c>
    </row>
    <row r="15" spans="1:7" ht="15.75" customHeight="1" x14ac:dyDescent="0.25">
      <c r="A15" s="5" t="s">
        <v>181</v>
      </c>
      <c r="B15" s="98">
        <v>0</v>
      </c>
      <c r="C15" s="98">
        <v>0.95</v>
      </c>
      <c r="D15" s="56">
        <v>15.05101211717766</v>
      </c>
      <c r="E15" s="56" t="s">
        <v>201</v>
      </c>
      <c r="F15" s="98">
        <v>1</v>
      </c>
      <c r="G15" s="98">
        <v>1</v>
      </c>
    </row>
    <row r="16" spans="1:7" ht="15.75" customHeight="1" x14ac:dyDescent="0.25">
      <c r="A16" s="5" t="s">
        <v>182</v>
      </c>
      <c r="B16" s="45">
        <v>0.14499999999999999</v>
      </c>
      <c r="C16" s="98">
        <v>0.95</v>
      </c>
      <c r="D16" s="56">
        <v>2.503642449664842</v>
      </c>
      <c r="E16" s="56" t="s">
        <v>201</v>
      </c>
      <c r="F16" s="98">
        <v>1</v>
      </c>
      <c r="G16" s="98">
        <v>1</v>
      </c>
    </row>
    <row r="17" spans="1:7" ht="15.75" customHeight="1" x14ac:dyDescent="0.25">
      <c r="A17" s="5" t="s">
        <v>183</v>
      </c>
      <c r="B17" s="98">
        <v>0</v>
      </c>
      <c r="C17" s="98">
        <v>0.95</v>
      </c>
      <c r="D17" s="56">
        <v>0.1369044839662158</v>
      </c>
      <c r="E17" s="56" t="s">
        <v>201</v>
      </c>
      <c r="F17" s="98">
        <v>1</v>
      </c>
      <c r="G17" s="98">
        <v>1</v>
      </c>
    </row>
    <row r="18" spans="1:7" ht="15.9" customHeight="1" x14ac:dyDescent="0.25">
      <c r="A18" s="5" t="s">
        <v>157</v>
      </c>
      <c r="B18" s="98">
        <v>0.373</v>
      </c>
      <c r="C18" s="98">
        <v>0.95</v>
      </c>
      <c r="D18" s="56">
        <v>7.2861200073283072</v>
      </c>
      <c r="E18" s="56" t="s">
        <v>201</v>
      </c>
      <c r="F18" s="98">
        <v>1</v>
      </c>
      <c r="G18" s="98">
        <v>1</v>
      </c>
    </row>
    <row r="19" spans="1:7" ht="15.75" customHeight="1" x14ac:dyDescent="0.25">
      <c r="A19" s="5" t="s">
        <v>158</v>
      </c>
      <c r="B19" s="98">
        <v>0.25800000000000001</v>
      </c>
      <c r="C19" s="98">
        <v>0.95</v>
      </c>
      <c r="D19" s="56">
        <v>7.2861200073283072</v>
      </c>
      <c r="E19" s="56" t="s">
        <v>201</v>
      </c>
      <c r="F19" s="98">
        <v>1</v>
      </c>
      <c r="G19" s="98">
        <v>1</v>
      </c>
    </row>
    <row r="20" spans="1:7" ht="15.75" customHeight="1" x14ac:dyDescent="0.25">
      <c r="A20" s="5" t="s">
        <v>159</v>
      </c>
      <c r="B20" s="98">
        <v>0</v>
      </c>
      <c r="C20" s="98">
        <v>0.95</v>
      </c>
      <c r="D20" s="56">
        <v>99.99</v>
      </c>
      <c r="E20" s="56" t="s">
        <v>201</v>
      </c>
      <c r="F20" s="98">
        <v>1</v>
      </c>
      <c r="G20" s="98">
        <v>1</v>
      </c>
    </row>
    <row r="21" spans="1:7" ht="15.75" customHeight="1" x14ac:dyDescent="0.25">
      <c r="A21" s="5" t="s">
        <v>184</v>
      </c>
      <c r="B21" s="45">
        <v>0</v>
      </c>
      <c r="C21" s="98">
        <v>0.95</v>
      </c>
      <c r="D21" s="56">
        <v>7.4846345450640612</v>
      </c>
      <c r="E21" s="56" t="s">
        <v>201</v>
      </c>
      <c r="F21" s="98">
        <v>1</v>
      </c>
      <c r="G21" s="98">
        <v>1</v>
      </c>
    </row>
    <row r="22" spans="1:7" ht="15.75" customHeight="1" x14ac:dyDescent="0.25">
      <c r="A22" s="5" t="s">
        <v>185</v>
      </c>
      <c r="B22" s="98">
        <v>0</v>
      </c>
      <c r="C22" s="98">
        <v>0.95</v>
      </c>
      <c r="D22" s="56">
        <v>25.652464004019169</v>
      </c>
      <c r="E22" s="56" t="s">
        <v>201</v>
      </c>
      <c r="F22" s="98">
        <v>1</v>
      </c>
      <c r="G22" s="98">
        <v>1</v>
      </c>
    </row>
    <row r="23" spans="1:7" ht="15.75" customHeight="1" x14ac:dyDescent="0.25">
      <c r="A23" s="5" t="s">
        <v>186</v>
      </c>
      <c r="B23" s="98">
        <v>0.70900000000000007</v>
      </c>
      <c r="C23" s="98">
        <v>0.95</v>
      </c>
      <c r="D23" s="56">
        <v>4.9325180741630454</v>
      </c>
      <c r="E23" s="56" t="s">
        <v>201</v>
      </c>
      <c r="F23" s="98">
        <v>1</v>
      </c>
      <c r="G23" s="98">
        <v>1</v>
      </c>
    </row>
    <row r="24" spans="1:7" ht="15.75" customHeight="1" x14ac:dyDescent="0.25">
      <c r="A24" s="5" t="s">
        <v>187</v>
      </c>
      <c r="B24" s="45">
        <v>0.24025928639999999</v>
      </c>
      <c r="C24" s="98">
        <v>0.95</v>
      </c>
      <c r="D24" s="56">
        <v>99.99</v>
      </c>
      <c r="E24" s="56" t="s">
        <v>201</v>
      </c>
      <c r="F24" s="98">
        <v>1</v>
      </c>
      <c r="G24" s="98">
        <v>1</v>
      </c>
    </row>
    <row r="25" spans="1:7" ht="15.75" customHeight="1" x14ac:dyDescent="0.25">
      <c r="A25" s="5" t="s">
        <v>188</v>
      </c>
      <c r="B25" s="98">
        <v>0</v>
      </c>
      <c r="C25" s="98">
        <v>0.95</v>
      </c>
      <c r="D25" s="56">
        <v>99.99</v>
      </c>
      <c r="E25" s="56" t="s">
        <v>201</v>
      </c>
      <c r="F25" s="98">
        <v>1</v>
      </c>
      <c r="G25" s="98">
        <v>1</v>
      </c>
    </row>
    <row r="26" spans="1:7" ht="15.75" customHeight="1" x14ac:dyDescent="0.25">
      <c r="A26" s="5" t="s">
        <v>189</v>
      </c>
      <c r="B26" s="45">
        <v>0</v>
      </c>
      <c r="C26" s="98">
        <v>0.95</v>
      </c>
      <c r="D26" s="56">
        <v>3.4665816434934871</v>
      </c>
      <c r="E26" s="56" t="s">
        <v>201</v>
      </c>
      <c r="F26" s="98">
        <v>1</v>
      </c>
      <c r="G26" s="98">
        <v>1</v>
      </c>
    </row>
    <row r="27" spans="1:7" ht="15.75" customHeight="1" x14ac:dyDescent="0.25">
      <c r="A27" s="5" t="s">
        <v>190</v>
      </c>
      <c r="B27" s="45">
        <v>0</v>
      </c>
      <c r="C27" s="98">
        <v>0.95</v>
      </c>
      <c r="D27" s="56">
        <v>13.803307962555669</v>
      </c>
      <c r="E27" s="56" t="s">
        <v>201</v>
      </c>
      <c r="F27" s="98">
        <v>1</v>
      </c>
      <c r="G27" s="98">
        <v>1</v>
      </c>
    </row>
    <row r="28" spans="1:7" ht="15.75" customHeight="1" x14ac:dyDescent="0.25">
      <c r="A28" s="5" t="s">
        <v>191</v>
      </c>
      <c r="B28" s="45">
        <v>0.434</v>
      </c>
      <c r="C28" s="98">
        <v>0.95</v>
      </c>
      <c r="D28" s="56">
        <v>99.99</v>
      </c>
      <c r="E28" s="56" t="s">
        <v>201</v>
      </c>
      <c r="F28" s="98">
        <v>1</v>
      </c>
      <c r="G28" s="98">
        <v>1</v>
      </c>
    </row>
    <row r="29" spans="1:7" ht="15.75" customHeight="1" x14ac:dyDescent="0.25">
      <c r="A29" s="5" t="s">
        <v>192</v>
      </c>
      <c r="B29" s="45">
        <v>0.42499999999999999</v>
      </c>
      <c r="C29" s="98">
        <v>0.95</v>
      </c>
      <c r="D29" s="56">
        <v>88.005851455993124</v>
      </c>
      <c r="E29" s="56" t="s">
        <v>201</v>
      </c>
      <c r="F29" s="98">
        <v>1</v>
      </c>
      <c r="G29" s="98">
        <v>1</v>
      </c>
    </row>
    <row r="30" spans="1:7" ht="15.75" customHeight="1" x14ac:dyDescent="0.25">
      <c r="A30" s="5" t="s">
        <v>205</v>
      </c>
      <c r="B30" s="98">
        <v>0</v>
      </c>
      <c r="C30" s="98">
        <v>0.95</v>
      </c>
      <c r="D30" s="56">
        <v>99</v>
      </c>
      <c r="E30" s="56" t="s">
        <v>201</v>
      </c>
      <c r="F30" s="98">
        <v>1</v>
      </c>
      <c r="G30" s="98">
        <v>1</v>
      </c>
    </row>
    <row r="31" spans="1:7" ht="15.75" customHeight="1" x14ac:dyDescent="0.25">
      <c r="A31" s="5" t="s">
        <v>161</v>
      </c>
      <c r="B31" s="45">
        <v>0</v>
      </c>
      <c r="C31" s="98">
        <v>0.95</v>
      </c>
      <c r="D31" s="56">
        <v>180.94215297303569</v>
      </c>
      <c r="E31" s="56" t="s">
        <v>201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0.78</v>
      </c>
      <c r="C32" s="98">
        <v>0.95</v>
      </c>
      <c r="D32" s="56">
        <v>0.65266805708153031</v>
      </c>
      <c r="E32" s="56" t="s">
        <v>201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201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0.26800000000000002</v>
      </c>
      <c r="C34" s="98">
        <v>0.95</v>
      </c>
      <c r="D34" s="56">
        <v>99.99</v>
      </c>
      <c r="E34" s="56" t="s">
        <v>201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201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</v>
      </c>
      <c r="C36" s="98">
        <v>0.95</v>
      </c>
      <c r="D36" s="56">
        <v>99.99</v>
      </c>
      <c r="E36" s="56" t="s">
        <v>201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0.51764500000000002</v>
      </c>
      <c r="C37" s="98">
        <v>0.95</v>
      </c>
      <c r="D37" s="56">
        <v>99.99</v>
      </c>
      <c r="E37" s="56" t="s">
        <v>201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</v>
      </c>
      <c r="C38" s="98">
        <v>0.95</v>
      </c>
      <c r="D38" s="56">
        <v>2.4488574538288082</v>
      </c>
      <c r="E38" s="56" t="s">
        <v>201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3.4277904548683669</v>
      </c>
      <c r="E39" s="56" t="s">
        <v>201</v>
      </c>
      <c r="F39" s="98">
        <v>1</v>
      </c>
      <c r="G39" s="98">
        <v>1</v>
      </c>
    </row>
  </sheetData>
  <sheetProtection algorithmName="SHA-512" hashValue="89W6F59MatnBLcOY6J3jkXp2jp8PYb8YQQ5J/TdDicMY2+aDw7XQ9j8j+c+vkQU9YzlBXLbN34Ugi5xFGPtZEA==" saltValue="uW4v8Lw4ig/HoFcDSXivk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7" sqref="B7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160</v>
      </c>
      <c r="B1" s="4" t="s">
        <v>206</v>
      </c>
      <c r="C1" s="4" t="s">
        <v>207</v>
      </c>
    </row>
    <row r="2" spans="1:3" ht="13.25" customHeight="1" x14ac:dyDescent="0.25">
      <c r="A2" s="57" t="s">
        <v>180</v>
      </c>
      <c r="B2" s="47" t="s">
        <v>190</v>
      </c>
      <c r="C2" s="47"/>
    </row>
    <row r="3" spans="1:3" ht="13.25" customHeight="1" x14ac:dyDescent="0.25">
      <c r="A3" s="57" t="s">
        <v>181</v>
      </c>
      <c r="B3" s="47" t="s">
        <v>190</v>
      </c>
      <c r="C3" s="47"/>
    </row>
    <row r="4" spans="1:3" ht="13.25" customHeight="1" x14ac:dyDescent="0.25">
      <c r="A4" s="57" t="s">
        <v>192</v>
      </c>
      <c r="B4" s="47" t="s">
        <v>185</v>
      </c>
      <c r="C4" s="47"/>
    </row>
    <row r="5" spans="1:3" ht="13.25" customHeight="1" x14ac:dyDescent="0.25">
      <c r="A5" s="57" t="s">
        <v>189</v>
      </c>
      <c r="B5" s="47" t="s">
        <v>185</v>
      </c>
      <c r="C5" s="47"/>
    </row>
    <row r="6" spans="1:3" ht="13.25" customHeight="1" x14ac:dyDescent="0.25">
      <c r="A6" s="57" t="s">
        <v>192</v>
      </c>
      <c r="B6" s="58" t="s">
        <v>205</v>
      </c>
      <c r="C6" s="58"/>
    </row>
    <row r="7" spans="1:3" ht="13.25" customHeight="1" x14ac:dyDescent="0.25">
      <c r="A7" s="57" t="s">
        <v>189</v>
      </c>
      <c r="B7" s="58" t="s">
        <v>205</v>
      </c>
      <c r="C7" s="58"/>
    </row>
    <row r="8" spans="1:3" ht="13.25" customHeight="1" x14ac:dyDescent="0.25">
      <c r="A8" s="57" t="s">
        <v>200</v>
      </c>
      <c r="B8" s="58" t="s">
        <v>205</v>
      </c>
      <c r="C8" s="58"/>
    </row>
    <row r="9" spans="1:3" ht="13.25" customHeight="1" x14ac:dyDescent="0.25">
      <c r="A9" s="57"/>
      <c r="B9" s="58"/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ht="13.25" customHeight="1" x14ac:dyDescent="0.25">
      <c r="A17" s="59"/>
      <c r="B17" s="58"/>
      <c r="C17" s="58"/>
    </row>
    <row r="18" spans="1:3" ht="13.25" customHeight="1" x14ac:dyDescent="0.25">
      <c r="A18" s="59"/>
      <c r="B18" s="58"/>
      <c r="C18" s="58"/>
    </row>
    <row r="19" spans="1:3" ht="13.25" customHeight="1" x14ac:dyDescent="0.25">
      <c r="A19" s="57"/>
      <c r="B19" s="58"/>
      <c r="C19" s="58"/>
    </row>
    <row r="20" spans="1:3" ht="13.25" customHeight="1" x14ac:dyDescent="0.25">
      <c r="A20" s="57"/>
      <c r="B20" s="58"/>
      <c r="C20" s="58"/>
    </row>
  </sheetData>
  <sheetProtection algorithmName="SHA-512" hashValue="kXIU4DK1EwXxeifXtNTcWvlIw11NFw6XVy6AhvH4GzBArEHH0ctVRQuVPHYnmMY+ObaWfEKQKJWPSW91Ac1nKg==" saltValue="2K6ViRAk2nPXjEdmo8yMq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160</v>
      </c>
    </row>
    <row r="2" spans="1:1" ht="13.25" customHeight="1" x14ac:dyDescent="0.25">
      <c r="A2" s="33" t="s">
        <v>172</v>
      </c>
    </row>
    <row r="3" spans="1:1" ht="13.25" customHeight="1" x14ac:dyDescent="0.25">
      <c r="A3" s="33" t="s">
        <v>182</v>
      </c>
    </row>
    <row r="4" spans="1:1" ht="13.25" customHeight="1" x14ac:dyDescent="0.25">
      <c r="A4" s="33" t="s">
        <v>186</v>
      </c>
    </row>
    <row r="5" spans="1:1" ht="13.25" customHeight="1" x14ac:dyDescent="0.25">
      <c r="A5" s="33" t="s">
        <v>194</v>
      </c>
    </row>
    <row r="6" spans="1:1" ht="13.25" customHeight="1" x14ac:dyDescent="0.25">
      <c r="A6" s="33" t="s">
        <v>195</v>
      </c>
    </row>
    <row r="7" spans="1:1" ht="13.25" customHeight="1" x14ac:dyDescent="0.25">
      <c r="A7" s="33" t="s">
        <v>196</v>
      </c>
    </row>
    <row r="8" spans="1:1" ht="13.25" customHeight="1" x14ac:dyDescent="0.25">
      <c r="A8" s="33" t="s">
        <v>197</v>
      </c>
    </row>
    <row r="9" spans="1:1" ht="13.25" customHeight="1" x14ac:dyDescent="0.25">
      <c r="A9" s="33" t="s">
        <v>198</v>
      </c>
    </row>
    <row r="10" spans="1:1" ht="13.25" customHeight="1" x14ac:dyDescent="0.25">
      <c r="A10" s="33" t="s">
        <v>161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ht="13.25" customHeight="1" x14ac:dyDescent="0.25">
      <c r="A17" s="33"/>
    </row>
    <row r="18" spans="1:1" ht="13.25" customHeight="1" x14ac:dyDescent="0.25">
      <c r="A18" s="33"/>
    </row>
    <row r="19" spans="1:1" ht="13.25" customHeight="1" x14ac:dyDescent="0.25">
      <c r="A19" s="33"/>
    </row>
  </sheetData>
  <sheetProtection algorithmName="SHA-512" hashValue="af+mVEFfKShGN/KjqCJYKBgPn8H6Az2ozKPMr4uYWF6NqNUG2BgU3GKxjYJGz+XaEM26Rja2HIQcq01i8URM7A==" saltValue="BcvMnGNqC2aOdEvznUOCeg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7</v>
      </c>
      <c r="B1" t="s">
        <v>109</v>
      </c>
      <c r="C1" t="s">
        <v>96</v>
      </c>
      <c r="D1" t="s">
        <v>97</v>
      </c>
      <c r="E1" t="s">
        <v>98</v>
      </c>
      <c r="F1" t="s">
        <v>99</v>
      </c>
    </row>
    <row r="2" spans="1:6" ht="15.75" customHeight="1" x14ac:dyDescent="0.25">
      <c r="A2" s="3" t="s">
        <v>87</v>
      </c>
      <c r="B2" s="21">
        <f>'Données pop de l''année de ref'!C51</f>
        <v>3.3</v>
      </c>
      <c r="C2" s="21">
        <f>'Données pop de l''année de ref'!C52</f>
        <v>3.3</v>
      </c>
      <c r="D2" s="21">
        <f>'Données pop de l''année de ref'!C53</f>
        <v>3.3</v>
      </c>
      <c r="E2" s="21">
        <f>'Données pop de l''année de ref'!C54</f>
        <v>3.3</v>
      </c>
      <c r="F2" s="21">
        <f>'Données pop de l''année de ref'!C55</f>
        <v>3.3</v>
      </c>
    </row>
    <row r="3" spans="1:6" ht="15.75" customHeight="1" x14ac:dyDescent="0.25">
      <c r="A3" s="3" t="s">
        <v>209</v>
      </c>
      <c r="B3" s="21">
        <f>frac_mam_1month * 2.6</f>
        <v>0.1512409473170731</v>
      </c>
      <c r="C3" s="21">
        <f>frac_mam_1_5months * 2.6</f>
        <v>0.1512409473170731</v>
      </c>
      <c r="D3" s="21">
        <f>frac_mam_6_11months * 2.6</f>
        <v>0.18416345365853656</v>
      </c>
      <c r="E3" s="21">
        <f>frac_mam_12_23months * 2.6</f>
        <v>0.15529866585365862</v>
      </c>
      <c r="F3" s="21">
        <f>frac_mam_24_59months * 2.6</f>
        <v>8.7898288780487902E-2</v>
      </c>
    </row>
    <row r="4" spans="1:6" ht="15.75" customHeight="1" x14ac:dyDescent="0.25">
      <c r="A4" s="3" t="s">
        <v>208</v>
      </c>
      <c r="B4" s="21">
        <f>frac_sam_1month * 2.6</f>
        <v>0.10863924975609759</v>
      </c>
      <c r="C4" s="21">
        <f>frac_sam_1_5months * 2.6</f>
        <v>0.10863924975609759</v>
      </c>
      <c r="D4" s="21">
        <f>frac_sam_6_11months * 2.6</f>
        <v>0.10209706</v>
      </c>
      <c r="E4" s="21">
        <f>frac_sam_12_23months * 2.6</f>
        <v>7.8723592682926877E-2</v>
      </c>
      <c r="F4" s="21">
        <f>frac_sam_24_59months * 2.6</f>
        <v>4.4552712195122038E-2</v>
      </c>
    </row>
  </sheetData>
  <sheetProtection algorithmName="SHA-512" hashValue="nq+2DW6Me4zwgUUg/MYrO/fGRDezfI20bR73LfPxEN71DzGCkVIzbdoaKHafQz47nXxbmEZvPbfGWRtepgJhdQ==" saltValue="T0AEmNuf15bdbpuXSRXzFg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211</v>
      </c>
      <c r="B1" s="1" t="s">
        <v>160</v>
      </c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  <c r="H1" s="4" t="s">
        <v>122</v>
      </c>
      <c r="I1" s="4" t="s">
        <v>123</v>
      </c>
      <c r="J1" s="4" t="s">
        <v>124</v>
      </c>
      <c r="K1" s="4" t="s">
        <v>125</v>
      </c>
      <c r="L1" s="4" t="s">
        <v>69</v>
      </c>
      <c r="M1" s="4" t="s">
        <v>70</v>
      </c>
      <c r="N1" s="4" t="s">
        <v>71</v>
      </c>
      <c r="O1" s="4" t="s">
        <v>72</v>
      </c>
    </row>
    <row r="2" spans="1:15" ht="15.75" customHeight="1" x14ac:dyDescent="0.3">
      <c r="A2" s="4" t="s">
        <v>86</v>
      </c>
      <c r="B2" s="5" t="s">
        <v>170</v>
      </c>
      <c r="C2" s="60">
        <v>0</v>
      </c>
      <c r="D2" s="60">
        <f>food_insecure</f>
        <v>0.45200000000000001</v>
      </c>
      <c r="E2" s="60">
        <f>food_insecure</f>
        <v>0.45200000000000001</v>
      </c>
      <c r="F2" s="60">
        <f>food_insecure</f>
        <v>0.45200000000000001</v>
      </c>
      <c r="G2" s="60">
        <f>food_insecure</f>
        <v>0.45200000000000001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171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184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185</v>
      </c>
      <c r="C5" s="60">
        <v>0</v>
      </c>
      <c r="D5" s="60">
        <v>0</v>
      </c>
      <c r="E5" s="60">
        <f>food_insecure</f>
        <v>0.45200000000000001</v>
      </c>
      <c r="F5" s="60">
        <f>food_insecure</f>
        <v>0.45200000000000001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191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192</v>
      </c>
      <c r="C8" s="60">
        <v>0</v>
      </c>
      <c r="D8" s="60">
        <v>0</v>
      </c>
      <c r="E8" s="60">
        <f>food_insecure</f>
        <v>0.45200000000000001</v>
      </c>
      <c r="F8" s="60">
        <f>food_insecure</f>
        <v>0.45200000000000001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205</v>
      </c>
      <c r="C9" s="60">
        <v>0</v>
      </c>
      <c r="D9" s="60">
        <v>0</v>
      </c>
      <c r="E9" s="60">
        <f>food_insecure</f>
        <v>0.45200000000000001</v>
      </c>
      <c r="F9" s="60">
        <f>food_insecure</f>
        <v>0.45200000000000001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161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100</v>
      </c>
      <c r="B15" s="9" t="s">
        <v>168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0.45200000000000001</v>
      </c>
      <c r="I15" s="60">
        <f>food_insecure</f>
        <v>0.45200000000000001</v>
      </c>
      <c r="J15" s="60">
        <f>food_insecure</f>
        <v>0.45200000000000001</v>
      </c>
      <c r="K15" s="60">
        <f>food_insecure</f>
        <v>0.45200000000000001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169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180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181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182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0.16</v>
      </c>
      <c r="I19" s="60">
        <f>frac_malaria_risk</f>
        <v>0.16</v>
      </c>
      <c r="J19" s="60">
        <f>frac_malaria_risk</f>
        <v>0.16</v>
      </c>
      <c r="K19" s="60">
        <f>frac_malaria_risk</f>
        <v>0.16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190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75</v>
      </c>
      <c r="B24" s="11" t="s">
        <v>172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0.41799999999999998</v>
      </c>
      <c r="M24" s="60">
        <f>famplan_unmet_need</f>
        <v>0.41799999999999998</v>
      </c>
      <c r="N24" s="60">
        <f>famplan_unmet_need</f>
        <v>0.41799999999999998</v>
      </c>
      <c r="O24" s="60">
        <f>famplan_unmet_need</f>
        <v>0.41799999999999998</v>
      </c>
    </row>
    <row r="25" spans="1:15" ht="15.75" customHeight="1" x14ac:dyDescent="0.25">
      <c r="B25" s="11" t="s">
        <v>176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0.4076307480000001</v>
      </c>
      <c r="M25" s="60">
        <f>(1-food_insecure)*(0.49)+food_insecure*(0.7)</f>
        <v>0.58492000000000011</v>
      </c>
      <c r="N25" s="60">
        <f>(1-food_insecure)*(0.49)+food_insecure*(0.7)</f>
        <v>0.58492000000000011</v>
      </c>
      <c r="O25" s="60">
        <f>(1-food_insecure)*(0.49)+food_insecure*(0.7)</f>
        <v>0.58492000000000011</v>
      </c>
    </row>
    <row r="26" spans="1:15" ht="15.75" customHeight="1" x14ac:dyDescent="0.25">
      <c r="B26" s="11" t="s">
        <v>177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0.17469889200000002</v>
      </c>
      <c r="M26" s="60">
        <f>(1-food_insecure)*(0.21)+food_insecure*(0.3)</f>
        <v>0.25068000000000001</v>
      </c>
      <c r="N26" s="60">
        <f>(1-food_insecure)*(0.21)+food_insecure*(0.3)</f>
        <v>0.25068000000000001</v>
      </c>
      <c r="O26" s="60">
        <f>(1-food_insecure)*(0.21)+food_insecure*(0.3)</f>
        <v>0.25068000000000001</v>
      </c>
    </row>
    <row r="27" spans="1:15" ht="15.75" customHeight="1" x14ac:dyDescent="0.25">
      <c r="B27" s="11" t="s">
        <v>178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0.11457036000000002</v>
      </c>
      <c r="M27" s="60">
        <f>(1-food_insecure)*(0.3)</f>
        <v>0.16440000000000002</v>
      </c>
      <c r="N27" s="60">
        <f>(1-food_insecure)*(0.3)</f>
        <v>0.16440000000000002</v>
      </c>
      <c r="O27" s="60">
        <f>(1-food_insecure)*(0.3)</f>
        <v>0.16440000000000002</v>
      </c>
    </row>
    <row r="28" spans="1:15" ht="15.75" customHeight="1" x14ac:dyDescent="0.25">
      <c r="B28" s="11" t="s">
        <v>179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0.30309999999999998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173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174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175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183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186</v>
      </c>
      <c r="C34" s="60">
        <f t="shared" ref="C34:O34" si="3">frac_malaria_risk</f>
        <v>0.16</v>
      </c>
      <c r="D34" s="60">
        <f t="shared" si="3"/>
        <v>0.16</v>
      </c>
      <c r="E34" s="60">
        <f t="shared" si="3"/>
        <v>0.16</v>
      </c>
      <c r="F34" s="60">
        <f t="shared" si="3"/>
        <v>0.16</v>
      </c>
      <c r="G34" s="60">
        <f t="shared" si="3"/>
        <v>0.16</v>
      </c>
      <c r="H34" s="60">
        <f t="shared" si="3"/>
        <v>0.16</v>
      </c>
      <c r="I34" s="60">
        <f t="shared" si="3"/>
        <v>0.16</v>
      </c>
      <c r="J34" s="60">
        <f t="shared" si="3"/>
        <v>0.16</v>
      </c>
      <c r="K34" s="60">
        <f t="shared" si="3"/>
        <v>0.16</v>
      </c>
      <c r="L34" s="60">
        <f t="shared" si="3"/>
        <v>0.16</v>
      </c>
      <c r="M34" s="60">
        <f t="shared" si="3"/>
        <v>0.16</v>
      </c>
      <c r="N34" s="60">
        <f t="shared" si="3"/>
        <v>0.16</v>
      </c>
      <c r="O34" s="60">
        <f t="shared" si="3"/>
        <v>0.16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4tz5Ps79JeUZCd2Gl1lhnmgjmIDDQyAA3OX0l4IErWEsH48cnZ/PJlah7WVyCYDqf8t9UpX6WWE4/0ZmCoim+Q==" saltValue="ApOt2ufDYBG8z6vM8XMFKw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201</v>
      </c>
    </row>
    <row r="2" spans="1:1" x14ac:dyDescent="0.25">
      <c r="A2" s="8" t="s">
        <v>212</v>
      </c>
    </row>
    <row r="3" spans="1:1" x14ac:dyDescent="0.25">
      <c r="A3" s="8" t="s">
        <v>213</v>
      </c>
    </row>
    <row r="4" spans="1:1" x14ac:dyDescent="0.25">
      <c r="A4" s="8" t="s">
        <v>214</v>
      </c>
    </row>
  </sheetData>
  <sheetProtection algorithmName="SHA-512" hashValue="SQtlJ42G51w3iwFzSlhGF8R3YYVtslppepL1LMTVA5Mpv2dr/TkRyWfHHyibGiZewKUMf0adjgeZmWT0cADBag==" saltValue="JLvc/1dMisd0EKbULuRxeA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216</v>
      </c>
      <c r="B1" s="4" t="s">
        <v>215</v>
      </c>
      <c r="C1" s="4" t="s">
        <v>8</v>
      </c>
      <c r="D1" s="4" t="s">
        <v>144</v>
      </c>
      <c r="E1" s="4" t="s">
        <v>225</v>
      </c>
    </row>
    <row r="2" spans="1:5" ht="14" customHeight="1" x14ac:dyDescent="0.3">
      <c r="A2" s="28" t="s">
        <v>217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218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219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220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9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mJtZ8fho4BHZsL8GMB4TsyBH2EHRpDy1o9dINn4B1CkyQKVOVR6ydMp7ww7nbkJpvgp5dikSL2Huv8bXHT62Gg==" saltValue="6vjbYIP9oCfy2iM6FGg1Ug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C12" sqref="C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211</v>
      </c>
      <c r="B1" s="1" t="s">
        <v>160</v>
      </c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  <c r="H1" s="4" t="s">
        <v>122</v>
      </c>
      <c r="I1" s="4" t="s">
        <v>123</v>
      </c>
      <c r="J1" s="4" t="s">
        <v>124</v>
      </c>
      <c r="K1" s="4" t="s">
        <v>125</v>
      </c>
      <c r="L1" s="4" t="s">
        <v>69</v>
      </c>
      <c r="M1" s="4" t="s">
        <v>70</v>
      </c>
      <c r="N1" s="4" t="s">
        <v>71</v>
      </c>
      <c r="O1" s="4" t="s">
        <v>72</v>
      </c>
    </row>
    <row r="2" spans="1:15" ht="15.75" customHeight="1" x14ac:dyDescent="0.35">
      <c r="A2" s="4" t="s">
        <v>86</v>
      </c>
      <c r="B2" s="5" t="s">
        <v>170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171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157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158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159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184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185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205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161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100</v>
      </c>
      <c r="B18" s="5" t="s">
        <v>168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169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180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181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182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190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75</v>
      </c>
      <c r="B27" s="5" t="s">
        <v>172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176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177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178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179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210</v>
      </c>
      <c r="B33" s="5" t="s">
        <v>173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174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175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183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186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0g1Ecvvdwa1dHrynEOOKw7Ped9YXQEbJ6eSY6zkbDuIOLmFCL+a/Rn5mHln/HottzqcrEL2kxKdY9smZmtpmcA==" saltValue="8Mls6y4RbjKF+pLyUpdvtw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160</v>
      </c>
      <c r="B1" s="8" t="s">
        <v>226</v>
      </c>
      <c r="C1" s="8" t="s">
        <v>121</v>
      </c>
      <c r="D1" s="8" t="s">
        <v>227</v>
      </c>
      <c r="E1" s="8" t="s">
        <v>228</v>
      </c>
      <c r="F1" s="8" t="s">
        <v>128</v>
      </c>
      <c r="G1" s="8" t="s">
        <v>87</v>
      </c>
      <c r="H1" s="8" t="s">
        <v>43</v>
      </c>
      <c r="I1" s="8" t="s">
        <v>229</v>
      </c>
      <c r="J1" s="8" t="s">
        <v>36</v>
      </c>
      <c r="K1" s="8" t="s">
        <v>68</v>
      </c>
    </row>
    <row r="2" spans="1:11" ht="13.25" customHeight="1" x14ac:dyDescent="0.25">
      <c r="A2" s="5" t="s">
        <v>168</v>
      </c>
      <c r="B2" s="87"/>
      <c r="C2" s="87"/>
      <c r="D2" s="87"/>
      <c r="E2" s="87"/>
      <c r="F2" s="87"/>
      <c r="G2" s="87"/>
      <c r="H2" s="87"/>
      <c r="I2" s="87" t="s">
        <v>5</v>
      </c>
      <c r="J2" s="87"/>
      <c r="K2" s="87"/>
    </row>
    <row r="3" spans="1:11" ht="13.25" customHeight="1" x14ac:dyDescent="0.25">
      <c r="A3" s="5" t="s">
        <v>169</v>
      </c>
      <c r="B3" s="87"/>
      <c r="C3" s="87"/>
      <c r="D3" s="87"/>
      <c r="E3" s="87"/>
      <c r="F3" s="87"/>
      <c r="G3" s="87"/>
      <c r="H3" s="87" t="s">
        <v>5</v>
      </c>
      <c r="I3" s="87"/>
      <c r="J3" s="87"/>
      <c r="K3" s="87"/>
    </row>
    <row r="4" spans="1:11" ht="13.25" customHeight="1" x14ac:dyDescent="0.25">
      <c r="A4" s="5" t="s">
        <v>170</v>
      </c>
      <c r="B4" s="87"/>
      <c r="C4" s="87"/>
      <c r="D4" s="87" t="s">
        <v>5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171</v>
      </c>
      <c r="B5" s="87"/>
      <c r="C5" s="87" t="s">
        <v>5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172</v>
      </c>
      <c r="B6" s="87"/>
      <c r="C6" s="87"/>
      <c r="D6" s="87"/>
      <c r="E6" s="87"/>
      <c r="F6" s="87"/>
      <c r="G6" s="87"/>
      <c r="H6" s="87"/>
      <c r="I6" s="87"/>
      <c r="J6" s="87" t="s">
        <v>5</v>
      </c>
      <c r="K6" s="87" t="s">
        <v>5</v>
      </c>
    </row>
    <row r="7" spans="1:11" ht="13.25" customHeight="1" x14ac:dyDescent="0.25">
      <c r="A7" s="5" t="s">
        <v>173</v>
      </c>
      <c r="B7" s="87"/>
      <c r="C7" s="87" t="s">
        <v>5</v>
      </c>
      <c r="D7" s="87"/>
      <c r="E7" s="87"/>
      <c r="F7" s="87"/>
      <c r="G7" s="87"/>
      <c r="H7" s="87" t="s">
        <v>5</v>
      </c>
      <c r="I7" s="87"/>
      <c r="J7" s="87"/>
      <c r="K7" s="87"/>
    </row>
    <row r="8" spans="1:11" ht="13.25" customHeight="1" x14ac:dyDescent="0.25">
      <c r="A8" s="5" t="s">
        <v>174</v>
      </c>
      <c r="B8" s="87"/>
      <c r="C8" s="87" t="s">
        <v>5</v>
      </c>
      <c r="D8" s="87"/>
      <c r="E8" s="87"/>
      <c r="F8" s="87"/>
      <c r="G8" s="87"/>
      <c r="H8" s="87" t="s">
        <v>5</v>
      </c>
      <c r="I8" s="87"/>
      <c r="J8" s="87"/>
      <c r="K8" s="87"/>
    </row>
    <row r="9" spans="1:11" ht="13.25" customHeight="1" x14ac:dyDescent="0.25">
      <c r="A9" s="5" t="s">
        <v>175</v>
      </c>
      <c r="B9" s="87"/>
      <c r="C9" s="87" t="s">
        <v>5</v>
      </c>
      <c r="D9" s="87"/>
      <c r="E9" s="87"/>
      <c r="F9" s="87"/>
      <c r="G9" s="87"/>
      <c r="H9" s="87" t="s">
        <v>5</v>
      </c>
      <c r="I9" s="87"/>
      <c r="J9" s="87"/>
      <c r="K9" s="87"/>
    </row>
    <row r="10" spans="1:11" ht="13.25" customHeight="1" x14ac:dyDescent="0.25">
      <c r="A10" s="11" t="s">
        <v>176</v>
      </c>
      <c r="B10" s="87"/>
      <c r="C10" s="87" t="s">
        <v>5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177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178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179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180</v>
      </c>
      <c r="B14" s="87"/>
      <c r="C14" s="87" t="s">
        <v>5</v>
      </c>
      <c r="D14" s="87"/>
      <c r="E14" s="87"/>
      <c r="F14" s="87"/>
      <c r="G14" s="87"/>
      <c r="H14" s="87"/>
      <c r="I14" s="87" t="s">
        <v>5</v>
      </c>
      <c r="J14" s="87"/>
      <c r="K14" s="87"/>
    </row>
    <row r="15" spans="1:11" ht="13.25" customHeight="1" x14ac:dyDescent="0.25">
      <c r="A15" s="5" t="s">
        <v>181</v>
      </c>
      <c r="B15" s="87"/>
      <c r="C15" s="87" t="s">
        <v>5</v>
      </c>
      <c r="D15" s="87"/>
      <c r="E15" s="87"/>
      <c r="F15" s="87"/>
      <c r="G15" s="87"/>
      <c r="H15" s="87"/>
      <c r="I15" s="87" t="s">
        <v>5</v>
      </c>
      <c r="J15" s="87"/>
      <c r="K15" s="87"/>
    </row>
    <row r="16" spans="1:11" ht="13.25" customHeight="1" x14ac:dyDescent="0.25">
      <c r="A16" s="5" t="s">
        <v>182</v>
      </c>
      <c r="B16" s="87"/>
      <c r="C16" s="87" t="s">
        <v>5</v>
      </c>
      <c r="D16" s="87"/>
      <c r="E16" s="87"/>
      <c r="F16" s="87"/>
      <c r="G16" s="87"/>
      <c r="H16" s="87" t="s">
        <v>5</v>
      </c>
      <c r="I16" s="87" t="s">
        <v>5</v>
      </c>
      <c r="J16" s="87"/>
      <c r="K16" s="87"/>
    </row>
    <row r="17" spans="1:11" ht="13.25" customHeight="1" x14ac:dyDescent="0.25">
      <c r="A17" s="5" t="s">
        <v>183</v>
      </c>
      <c r="B17" s="87"/>
      <c r="C17" s="87" t="s">
        <v>5</v>
      </c>
      <c r="D17" s="87"/>
      <c r="E17" s="87"/>
      <c r="F17" s="87"/>
      <c r="G17" s="87"/>
      <c r="H17" s="87"/>
      <c r="I17" s="87"/>
      <c r="J17" s="87"/>
      <c r="K17" s="87"/>
    </row>
    <row r="18" spans="1:11" ht="13.25" customHeight="1" x14ac:dyDescent="0.25">
      <c r="A18" s="5" t="s">
        <v>157</v>
      </c>
      <c r="B18" s="87" t="s">
        <v>5</v>
      </c>
      <c r="C18" s="87"/>
      <c r="D18" s="87"/>
      <c r="E18" s="87"/>
      <c r="F18" s="87" t="s">
        <v>5</v>
      </c>
      <c r="G18" s="87"/>
      <c r="H18" s="87"/>
      <c r="I18" s="87"/>
      <c r="J18" s="87"/>
      <c r="K18" s="87"/>
    </row>
    <row r="19" spans="1:11" ht="13.25" customHeight="1" x14ac:dyDescent="0.25">
      <c r="A19" s="5" t="s">
        <v>158</v>
      </c>
      <c r="B19" s="87" t="s">
        <v>5</v>
      </c>
      <c r="C19" s="87"/>
      <c r="D19" s="87"/>
      <c r="E19" s="87"/>
      <c r="F19" s="87" t="s">
        <v>5</v>
      </c>
      <c r="G19" s="87"/>
      <c r="H19" s="87"/>
      <c r="I19" s="87"/>
      <c r="J19" s="87"/>
      <c r="K19" s="87"/>
    </row>
    <row r="20" spans="1:11" ht="13.25" customHeight="1" x14ac:dyDescent="0.25">
      <c r="A20" s="5" t="s">
        <v>159</v>
      </c>
      <c r="B20" s="87" t="s">
        <v>5</v>
      </c>
      <c r="C20" s="87"/>
      <c r="D20" s="87"/>
      <c r="E20" s="87"/>
      <c r="F20" s="87" t="s">
        <v>5</v>
      </c>
      <c r="G20" s="87"/>
      <c r="H20" s="87"/>
      <c r="I20" s="87"/>
      <c r="J20" s="87"/>
      <c r="K20" s="87"/>
    </row>
    <row r="21" spans="1:11" ht="13.25" customHeight="1" x14ac:dyDescent="0.25">
      <c r="A21" s="5" t="s">
        <v>184</v>
      </c>
      <c r="B21" s="87"/>
      <c r="C21" s="87"/>
      <c r="D21" s="87"/>
      <c r="E21" s="87"/>
      <c r="F21" s="87"/>
      <c r="G21" s="87"/>
      <c r="H21" s="87" t="s">
        <v>5</v>
      </c>
      <c r="I21" s="87" t="s">
        <v>5</v>
      </c>
      <c r="J21" s="87"/>
      <c r="K21" s="87"/>
    </row>
    <row r="22" spans="1:11" x14ac:dyDescent="0.25">
      <c r="A22" s="5" t="s">
        <v>185</v>
      </c>
      <c r="B22" s="87" t="s">
        <v>5</v>
      </c>
      <c r="C22" s="87" t="s">
        <v>5</v>
      </c>
      <c r="D22" s="87" t="s">
        <v>5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186</v>
      </c>
      <c r="B23" s="87"/>
      <c r="C23" s="87" t="s">
        <v>5</v>
      </c>
      <c r="D23" s="87"/>
      <c r="E23" s="87"/>
      <c r="F23" s="87"/>
      <c r="G23" s="87"/>
      <c r="H23" s="87"/>
      <c r="I23" s="87" t="s">
        <v>5</v>
      </c>
      <c r="J23" s="87"/>
      <c r="K23" s="87"/>
    </row>
    <row r="24" spans="1:11" x14ac:dyDescent="0.25">
      <c r="A24" s="5" t="s">
        <v>187</v>
      </c>
      <c r="B24" s="87"/>
      <c r="C24" s="87"/>
      <c r="D24" s="87"/>
      <c r="E24" s="87"/>
      <c r="F24" s="87"/>
      <c r="G24" s="87"/>
      <c r="H24" s="87" t="s">
        <v>5</v>
      </c>
      <c r="I24" s="87"/>
      <c r="J24" s="87"/>
      <c r="K24" s="87"/>
    </row>
    <row r="25" spans="1:11" x14ac:dyDescent="0.25">
      <c r="A25" s="5" t="s">
        <v>188</v>
      </c>
      <c r="B25" s="87"/>
      <c r="C25" s="87"/>
      <c r="D25" s="87"/>
      <c r="E25" s="87"/>
      <c r="F25" s="87"/>
      <c r="G25" s="87"/>
      <c r="H25" s="87" t="s">
        <v>5</v>
      </c>
      <c r="I25" s="87"/>
      <c r="J25" s="87"/>
      <c r="K25" s="87"/>
    </row>
    <row r="26" spans="1:11" x14ac:dyDescent="0.25">
      <c r="A26" s="5" t="s">
        <v>189</v>
      </c>
      <c r="B26" s="87"/>
      <c r="C26" s="87" t="s">
        <v>5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190</v>
      </c>
      <c r="B27" s="87"/>
      <c r="C27" s="87" t="s">
        <v>5</v>
      </c>
      <c r="D27" s="87"/>
      <c r="E27" s="87"/>
      <c r="F27" s="87"/>
      <c r="G27" s="87"/>
      <c r="H27" s="87"/>
      <c r="I27" s="87" t="s">
        <v>5</v>
      </c>
      <c r="J27" s="87"/>
      <c r="K27" s="87"/>
    </row>
    <row r="28" spans="1:11" x14ac:dyDescent="0.25">
      <c r="A28" s="5" t="s">
        <v>191</v>
      </c>
      <c r="B28" s="87"/>
      <c r="C28" s="87"/>
      <c r="D28" s="87"/>
      <c r="E28" s="87"/>
      <c r="F28" s="87"/>
      <c r="G28" s="87"/>
      <c r="H28" s="87" t="s">
        <v>5</v>
      </c>
      <c r="I28" s="87"/>
      <c r="J28" s="87"/>
      <c r="K28" s="87"/>
    </row>
    <row r="29" spans="1:11" x14ac:dyDescent="0.25">
      <c r="A29" s="5" t="s">
        <v>192</v>
      </c>
      <c r="B29" s="87" t="s">
        <v>5</v>
      </c>
      <c r="C29" s="87"/>
      <c r="D29" s="87" t="s">
        <v>5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205</v>
      </c>
      <c r="B30" s="87" t="s">
        <v>5</v>
      </c>
      <c r="C30" s="87" t="s">
        <v>5</v>
      </c>
      <c r="D30" s="87" t="s">
        <v>5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161</v>
      </c>
      <c r="B31" s="87"/>
      <c r="C31" s="87"/>
      <c r="D31" s="87"/>
      <c r="E31" s="87" t="s">
        <v>5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5</v>
      </c>
      <c r="H32" s="87" t="s">
        <v>5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5</v>
      </c>
      <c r="H33" s="87" t="s">
        <v>5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5</v>
      </c>
      <c r="H34" s="87" t="s">
        <v>5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5</v>
      </c>
      <c r="H35" s="87" t="s">
        <v>5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5</v>
      </c>
      <c r="H36" s="87" t="s">
        <v>5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5</v>
      </c>
      <c r="H37" s="87" t="s">
        <v>5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5</v>
      </c>
      <c r="I38" s="87"/>
      <c r="J38" s="87"/>
      <c r="K38" s="87"/>
    </row>
    <row r="39" spans="1:11" x14ac:dyDescent="0.25">
      <c r="A39" s="5" t="s">
        <v>200</v>
      </c>
      <c r="B39" s="87" t="s">
        <v>5</v>
      </c>
      <c r="C39" s="87"/>
      <c r="D39" s="87"/>
      <c r="E39" s="87"/>
      <c r="F39" s="87"/>
      <c r="G39" s="87" t="s">
        <v>5</v>
      </c>
      <c r="H39" s="87" t="s">
        <v>5</v>
      </c>
      <c r="I39" s="87"/>
      <c r="J39" s="87"/>
      <c r="K39" s="87"/>
    </row>
  </sheetData>
  <sheetProtection algorithmName="SHA-512" hashValue="lPZdMjTcheaYa1ci3t2ywS1S324YIB03FWbkk8PDJj9LSAIorDhv5mqub4quQ5jEpxKAVa2bFCxZS4VAwkpttg==" saltValue="l9XB0mYzIZyR91CA5DhSVg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226</v>
      </c>
      <c r="C1" s="8" t="s">
        <v>121</v>
      </c>
      <c r="D1" s="8" t="s">
        <v>227</v>
      </c>
      <c r="E1" s="8" t="s">
        <v>228</v>
      </c>
      <c r="F1" s="8" t="s">
        <v>128</v>
      </c>
      <c r="G1" s="8" t="s">
        <v>87</v>
      </c>
      <c r="H1" s="8" t="s">
        <v>43</v>
      </c>
      <c r="I1" s="8" t="s">
        <v>229</v>
      </c>
      <c r="J1" s="8" t="s">
        <v>36</v>
      </c>
      <c r="K1" s="8" t="s">
        <v>68</v>
      </c>
    </row>
    <row r="2" spans="1:11" ht="13.25" customHeight="1" x14ac:dyDescent="0.25">
      <c r="A2" s="8" t="s">
        <v>109</v>
      </c>
      <c r="B2" s="87" t="s">
        <v>5</v>
      </c>
      <c r="C2" s="87" t="s">
        <v>5</v>
      </c>
      <c r="D2" s="87" t="s">
        <v>5</v>
      </c>
      <c r="E2" s="87" t="s">
        <v>5</v>
      </c>
      <c r="F2" s="87" t="s">
        <v>5</v>
      </c>
      <c r="G2" s="87" t="s">
        <v>5</v>
      </c>
      <c r="H2" s="87" t="s">
        <v>5</v>
      </c>
      <c r="I2" s="87"/>
      <c r="J2" s="87"/>
      <c r="K2" s="87"/>
    </row>
    <row r="3" spans="1:11" ht="13.25" customHeight="1" x14ac:dyDescent="0.25">
      <c r="A3" s="8" t="s">
        <v>96</v>
      </c>
      <c r="B3" s="87" t="s">
        <v>5</v>
      </c>
      <c r="C3" s="87" t="s">
        <v>5</v>
      </c>
      <c r="D3" s="87" t="s">
        <v>5</v>
      </c>
      <c r="E3" s="87" t="s">
        <v>5</v>
      </c>
      <c r="F3" s="87" t="s">
        <v>5</v>
      </c>
      <c r="G3" s="87" t="s">
        <v>5</v>
      </c>
      <c r="H3" s="87" t="s">
        <v>5</v>
      </c>
      <c r="I3" s="87"/>
      <c r="J3" s="87"/>
      <c r="K3" s="87"/>
    </row>
    <row r="4" spans="1:11" ht="13.25" customHeight="1" x14ac:dyDescent="0.25">
      <c r="A4" s="8" t="s">
        <v>97</v>
      </c>
      <c r="B4" s="87" t="s">
        <v>5</v>
      </c>
      <c r="C4" s="87" t="s">
        <v>5</v>
      </c>
      <c r="D4" s="87" t="s">
        <v>5</v>
      </c>
      <c r="E4" s="87" t="s">
        <v>5</v>
      </c>
      <c r="F4" s="87" t="s">
        <v>5</v>
      </c>
      <c r="G4" s="87" t="s">
        <v>5</v>
      </c>
      <c r="H4" s="87" t="s">
        <v>5</v>
      </c>
      <c r="I4" s="87"/>
      <c r="J4" s="87"/>
      <c r="K4" s="87"/>
    </row>
    <row r="5" spans="1:11" ht="13.25" customHeight="1" x14ac:dyDescent="0.25">
      <c r="A5" s="8" t="s">
        <v>98</v>
      </c>
      <c r="B5" s="87" t="s">
        <v>5</v>
      </c>
      <c r="C5" s="87" t="s">
        <v>5</v>
      </c>
      <c r="D5" s="87" t="s">
        <v>5</v>
      </c>
      <c r="E5" s="87" t="s">
        <v>5</v>
      </c>
      <c r="F5" s="87" t="s">
        <v>5</v>
      </c>
      <c r="G5" s="87" t="s">
        <v>5</v>
      </c>
      <c r="H5" s="87" t="s">
        <v>5</v>
      </c>
      <c r="I5" s="87"/>
      <c r="J5" s="87"/>
      <c r="K5" s="87"/>
    </row>
    <row r="6" spans="1:11" ht="13.25" customHeight="1" x14ac:dyDescent="0.25">
      <c r="A6" s="8" t="s">
        <v>99</v>
      </c>
      <c r="B6" s="87" t="s">
        <v>5</v>
      </c>
      <c r="C6" s="87" t="s">
        <v>5</v>
      </c>
      <c r="D6" s="87" t="s">
        <v>5</v>
      </c>
      <c r="E6" s="87" t="s">
        <v>5</v>
      </c>
      <c r="F6" s="87" t="s">
        <v>5</v>
      </c>
      <c r="G6" s="87" t="s">
        <v>5</v>
      </c>
      <c r="H6" s="87" t="s">
        <v>5</v>
      </c>
      <c r="I6" s="87"/>
      <c r="J6" s="87"/>
      <c r="K6" s="87"/>
    </row>
    <row r="7" spans="1:11" ht="13.25" customHeight="1" x14ac:dyDescent="0.25">
      <c r="A7" s="8" t="s">
        <v>122</v>
      </c>
      <c r="B7" s="87"/>
      <c r="C7" s="87" t="s">
        <v>5</v>
      </c>
      <c r="D7" s="87"/>
      <c r="E7" s="87"/>
      <c r="F7" s="87"/>
      <c r="G7" s="87"/>
      <c r="H7" s="87" t="s">
        <v>5</v>
      </c>
      <c r="I7" s="87" t="s">
        <v>5</v>
      </c>
      <c r="J7" s="87"/>
      <c r="K7" s="87"/>
    </row>
    <row r="8" spans="1:11" ht="13.25" customHeight="1" x14ac:dyDescent="0.25">
      <c r="A8" s="8" t="s">
        <v>123</v>
      </c>
      <c r="B8" s="87"/>
      <c r="C8" s="87" t="s">
        <v>5</v>
      </c>
      <c r="D8" s="87"/>
      <c r="E8" s="87"/>
      <c r="F8" s="87"/>
      <c r="G8" s="87"/>
      <c r="H8" s="87" t="s">
        <v>5</v>
      </c>
      <c r="I8" s="87" t="s">
        <v>5</v>
      </c>
      <c r="J8" s="87"/>
      <c r="K8" s="87"/>
    </row>
    <row r="9" spans="1:11" ht="13.25" customHeight="1" x14ac:dyDescent="0.25">
      <c r="A9" s="8" t="s">
        <v>124</v>
      </c>
      <c r="B9" s="87"/>
      <c r="C9" s="87" t="s">
        <v>5</v>
      </c>
      <c r="D9" s="87"/>
      <c r="E9" s="87"/>
      <c r="F9" s="87"/>
      <c r="G9" s="87"/>
      <c r="H9" s="87" t="s">
        <v>5</v>
      </c>
      <c r="I9" s="87" t="s">
        <v>5</v>
      </c>
      <c r="J9" s="87"/>
      <c r="K9" s="87"/>
    </row>
    <row r="10" spans="1:11" ht="13.25" customHeight="1" x14ac:dyDescent="0.25">
      <c r="A10" s="8" t="s">
        <v>125</v>
      </c>
      <c r="B10" s="87"/>
      <c r="C10" s="87" t="s">
        <v>5</v>
      </c>
      <c r="D10" s="87"/>
      <c r="E10" s="87"/>
      <c r="F10" s="87"/>
      <c r="G10" s="87"/>
      <c r="H10" s="87" t="s">
        <v>5</v>
      </c>
      <c r="I10" s="87" t="s">
        <v>5</v>
      </c>
      <c r="J10" s="87"/>
      <c r="K10" s="87"/>
    </row>
    <row r="11" spans="1:11" ht="13.25" customHeight="1" x14ac:dyDescent="0.25">
      <c r="A11" s="8" t="s">
        <v>69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 t="s">
        <v>5</v>
      </c>
      <c r="K11" s="87" t="s">
        <v>5</v>
      </c>
    </row>
    <row r="12" spans="1:11" ht="13.25" customHeight="1" x14ac:dyDescent="0.25">
      <c r="A12" s="8" t="s">
        <v>70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 t="s">
        <v>5</v>
      </c>
    </row>
    <row r="13" spans="1:11" ht="13.25" customHeight="1" x14ac:dyDescent="0.25">
      <c r="A13" s="8" t="s">
        <v>71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 t="s">
        <v>5</v>
      </c>
    </row>
    <row r="14" spans="1:11" ht="13.25" customHeight="1" x14ac:dyDescent="0.25">
      <c r="A14" s="8" t="s">
        <v>72</v>
      </c>
      <c r="B14" s="87"/>
      <c r="C14" s="87" t="s">
        <v>5</v>
      </c>
      <c r="D14" s="87"/>
      <c r="E14" s="87"/>
      <c r="F14" s="87"/>
      <c r="G14" s="87"/>
      <c r="H14" s="87"/>
      <c r="I14" s="87"/>
      <c r="J14" s="87"/>
      <c r="K14" s="87" t="s">
        <v>5</v>
      </c>
    </row>
  </sheetData>
  <sheetProtection algorithmName="SHA-512" hashValue="O/e1Pxp8n9AoWKlqZt70dE8InzVPN2b/C/gP0zZAIQVotYdrlcQR0mVczKsq6pbreBsg3r8K28mUnASbBzVO7A==" saltValue="q1oY1PTOUogSDAGs/A2hqQ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27" zoomScale="85" zoomScaleNormal="85" workbookViewId="0">
      <selection activeCell="D8" sqref="D8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152</v>
      </c>
      <c r="C1" s="4" t="s">
        <v>164</v>
      </c>
      <c r="D1" s="4" t="s">
        <v>109</v>
      </c>
      <c r="E1" s="4" t="s">
        <v>96</v>
      </c>
      <c r="F1" s="4" t="s">
        <v>97</v>
      </c>
      <c r="G1" s="4" t="s">
        <v>98</v>
      </c>
      <c r="H1" s="4" t="s">
        <v>99</v>
      </c>
    </row>
    <row r="2" spans="1:10" ht="13" customHeight="1" x14ac:dyDescent="0.3">
      <c r="A2" s="4" t="s">
        <v>232</v>
      </c>
      <c r="B2" s="103" t="s">
        <v>100</v>
      </c>
      <c r="C2" s="8" t="s">
        <v>153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154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155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109</v>
      </c>
      <c r="C5" s="8" t="s">
        <v>153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154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155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96</v>
      </c>
      <c r="C8" s="8" t="s">
        <v>153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154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155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97</v>
      </c>
      <c r="C11" s="8" t="s">
        <v>153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154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155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98</v>
      </c>
      <c r="C14" s="8" t="s">
        <v>153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ht="13.25" customHeight="1" x14ac:dyDescent="0.25">
      <c r="B15" s="104"/>
      <c r="C15" s="8" t="s">
        <v>154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ht="13.25" customHeight="1" x14ac:dyDescent="0.25">
      <c r="B16" s="104"/>
      <c r="C16" s="8" t="s">
        <v>155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156</v>
      </c>
      <c r="C17" s="8" t="s">
        <v>155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100</v>
      </c>
      <c r="C19" s="8" t="s">
        <v>153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ht="13.25" customHeight="1" x14ac:dyDescent="0.25">
      <c r="B20" s="104"/>
      <c r="C20" s="8" t="s">
        <v>154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ht="13.25" customHeight="1" x14ac:dyDescent="0.25">
      <c r="B21" s="104"/>
      <c r="C21" s="8" t="s">
        <v>155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ht="13.25" customHeight="1" x14ac:dyDescent="0.25">
      <c r="B22" s="103" t="s">
        <v>109</v>
      </c>
      <c r="C22" s="8" t="s">
        <v>153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ht="13.25" customHeight="1" x14ac:dyDescent="0.25">
      <c r="B23" s="104"/>
      <c r="C23" s="8" t="s">
        <v>154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ht="13.25" customHeight="1" x14ac:dyDescent="0.25">
      <c r="B24" s="104"/>
      <c r="C24" s="8" t="s">
        <v>155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ht="13.25" customHeight="1" x14ac:dyDescent="0.25">
      <c r="B25" s="103" t="s">
        <v>96</v>
      </c>
      <c r="C25" s="8" t="s">
        <v>153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ht="13.25" customHeight="1" x14ac:dyDescent="0.25">
      <c r="B26" s="104"/>
      <c r="C26" s="8" t="s">
        <v>154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ht="13.25" customHeight="1" x14ac:dyDescent="0.25">
      <c r="B27" s="104"/>
      <c r="C27" s="8" t="s">
        <v>155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ht="13.25" customHeight="1" x14ac:dyDescent="0.25">
      <c r="B28" s="103" t="s">
        <v>97</v>
      </c>
      <c r="C28" s="8" t="s">
        <v>153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ht="13.25" customHeight="1" x14ac:dyDescent="0.25">
      <c r="B29" s="104"/>
      <c r="C29" s="8" t="s">
        <v>154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ht="13.25" customHeight="1" x14ac:dyDescent="0.25">
      <c r="B30" s="104"/>
      <c r="C30" s="8" t="s">
        <v>155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ht="13.25" customHeight="1" x14ac:dyDescent="0.25">
      <c r="B31" s="103" t="s">
        <v>98</v>
      </c>
      <c r="C31" s="8" t="s">
        <v>153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ht="13.25" customHeight="1" x14ac:dyDescent="0.25">
      <c r="B32" s="104"/>
      <c r="C32" s="8" t="s">
        <v>154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ht="13.25" customHeight="1" x14ac:dyDescent="0.25">
      <c r="B33" s="104"/>
      <c r="C33" s="8" t="s">
        <v>155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156</v>
      </c>
      <c r="C34" s="8" t="s">
        <v>155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ht="13.25" customHeight="1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100</v>
      </c>
      <c r="C36" s="8" t="s">
        <v>153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ht="13.25" customHeight="1" x14ac:dyDescent="0.25">
      <c r="B37" s="104"/>
      <c r="C37" s="8" t="s">
        <v>154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ht="13.25" customHeight="1" x14ac:dyDescent="0.25">
      <c r="B38" s="104"/>
      <c r="C38" s="8" t="s">
        <v>155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ht="13.25" customHeight="1" x14ac:dyDescent="0.25">
      <c r="B39" s="103" t="s">
        <v>109</v>
      </c>
      <c r="C39" s="8" t="s">
        <v>153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ht="13.25" customHeight="1" x14ac:dyDescent="0.25">
      <c r="B40" s="104"/>
      <c r="C40" s="8" t="s">
        <v>154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ht="13.25" customHeight="1" x14ac:dyDescent="0.25">
      <c r="B41" s="104"/>
      <c r="C41" s="8" t="s">
        <v>155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ht="13.25" customHeight="1" x14ac:dyDescent="0.25">
      <c r="B42" s="103" t="s">
        <v>96</v>
      </c>
      <c r="C42" s="8" t="s">
        <v>153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ht="13.25" customHeight="1" x14ac:dyDescent="0.25">
      <c r="B43" s="104"/>
      <c r="C43" s="8" t="s">
        <v>154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ht="13.25" customHeight="1" x14ac:dyDescent="0.25">
      <c r="B44" s="104"/>
      <c r="C44" s="8" t="s">
        <v>155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ht="13.25" customHeight="1" x14ac:dyDescent="0.25">
      <c r="B45" s="103" t="s">
        <v>97</v>
      </c>
      <c r="C45" s="8" t="s">
        <v>153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ht="13.25" customHeight="1" x14ac:dyDescent="0.25">
      <c r="B46" s="104"/>
      <c r="C46" s="8" t="s">
        <v>154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ht="13.25" customHeight="1" x14ac:dyDescent="0.25">
      <c r="B47" s="104"/>
      <c r="C47" s="8" t="s">
        <v>155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ht="13.25" customHeight="1" x14ac:dyDescent="0.25">
      <c r="B48" s="103" t="s">
        <v>98</v>
      </c>
      <c r="C48" s="8" t="s">
        <v>153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ht="13.25" customHeight="1" x14ac:dyDescent="0.25">
      <c r="B49" s="104"/>
      <c r="C49" s="8" t="s">
        <v>154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ht="13.25" customHeight="1" x14ac:dyDescent="0.25">
      <c r="B50" s="104"/>
      <c r="C50" s="8" t="s">
        <v>155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156</v>
      </c>
      <c r="C51" s="8" t="s">
        <v>155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152</v>
      </c>
      <c r="C54" s="4" t="s">
        <v>164</v>
      </c>
      <c r="D54" s="4" t="s">
        <v>109</v>
      </c>
      <c r="E54" s="4" t="s">
        <v>96</v>
      </c>
      <c r="F54" s="4" t="s">
        <v>97</v>
      </c>
      <c r="G54" s="4" t="s">
        <v>98</v>
      </c>
      <c r="H54" s="4" t="s">
        <v>99</v>
      </c>
    </row>
    <row r="55" spans="1:8" ht="13" customHeight="1" x14ac:dyDescent="0.3">
      <c r="A55" s="4" t="s">
        <v>236</v>
      </c>
      <c r="B55" s="103" t="s">
        <v>100</v>
      </c>
      <c r="C55" s="8" t="s">
        <v>153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ht="13.25" customHeight="1" x14ac:dyDescent="0.25">
      <c r="B56" s="104"/>
      <c r="C56" s="8" t="s">
        <v>154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ht="13.25" customHeight="1" x14ac:dyDescent="0.25">
      <c r="B57" s="104"/>
      <c r="C57" s="8" t="s">
        <v>155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ht="13.25" customHeight="1" x14ac:dyDescent="0.25">
      <c r="B58" s="103" t="s">
        <v>109</v>
      </c>
      <c r="C58" s="8" t="s">
        <v>153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ht="13.25" customHeight="1" x14ac:dyDescent="0.25">
      <c r="B59" s="104"/>
      <c r="C59" s="8" t="s">
        <v>154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ht="13.25" customHeight="1" x14ac:dyDescent="0.25">
      <c r="B60" s="104"/>
      <c r="C60" s="8" t="s">
        <v>155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ht="13.25" customHeight="1" x14ac:dyDescent="0.25">
      <c r="B61" s="103" t="s">
        <v>96</v>
      </c>
      <c r="C61" s="8" t="s">
        <v>153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ht="13.25" customHeight="1" x14ac:dyDescent="0.25">
      <c r="B62" s="104"/>
      <c r="C62" s="8" t="s">
        <v>154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ht="13.25" customHeight="1" x14ac:dyDescent="0.25">
      <c r="B63" s="104"/>
      <c r="C63" s="8" t="s">
        <v>155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ht="13.25" customHeight="1" x14ac:dyDescent="0.25">
      <c r="B64" s="103" t="s">
        <v>97</v>
      </c>
      <c r="C64" s="8" t="s">
        <v>153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ht="13.25" customHeight="1" x14ac:dyDescent="0.25">
      <c r="B65" s="104"/>
      <c r="C65" s="8" t="s">
        <v>154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ht="13.25" customHeight="1" x14ac:dyDescent="0.25">
      <c r="B66" s="104"/>
      <c r="C66" s="8" t="s">
        <v>155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ht="13.25" customHeight="1" x14ac:dyDescent="0.25">
      <c r="B67" s="103" t="s">
        <v>98</v>
      </c>
      <c r="C67" s="8" t="s">
        <v>153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ht="13.25" customHeight="1" x14ac:dyDescent="0.25">
      <c r="B68" s="104"/>
      <c r="C68" s="8" t="s">
        <v>154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ht="13.25" customHeight="1" x14ac:dyDescent="0.25">
      <c r="B69" s="104"/>
      <c r="C69" s="8" t="s">
        <v>155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156</v>
      </c>
      <c r="C70" s="8" t="s">
        <v>155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ht="13.25" customHeight="1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100</v>
      </c>
      <c r="C72" s="8" t="s">
        <v>153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ht="13.25" customHeight="1" x14ac:dyDescent="0.25">
      <c r="B73" s="104"/>
      <c r="C73" s="8" t="s">
        <v>154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ht="13.25" customHeight="1" x14ac:dyDescent="0.25">
      <c r="B74" s="104"/>
      <c r="C74" s="8" t="s">
        <v>155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ht="13.25" customHeight="1" x14ac:dyDescent="0.25">
      <c r="B75" s="103" t="s">
        <v>109</v>
      </c>
      <c r="C75" s="8" t="s">
        <v>153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ht="13.25" customHeight="1" x14ac:dyDescent="0.25">
      <c r="B76" s="104"/>
      <c r="C76" s="8" t="s">
        <v>154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ht="13.25" customHeight="1" x14ac:dyDescent="0.25">
      <c r="B77" s="104"/>
      <c r="C77" s="8" t="s">
        <v>155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ht="13.25" customHeight="1" x14ac:dyDescent="0.25">
      <c r="B78" s="103" t="s">
        <v>96</v>
      </c>
      <c r="C78" s="8" t="s">
        <v>153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ht="13.25" customHeight="1" x14ac:dyDescent="0.25">
      <c r="B79" s="104"/>
      <c r="C79" s="8" t="s">
        <v>154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ht="13.25" customHeight="1" x14ac:dyDescent="0.25">
      <c r="B80" s="104"/>
      <c r="C80" s="8" t="s">
        <v>155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ht="13.25" customHeight="1" x14ac:dyDescent="0.25">
      <c r="B81" s="103" t="s">
        <v>97</v>
      </c>
      <c r="C81" s="8" t="s">
        <v>153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ht="13.25" customHeight="1" x14ac:dyDescent="0.25">
      <c r="B82" s="104"/>
      <c r="C82" s="8" t="s">
        <v>154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ht="13.25" customHeight="1" x14ac:dyDescent="0.25">
      <c r="B83" s="104"/>
      <c r="C83" s="8" t="s">
        <v>155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ht="13.25" customHeight="1" x14ac:dyDescent="0.25">
      <c r="B84" s="103" t="s">
        <v>98</v>
      </c>
      <c r="C84" s="8" t="s">
        <v>153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ht="13.25" customHeight="1" x14ac:dyDescent="0.25">
      <c r="B85" s="104"/>
      <c r="C85" s="8" t="s">
        <v>154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ht="13.25" customHeight="1" x14ac:dyDescent="0.25">
      <c r="B86" s="104"/>
      <c r="C86" s="8" t="s">
        <v>155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156</v>
      </c>
      <c r="C87" s="8" t="s">
        <v>155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ht="13.25" customHeight="1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100</v>
      </c>
      <c r="C89" s="8" t="s">
        <v>153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ht="13.25" customHeight="1" x14ac:dyDescent="0.25">
      <c r="B90" s="104"/>
      <c r="C90" s="8" t="s">
        <v>154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ht="13.25" customHeight="1" x14ac:dyDescent="0.25">
      <c r="B91" s="104"/>
      <c r="C91" s="8" t="s">
        <v>155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ht="13.25" customHeight="1" x14ac:dyDescent="0.25">
      <c r="B92" s="103" t="s">
        <v>109</v>
      </c>
      <c r="C92" s="8" t="s">
        <v>153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ht="13.25" customHeight="1" x14ac:dyDescent="0.25">
      <c r="B93" s="104"/>
      <c r="C93" s="8" t="s">
        <v>154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ht="13.25" customHeight="1" x14ac:dyDescent="0.25">
      <c r="B94" s="104"/>
      <c r="C94" s="8" t="s">
        <v>155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ht="13.25" customHeight="1" x14ac:dyDescent="0.25">
      <c r="B95" s="103" t="s">
        <v>96</v>
      </c>
      <c r="C95" s="8" t="s">
        <v>153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ht="13.25" customHeight="1" x14ac:dyDescent="0.25">
      <c r="B96" s="104"/>
      <c r="C96" s="8" t="s">
        <v>154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ht="13.25" customHeight="1" x14ac:dyDescent="0.25">
      <c r="B97" s="104"/>
      <c r="C97" s="8" t="s">
        <v>155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ht="13.25" customHeight="1" x14ac:dyDescent="0.25">
      <c r="B98" s="103" t="s">
        <v>97</v>
      </c>
      <c r="C98" s="8" t="s">
        <v>153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ht="13.25" customHeight="1" x14ac:dyDescent="0.25">
      <c r="B99" s="104"/>
      <c r="C99" s="8" t="s">
        <v>154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ht="13.25" customHeight="1" x14ac:dyDescent="0.25">
      <c r="B100" s="104"/>
      <c r="C100" s="8" t="s">
        <v>155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ht="13.25" customHeight="1" x14ac:dyDescent="0.25">
      <c r="B101" s="103" t="s">
        <v>98</v>
      </c>
      <c r="C101" s="8" t="s">
        <v>153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ht="13.25" customHeight="1" x14ac:dyDescent="0.25">
      <c r="B102" s="104"/>
      <c r="C102" s="8" t="s">
        <v>154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ht="13.25" customHeight="1" x14ac:dyDescent="0.25">
      <c r="B103" s="104"/>
      <c r="C103" s="8" t="s">
        <v>155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156</v>
      </c>
      <c r="C104" s="8" t="s">
        <v>155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152</v>
      </c>
      <c r="C107" s="4" t="s">
        <v>164</v>
      </c>
      <c r="D107" s="4" t="s">
        <v>109</v>
      </c>
      <c r="E107" s="4" t="s">
        <v>96</v>
      </c>
      <c r="F107" s="4" t="s">
        <v>97</v>
      </c>
      <c r="G107" s="4" t="s">
        <v>98</v>
      </c>
      <c r="H107" s="4" t="s">
        <v>99</v>
      </c>
    </row>
    <row r="108" spans="1:8" ht="13" customHeight="1" x14ac:dyDescent="0.3">
      <c r="A108" s="4" t="s">
        <v>240</v>
      </c>
      <c r="B108" s="103" t="s">
        <v>100</v>
      </c>
      <c r="C108" s="8" t="s">
        <v>153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ht="13.25" customHeight="1" x14ac:dyDescent="0.25">
      <c r="B109" s="104"/>
      <c r="C109" s="8" t="s">
        <v>154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ht="13.25" customHeight="1" x14ac:dyDescent="0.25">
      <c r="B110" s="104"/>
      <c r="C110" s="8" t="s">
        <v>155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ht="13.25" customHeight="1" x14ac:dyDescent="0.25">
      <c r="B111" s="103" t="s">
        <v>109</v>
      </c>
      <c r="C111" s="8" t="s">
        <v>153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ht="13.25" customHeight="1" x14ac:dyDescent="0.25">
      <c r="B112" s="104"/>
      <c r="C112" s="8" t="s">
        <v>154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ht="13.25" customHeight="1" x14ac:dyDescent="0.25">
      <c r="B113" s="104"/>
      <c r="C113" s="8" t="s">
        <v>155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ht="13.25" customHeight="1" x14ac:dyDescent="0.25">
      <c r="B114" s="103" t="s">
        <v>96</v>
      </c>
      <c r="C114" s="8" t="s">
        <v>153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ht="13.25" customHeight="1" x14ac:dyDescent="0.25">
      <c r="B115" s="104"/>
      <c r="C115" s="8" t="s">
        <v>154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ht="13.25" customHeight="1" x14ac:dyDescent="0.25">
      <c r="B116" s="104"/>
      <c r="C116" s="8" t="s">
        <v>155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ht="13.25" customHeight="1" x14ac:dyDescent="0.25">
      <c r="B117" s="103" t="s">
        <v>97</v>
      </c>
      <c r="C117" s="8" t="s">
        <v>153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ht="13.25" customHeight="1" x14ac:dyDescent="0.25">
      <c r="B118" s="104"/>
      <c r="C118" s="8" t="s">
        <v>154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ht="13.25" customHeight="1" x14ac:dyDescent="0.25">
      <c r="B119" s="104"/>
      <c r="C119" s="8" t="s">
        <v>155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ht="13.25" customHeight="1" x14ac:dyDescent="0.25">
      <c r="B120" s="103" t="s">
        <v>98</v>
      </c>
      <c r="C120" s="8" t="s">
        <v>153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ht="13.25" customHeight="1" x14ac:dyDescent="0.25">
      <c r="B121" s="104"/>
      <c r="C121" s="8" t="s">
        <v>154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ht="13.25" customHeight="1" x14ac:dyDescent="0.25">
      <c r="B122" s="104"/>
      <c r="C122" s="8" t="s">
        <v>155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customHeight="1" x14ac:dyDescent="0.25">
      <c r="B123" s="65" t="s">
        <v>156</v>
      </c>
      <c r="C123" s="8" t="s">
        <v>155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ht="13.25" customHeight="1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100</v>
      </c>
      <c r="C125" s="8" t="s">
        <v>153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ht="13.25" customHeight="1" x14ac:dyDescent="0.25">
      <c r="B126" s="104"/>
      <c r="C126" s="8" t="s">
        <v>154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ht="13.25" customHeight="1" x14ac:dyDescent="0.25">
      <c r="B127" s="104"/>
      <c r="C127" s="8" t="s">
        <v>155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ht="13.25" customHeight="1" x14ac:dyDescent="0.25">
      <c r="B128" s="103" t="s">
        <v>109</v>
      </c>
      <c r="C128" s="8" t="s">
        <v>153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ht="13.25" customHeight="1" x14ac:dyDescent="0.25">
      <c r="B129" s="104"/>
      <c r="C129" s="8" t="s">
        <v>154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ht="13.25" customHeight="1" x14ac:dyDescent="0.25">
      <c r="B130" s="104"/>
      <c r="C130" s="8" t="s">
        <v>155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ht="13.25" customHeight="1" x14ac:dyDescent="0.25">
      <c r="B131" s="103" t="s">
        <v>96</v>
      </c>
      <c r="C131" s="8" t="s">
        <v>153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ht="13.25" customHeight="1" x14ac:dyDescent="0.25">
      <c r="B132" s="104"/>
      <c r="C132" s="8" t="s">
        <v>154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ht="13.25" customHeight="1" x14ac:dyDescent="0.25">
      <c r="B133" s="104"/>
      <c r="C133" s="8" t="s">
        <v>155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ht="13.25" customHeight="1" x14ac:dyDescent="0.25">
      <c r="B134" s="103" t="s">
        <v>97</v>
      </c>
      <c r="C134" s="8" t="s">
        <v>153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ht="13.25" customHeight="1" x14ac:dyDescent="0.25">
      <c r="B135" s="104"/>
      <c r="C135" s="8" t="s">
        <v>154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ht="13.25" customHeight="1" x14ac:dyDescent="0.25">
      <c r="B136" s="104"/>
      <c r="C136" s="8" t="s">
        <v>155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ht="13.25" customHeight="1" x14ac:dyDescent="0.25">
      <c r="B137" s="103" t="s">
        <v>98</v>
      </c>
      <c r="C137" s="8" t="s">
        <v>153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ht="13.25" customHeight="1" x14ac:dyDescent="0.25">
      <c r="B138" s="104"/>
      <c r="C138" s="8" t="s">
        <v>154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ht="13.25" customHeight="1" x14ac:dyDescent="0.25">
      <c r="B139" s="104"/>
      <c r="C139" s="8" t="s">
        <v>155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customHeight="1" x14ac:dyDescent="0.25">
      <c r="B140" s="65" t="s">
        <v>156</v>
      </c>
      <c r="C140" s="8" t="s">
        <v>155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ht="13.25" customHeight="1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100</v>
      </c>
      <c r="C142" s="8" t="s">
        <v>153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ht="13.25" customHeight="1" x14ac:dyDescent="0.25">
      <c r="B143" s="104"/>
      <c r="C143" s="8" t="s">
        <v>154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ht="13.25" customHeight="1" x14ac:dyDescent="0.25">
      <c r="B144" s="104"/>
      <c r="C144" s="8" t="s">
        <v>155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ht="13.25" customHeight="1" x14ac:dyDescent="0.25">
      <c r="B145" s="103" t="s">
        <v>109</v>
      </c>
      <c r="C145" s="8" t="s">
        <v>153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ht="13.25" customHeight="1" x14ac:dyDescent="0.25">
      <c r="B146" s="104"/>
      <c r="C146" s="8" t="s">
        <v>154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ht="13.25" customHeight="1" x14ac:dyDescent="0.25">
      <c r="B147" s="104"/>
      <c r="C147" s="8" t="s">
        <v>155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ht="13.25" customHeight="1" x14ac:dyDescent="0.25">
      <c r="B148" s="103" t="s">
        <v>96</v>
      </c>
      <c r="C148" s="8" t="s">
        <v>153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ht="13.25" customHeight="1" x14ac:dyDescent="0.25">
      <c r="B149" s="104"/>
      <c r="C149" s="8" t="s">
        <v>154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ht="13.25" customHeight="1" x14ac:dyDescent="0.25">
      <c r="B150" s="104"/>
      <c r="C150" s="8" t="s">
        <v>155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ht="13.25" customHeight="1" x14ac:dyDescent="0.25">
      <c r="B151" s="103" t="s">
        <v>97</v>
      </c>
      <c r="C151" s="8" t="s">
        <v>153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04"/>
      <c r="C152" s="8" t="s">
        <v>154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04"/>
      <c r="C153" s="8" t="s">
        <v>155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03" t="s">
        <v>98</v>
      </c>
      <c r="C154" s="8" t="s">
        <v>153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04"/>
      <c r="C155" s="8" t="s">
        <v>154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04"/>
      <c r="C156" s="8" t="s">
        <v>155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customHeight="1" x14ac:dyDescent="0.25">
      <c r="B157" s="65" t="s">
        <v>156</v>
      </c>
      <c r="C157" s="8" t="s">
        <v>155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c7WXxGLbT6fybr17WOEO1K1sdU5jB94k+XO5SvMmYZ81rVuZAE28BqBz6PW706+km8rWExLn/GcF3c6UXLHdfA==" saltValue="2r9jqdRuqDimxRsPAo48Ew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42" zoomScale="85" zoomScaleNormal="85" workbookViewId="0">
      <selection activeCell="C9" sqref="C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54</v>
      </c>
      <c r="D2" s="70" t="s">
        <v>53</v>
      </c>
      <c r="E2" s="70" t="s">
        <v>52</v>
      </c>
      <c r="F2" s="70" t="s">
        <v>51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37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38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39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40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249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245</v>
      </c>
      <c r="C11" s="74"/>
      <c r="D11" s="75"/>
      <c r="E11" s="75"/>
      <c r="F11" s="75"/>
    </row>
    <row r="12" spans="1:6" ht="15.75" customHeight="1" x14ac:dyDescent="0.3">
      <c r="A12" s="4" t="s">
        <v>246</v>
      </c>
      <c r="C12" s="73"/>
      <c r="D12" s="64"/>
      <c r="E12" s="64"/>
      <c r="F12" s="64"/>
    </row>
    <row r="13" spans="1:6" ht="15.75" customHeight="1" x14ac:dyDescent="0.25">
      <c r="B13" s="11" t="s">
        <v>247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119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120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248</v>
      </c>
      <c r="B17" s="14"/>
      <c r="C17" s="77"/>
      <c r="D17" s="78"/>
      <c r="E17" s="78"/>
      <c r="F17" s="78"/>
    </row>
    <row r="18" spans="1:6" ht="15.75" customHeight="1" x14ac:dyDescent="0.25">
      <c r="B18" s="5" t="s">
        <v>78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79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80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81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82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83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84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85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54</v>
      </c>
      <c r="D29" s="70" t="s">
        <v>53</v>
      </c>
      <c r="E29" s="70" t="s">
        <v>52</v>
      </c>
      <c r="F29" s="70" t="s">
        <v>51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37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38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39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40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262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245</v>
      </c>
      <c r="B38" s="68"/>
      <c r="C38" s="74"/>
      <c r="D38" s="75"/>
      <c r="E38" s="75"/>
      <c r="F38" s="75"/>
    </row>
    <row r="39" spans="1:6" ht="15.75" customHeight="1" x14ac:dyDescent="0.3">
      <c r="A39" s="4" t="s">
        <v>251</v>
      </c>
      <c r="C39" s="73"/>
      <c r="D39" s="64"/>
      <c r="E39" s="64"/>
      <c r="F39" s="64"/>
    </row>
    <row r="40" spans="1:6" ht="15.75" customHeight="1" x14ac:dyDescent="0.25">
      <c r="B40" s="11" t="s">
        <v>256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252</v>
      </c>
      <c r="B44" s="14"/>
      <c r="C44" s="77"/>
      <c r="D44" s="78"/>
      <c r="E44" s="78"/>
      <c r="F44" s="78"/>
    </row>
    <row r="45" spans="1:6" ht="15.75" customHeight="1" x14ac:dyDescent="0.25">
      <c r="B45" s="5" t="s">
        <v>78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79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80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81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82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83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84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85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54</v>
      </c>
      <c r="D56" s="70" t="s">
        <v>53</v>
      </c>
      <c r="E56" s="70" t="s">
        <v>52</v>
      </c>
      <c r="F56" s="70" t="s">
        <v>51</v>
      </c>
    </row>
    <row r="57" spans="1:6" ht="15.75" customHeight="1" x14ac:dyDescent="0.3">
      <c r="A57" s="4" t="s">
        <v>253</v>
      </c>
      <c r="B57" s="14"/>
      <c r="C57" s="71"/>
      <c r="D57" s="72"/>
      <c r="E57" s="72"/>
      <c r="F57" s="72"/>
    </row>
    <row r="58" spans="1:6" ht="15.75" customHeight="1" x14ac:dyDescent="0.25">
      <c r="B58" s="5" t="s">
        <v>37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38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39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40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263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245</v>
      </c>
      <c r="B65" s="68"/>
      <c r="C65" s="74"/>
      <c r="D65" s="75"/>
      <c r="E65" s="75"/>
      <c r="F65" s="75"/>
    </row>
    <row r="66" spans="1:6" ht="15.75" customHeight="1" x14ac:dyDescent="0.3">
      <c r="A66" s="4" t="s">
        <v>254</v>
      </c>
      <c r="C66" s="73"/>
      <c r="D66" s="64"/>
      <c r="E66" s="64"/>
      <c r="F66" s="64"/>
    </row>
    <row r="67" spans="1:6" ht="15.75" customHeight="1" x14ac:dyDescent="0.25">
      <c r="B67" s="11" t="s">
        <v>259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260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261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255</v>
      </c>
      <c r="B71" s="14"/>
      <c r="C71" s="77"/>
      <c r="D71" s="78"/>
      <c r="E71" s="78"/>
      <c r="F71" s="78"/>
    </row>
    <row r="72" spans="1:6" ht="15.75" customHeight="1" x14ac:dyDescent="0.25">
      <c r="B72" s="5" t="s">
        <v>78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79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80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81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82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83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84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85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X6unefMA4SpolyE65TRVqGW3KIJlsq2vePkjRIAqUCNe6cFjEhuL6It6Fndn+EDxtivIBEe05FJ2esiT074EXQ==" saltValue="2glapqZTGWwtqVjOhK3n0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D8" sqref="D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226</v>
      </c>
      <c r="B2" s="1" t="s">
        <v>265</v>
      </c>
      <c r="C2" s="1" t="s">
        <v>266</v>
      </c>
      <c r="D2" s="70" t="s">
        <v>109</v>
      </c>
      <c r="E2" s="70" t="s">
        <v>96</v>
      </c>
      <c r="F2" s="70" t="s">
        <v>97</v>
      </c>
      <c r="G2" s="70" t="s">
        <v>98</v>
      </c>
      <c r="H2" s="70" t="s">
        <v>99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87</v>
      </c>
      <c r="C3" s="3" t="s">
        <v>10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267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268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269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88</v>
      </c>
      <c r="C7" s="3" t="s">
        <v>10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267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268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269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90</v>
      </c>
      <c r="C11" s="3" t="s">
        <v>10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267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268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269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91</v>
      </c>
      <c r="C15" s="3" t="s">
        <v>10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267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268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269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89</v>
      </c>
      <c r="C19" s="3" t="s">
        <v>10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267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268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269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95</v>
      </c>
      <c r="C23" s="3" t="s">
        <v>10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267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268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269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278</v>
      </c>
    </row>
    <row r="29" spans="1:16" ht="13" customHeight="1" x14ac:dyDescent="0.3">
      <c r="A29" s="39" t="s">
        <v>279</v>
      </c>
      <c r="B29" s="4" t="s">
        <v>265</v>
      </c>
      <c r="C29" s="4" t="s">
        <v>270</v>
      </c>
      <c r="D29" s="70" t="s">
        <v>109</v>
      </c>
      <c r="E29" s="70" t="s">
        <v>96</v>
      </c>
      <c r="F29" s="70" t="s">
        <v>97</v>
      </c>
      <c r="G29" s="70" t="s">
        <v>98</v>
      </c>
      <c r="H29" s="70" t="s">
        <v>99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87</v>
      </c>
      <c r="C30" s="3" t="s">
        <v>10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267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209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88</v>
      </c>
      <c r="C34" s="3" t="s">
        <v>10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267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209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90</v>
      </c>
      <c r="C38" s="3" t="s">
        <v>10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267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209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91</v>
      </c>
      <c r="C42" s="3" t="s">
        <v>10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267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209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89</v>
      </c>
      <c r="C46" s="3" t="s">
        <v>10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267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209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95</v>
      </c>
      <c r="C50" s="3" t="s">
        <v>10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267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209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271</v>
      </c>
    </row>
    <row r="56" spans="1:16" ht="26" customHeight="1" x14ac:dyDescent="0.3">
      <c r="A56" s="39" t="s">
        <v>121</v>
      </c>
      <c r="B56" s="4" t="s">
        <v>265</v>
      </c>
      <c r="C56" s="69" t="s">
        <v>272</v>
      </c>
      <c r="D56" s="70" t="s">
        <v>122</v>
      </c>
      <c r="E56" s="70" t="s">
        <v>123</v>
      </c>
      <c r="F56" s="70" t="s">
        <v>124</v>
      </c>
      <c r="G56" s="70" t="s">
        <v>125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101</v>
      </c>
      <c r="C57" s="3" t="s">
        <v>273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274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102</v>
      </c>
      <c r="C59" s="3" t="s">
        <v>273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274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103</v>
      </c>
      <c r="C61" s="3" t="s">
        <v>273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274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275</v>
      </c>
    </row>
    <row r="65" spans="1:16" ht="26" customHeight="1" x14ac:dyDescent="0.3">
      <c r="A65" s="39" t="s">
        <v>128</v>
      </c>
      <c r="B65" s="4" t="s">
        <v>265</v>
      </c>
      <c r="C65" s="69" t="s">
        <v>276</v>
      </c>
      <c r="D65" s="70" t="s">
        <v>109</v>
      </c>
      <c r="E65" s="70" t="s">
        <v>96</v>
      </c>
      <c r="F65" s="70" t="s">
        <v>97</v>
      </c>
      <c r="G65" s="70" t="s">
        <v>98</v>
      </c>
      <c r="H65" s="81" t="s">
        <v>99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78</v>
      </c>
      <c r="C66" s="3" t="s">
        <v>129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130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131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132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79</v>
      </c>
      <c r="C70" s="3" t="s">
        <v>129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130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131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132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80</v>
      </c>
      <c r="C74" s="3" t="s">
        <v>129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130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131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132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82</v>
      </c>
      <c r="C78" s="3" t="s">
        <v>129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130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131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132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87</v>
      </c>
      <c r="C82" s="3" t="s">
        <v>129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130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131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132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88</v>
      </c>
      <c r="C86" s="3" t="s">
        <v>129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130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131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132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90</v>
      </c>
      <c r="C90" s="3" t="s">
        <v>129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130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131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132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89</v>
      </c>
      <c r="C94" s="3" t="s">
        <v>129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130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131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132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92</v>
      </c>
      <c r="C98" s="3" t="s">
        <v>129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130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131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132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277</v>
      </c>
    </row>
    <row r="104" spans="1:16" ht="26" customHeight="1" x14ac:dyDescent="0.3">
      <c r="A104" s="39" t="s">
        <v>87</v>
      </c>
      <c r="B104" s="82" t="s">
        <v>132</v>
      </c>
      <c r="C104" s="69" t="s">
        <v>276</v>
      </c>
      <c r="D104" s="70" t="s">
        <v>109</v>
      </c>
      <c r="E104" s="70" t="s">
        <v>96</v>
      </c>
      <c r="F104" s="70" t="s">
        <v>97</v>
      </c>
      <c r="G104" s="70" t="s">
        <v>98</v>
      </c>
      <c r="H104" s="81" t="s">
        <v>99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129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130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131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132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226</v>
      </c>
      <c r="B112" s="1" t="s">
        <v>265</v>
      </c>
      <c r="C112" s="1" t="s">
        <v>266</v>
      </c>
      <c r="D112" s="70" t="s">
        <v>109</v>
      </c>
      <c r="E112" s="70" t="s">
        <v>96</v>
      </c>
      <c r="F112" s="70" t="s">
        <v>97</v>
      </c>
      <c r="G112" s="70" t="s">
        <v>98</v>
      </c>
      <c r="H112" s="70" t="s">
        <v>99</v>
      </c>
    </row>
    <row r="113" spans="1:8" ht="13" customHeight="1" x14ac:dyDescent="0.3">
      <c r="A113" s="4"/>
      <c r="B113" s="8" t="s">
        <v>87</v>
      </c>
      <c r="C113" s="3" t="s">
        <v>10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267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268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269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88</v>
      </c>
      <c r="C117" s="3" t="s">
        <v>10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267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268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269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90</v>
      </c>
      <c r="C121" s="3" t="s">
        <v>10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267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268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269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91</v>
      </c>
      <c r="C125" s="3" t="s">
        <v>10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267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268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269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89</v>
      </c>
      <c r="C129" s="3" t="s">
        <v>10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267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268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269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95</v>
      </c>
      <c r="C133" s="3" t="s">
        <v>10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267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268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269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278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279</v>
      </c>
      <c r="B139" s="4" t="s">
        <v>265</v>
      </c>
      <c r="C139" s="4" t="s">
        <v>270</v>
      </c>
      <c r="D139" s="70" t="s">
        <v>109</v>
      </c>
      <c r="E139" s="70" t="s">
        <v>96</v>
      </c>
      <c r="F139" s="70" t="s">
        <v>97</v>
      </c>
      <c r="G139" s="70" t="s">
        <v>98</v>
      </c>
      <c r="H139" s="70" t="s">
        <v>99</v>
      </c>
    </row>
    <row r="140" spans="1:8" ht="13" customHeight="1" x14ac:dyDescent="0.3">
      <c r="A140" s="4"/>
      <c r="B140" s="8" t="s">
        <v>87</v>
      </c>
      <c r="C140" s="3" t="s">
        <v>10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267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209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88</v>
      </c>
      <c r="C144" s="3" t="s">
        <v>10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267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209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90</v>
      </c>
      <c r="C148" s="3" t="s">
        <v>10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267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209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91</v>
      </c>
      <c r="C152" s="3" t="s">
        <v>10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267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209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89</v>
      </c>
      <c r="C156" s="3" t="s">
        <v>10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267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209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95</v>
      </c>
      <c r="C160" s="3" t="s">
        <v>10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267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209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271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121</v>
      </c>
      <c r="B166" s="4" t="s">
        <v>265</v>
      </c>
      <c r="C166" s="69" t="s">
        <v>272</v>
      </c>
      <c r="D166" s="70" t="s">
        <v>122</v>
      </c>
      <c r="E166" s="70" t="s">
        <v>123</v>
      </c>
      <c r="F166" s="70" t="s">
        <v>124</v>
      </c>
      <c r="G166" s="70" t="s">
        <v>125</v>
      </c>
      <c r="H166" s="79"/>
    </row>
    <row r="167" spans="1:8" ht="13" customHeight="1" x14ac:dyDescent="0.3">
      <c r="A167" s="4"/>
      <c r="B167" s="8" t="s">
        <v>101</v>
      </c>
      <c r="C167" s="3" t="s">
        <v>273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274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102</v>
      </c>
      <c r="C169" s="3" t="s">
        <v>273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274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103</v>
      </c>
      <c r="C171" s="3" t="s">
        <v>273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274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275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128</v>
      </c>
      <c r="B175" s="4" t="s">
        <v>265</v>
      </c>
      <c r="C175" s="69" t="s">
        <v>276</v>
      </c>
      <c r="D175" s="70" t="s">
        <v>109</v>
      </c>
      <c r="E175" s="70" t="s">
        <v>96</v>
      </c>
      <c r="F175" s="70" t="s">
        <v>97</v>
      </c>
      <c r="G175" s="70" t="s">
        <v>98</v>
      </c>
      <c r="H175" s="81" t="s">
        <v>99</v>
      </c>
    </row>
    <row r="176" spans="1:8" ht="13" customHeight="1" x14ac:dyDescent="0.3">
      <c r="A176" s="82"/>
      <c r="B176" s="8" t="s">
        <v>78</v>
      </c>
      <c r="C176" s="3" t="s">
        <v>129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130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131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132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79</v>
      </c>
      <c r="C180" s="3" t="s">
        <v>129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130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131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132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80</v>
      </c>
      <c r="C184" s="3" t="s">
        <v>129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130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131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132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82</v>
      </c>
      <c r="C188" s="3" t="s">
        <v>129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130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131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132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87</v>
      </c>
      <c r="C192" s="3" t="s">
        <v>129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130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131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132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88</v>
      </c>
      <c r="C196" s="3" t="s">
        <v>129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130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131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132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90</v>
      </c>
      <c r="C200" s="3" t="s">
        <v>129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130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131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132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89</v>
      </c>
      <c r="C204" s="3" t="s">
        <v>129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130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131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132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92</v>
      </c>
      <c r="C208" s="3" t="s">
        <v>129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130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131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132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277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87</v>
      </c>
      <c r="B214" s="82" t="s">
        <v>132</v>
      </c>
      <c r="C214" s="69" t="s">
        <v>276</v>
      </c>
      <c r="D214" s="70" t="s">
        <v>109</v>
      </c>
      <c r="E214" s="70" t="s">
        <v>96</v>
      </c>
      <c r="F214" s="70" t="s">
        <v>97</v>
      </c>
      <c r="G214" s="70" t="s">
        <v>98</v>
      </c>
      <c r="H214" s="81" t="s">
        <v>99</v>
      </c>
    </row>
    <row r="215" spans="1:9" ht="13" customHeight="1" x14ac:dyDescent="0.3">
      <c r="A215" s="4"/>
      <c r="C215" s="3" t="s">
        <v>129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130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131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132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226</v>
      </c>
      <c r="B222" s="1" t="s">
        <v>265</v>
      </c>
      <c r="C222" s="1" t="s">
        <v>266</v>
      </c>
      <c r="D222" s="70" t="s">
        <v>109</v>
      </c>
      <c r="E222" s="70" t="s">
        <v>96</v>
      </c>
      <c r="F222" s="70" t="s">
        <v>97</v>
      </c>
      <c r="G222" s="70" t="s">
        <v>98</v>
      </c>
      <c r="H222" s="70" t="s">
        <v>99</v>
      </c>
      <c r="I222" s="79"/>
    </row>
    <row r="223" spans="1:9" ht="13" customHeight="1" x14ac:dyDescent="0.3">
      <c r="A223" s="4"/>
      <c r="B223" s="8" t="s">
        <v>87</v>
      </c>
      <c r="C223" s="3" t="s">
        <v>10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267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268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269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88</v>
      </c>
      <c r="C227" s="3" t="s">
        <v>10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267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268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269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90</v>
      </c>
      <c r="C231" s="3" t="s">
        <v>10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267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268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269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91</v>
      </c>
      <c r="C235" s="3" t="s">
        <v>10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267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268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269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89</v>
      </c>
      <c r="C239" s="3" t="s">
        <v>10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267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268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269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95</v>
      </c>
      <c r="C243" s="3" t="s">
        <v>10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267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268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269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278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279</v>
      </c>
      <c r="B249" s="4" t="s">
        <v>265</v>
      </c>
      <c r="C249" s="4" t="s">
        <v>270</v>
      </c>
      <c r="D249" s="70" t="s">
        <v>109</v>
      </c>
      <c r="E249" s="70" t="s">
        <v>96</v>
      </c>
      <c r="F249" s="70" t="s">
        <v>97</v>
      </c>
      <c r="G249" s="70" t="s">
        <v>98</v>
      </c>
      <c r="H249" s="70" t="s">
        <v>99</v>
      </c>
      <c r="I249" s="79"/>
    </row>
    <row r="250" spans="1:9" ht="13" customHeight="1" x14ac:dyDescent="0.3">
      <c r="A250" s="4"/>
      <c r="B250" s="8" t="s">
        <v>87</v>
      </c>
      <c r="C250" s="3" t="s">
        <v>10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267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209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88</v>
      </c>
      <c r="C254" s="3" t="s">
        <v>10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267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209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90</v>
      </c>
      <c r="C258" s="3" t="s">
        <v>10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267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209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91</v>
      </c>
      <c r="C262" s="3" t="s">
        <v>10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267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209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89</v>
      </c>
      <c r="C266" s="3" t="s">
        <v>10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267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209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95</v>
      </c>
      <c r="C270" s="3" t="s">
        <v>10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267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209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271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121</v>
      </c>
      <c r="B276" s="4" t="s">
        <v>265</v>
      </c>
      <c r="C276" s="69" t="s">
        <v>272</v>
      </c>
      <c r="D276" s="70" t="s">
        <v>122</v>
      </c>
      <c r="E276" s="70" t="s">
        <v>123</v>
      </c>
      <c r="F276" s="70" t="s">
        <v>124</v>
      </c>
      <c r="G276" s="70" t="s">
        <v>125</v>
      </c>
      <c r="H276" s="79"/>
    </row>
    <row r="277" spans="1:9" ht="13" customHeight="1" x14ac:dyDescent="0.3">
      <c r="A277" s="4"/>
      <c r="B277" s="8" t="s">
        <v>101</v>
      </c>
      <c r="C277" s="3" t="s">
        <v>273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274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102</v>
      </c>
      <c r="C279" s="3" t="s">
        <v>273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274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103</v>
      </c>
      <c r="C281" s="3" t="s">
        <v>273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274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275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128</v>
      </c>
      <c r="B285" s="4" t="s">
        <v>265</v>
      </c>
      <c r="C285" s="69" t="s">
        <v>276</v>
      </c>
      <c r="D285" s="70" t="s">
        <v>109</v>
      </c>
      <c r="E285" s="70" t="s">
        <v>96</v>
      </c>
      <c r="F285" s="70" t="s">
        <v>97</v>
      </c>
      <c r="G285" s="70" t="s">
        <v>98</v>
      </c>
      <c r="H285" s="81" t="s">
        <v>99</v>
      </c>
      <c r="I285" s="79"/>
    </row>
    <row r="286" spans="1:9" ht="13" customHeight="1" x14ac:dyDescent="0.3">
      <c r="A286" s="82"/>
      <c r="B286" s="8" t="s">
        <v>78</v>
      </c>
      <c r="C286" s="3" t="s">
        <v>129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130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131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132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79</v>
      </c>
      <c r="C290" s="3" t="s">
        <v>129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130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131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132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80</v>
      </c>
      <c r="C294" s="3" t="s">
        <v>129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130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131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132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82</v>
      </c>
      <c r="C298" s="3" t="s">
        <v>129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130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131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132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87</v>
      </c>
      <c r="C302" s="3" t="s">
        <v>129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130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131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132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88</v>
      </c>
      <c r="C306" s="3" t="s">
        <v>129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130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131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132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90</v>
      </c>
      <c r="C310" s="3" t="s">
        <v>129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130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131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132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89</v>
      </c>
      <c r="C314" s="3" t="s">
        <v>129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130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131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132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92</v>
      </c>
      <c r="C318" s="3" t="s">
        <v>129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130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131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132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277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87</v>
      </c>
      <c r="B324" s="82" t="s">
        <v>132</v>
      </c>
      <c r="C324" s="69" t="s">
        <v>276</v>
      </c>
      <c r="D324" s="70" t="s">
        <v>109</v>
      </c>
      <c r="E324" s="70" t="s">
        <v>96</v>
      </c>
      <c r="F324" s="70" t="s">
        <v>97</v>
      </c>
      <c r="G324" s="70" t="s">
        <v>98</v>
      </c>
      <c r="H324" s="81" t="s">
        <v>99</v>
      </c>
      <c r="I324" s="79"/>
    </row>
    <row r="325" spans="1:9" ht="13" customHeight="1" x14ac:dyDescent="0.3">
      <c r="A325" s="4"/>
      <c r="C325" s="3" t="s">
        <v>129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130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131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132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X1PoEUblWKH2ynHqIZTeswONafg67ZfJs/ZIKIAoB71l3FvnhkhUIGhl/MY8R0N5sJ3Ucp1luhygQhGr5YuwDg==" saltValue="QxHRwCCcdqYG+ZoUlvuBd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35" zoomScale="70" zoomScaleNormal="70" workbookViewId="0">
      <selection activeCell="C8" sqref="C8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233</v>
      </c>
    </row>
    <row r="2" spans="1:7" ht="14.25" customHeight="1" x14ac:dyDescent="0.3">
      <c r="A2" s="82" t="s">
        <v>7</v>
      </c>
      <c r="B2" s="1"/>
      <c r="C2" s="4" t="s">
        <v>109</v>
      </c>
      <c r="D2" s="4" t="s">
        <v>96</v>
      </c>
      <c r="E2" s="4" t="s">
        <v>97</v>
      </c>
      <c r="F2" s="4" t="s">
        <v>98</v>
      </c>
      <c r="G2" s="4" t="s">
        <v>99</v>
      </c>
    </row>
    <row r="3" spans="1:7" ht="14.25" customHeight="1" x14ac:dyDescent="0.25">
      <c r="B3" s="11" t="s">
        <v>280</v>
      </c>
      <c r="C3" s="90" t="s">
        <v>11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281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282</v>
      </c>
    </row>
    <row r="6" spans="1:7" ht="14.25" customHeight="1" x14ac:dyDescent="0.25">
      <c r="B6" s="5" t="s">
        <v>192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185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205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184</v>
      </c>
      <c r="C12" s="90">
        <v>1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283</v>
      </c>
    </row>
    <row r="15" spans="1:7" ht="14.25" customHeight="1" x14ac:dyDescent="0.3">
      <c r="A15" s="82" t="s">
        <v>279</v>
      </c>
      <c r="B15" s="5" t="s">
        <v>284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287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121</v>
      </c>
      <c r="B17" s="11" t="s">
        <v>285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288</v>
      </c>
    </row>
    <row r="20" spans="1:7" s="14" customFormat="1" ht="14.25" customHeight="1" x14ac:dyDescent="0.3">
      <c r="C20" s="4" t="s">
        <v>69</v>
      </c>
      <c r="D20" s="4" t="s">
        <v>70</v>
      </c>
      <c r="E20" s="4" t="s">
        <v>71</v>
      </c>
      <c r="F20" s="4" t="s">
        <v>72</v>
      </c>
    </row>
    <row r="21" spans="1:7" x14ac:dyDescent="0.25">
      <c r="B21" s="11" t="s">
        <v>172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233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7</v>
      </c>
      <c r="B25" s="1"/>
      <c r="C25" s="4" t="s">
        <v>109</v>
      </c>
      <c r="D25" s="4" t="s">
        <v>96</v>
      </c>
      <c r="E25" s="4" t="s">
        <v>97</v>
      </c>
      <c r="F25" s="4" t="s">
        <v>98</v>
      </c>
      <c r="G25" s="4" t="s">
        <v>99</v>
      </c>
    </row>
    <row r="26" spans="1:7" x14ac:dyDescent="0.25">
      <c r="B26" s="11" t="s">
        <v>289</v>
      </c>
      <c r="C26" s="90" t="s">
        <v>11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290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291</v>
      </c>
    </row>
    <row r="29" spans="1:7" x14ac:dyDescent="0.25">
      <c r="B29" s="5" t="s">
        <v>292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293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315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294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295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296</v>
      </c>
      <c r="C35" s="90">
        <v>1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283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279</v>
      </c>
      <c r="B38" s="5" t="s">
        <v>297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298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121</v>
      </c>
      <c r="B40" s="11" t="s">
        <v>299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300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69</v>
      </c>
      <c r="D43" s="4" t="s">
        <v>70</v>
      </c>
      <c r="E43" s="4" t="s">
        <v>71</v>
      </c>
      <c r="F43" s="4" t="s">
        <v>72</v>
      </c>
      <c r="G43" s="14"/>
    </row>
    <row r="44" spans="1:7" x14ac:dyDescent="0.25">
      <c r="B44" s="11" t="s">
        <v>301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233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7</v>
      </c>
      <c r="B48" s="1"/>
      <c r="C48" s="4" t="s">
        <v>109</v>
      </c>
      <c r="D48" s="4" t="s">
        <v>96</v>
      </c>
      <c r="E48" s="4" t="s">
        <v>97</v>
      </c>
      <c r="F48" s="4" t="s">
        <v>98</v>
      </c>
      <c r="G48" s="4" t="s">
        <v>99</v>
      </c>
    </row>
    <row r="49" spans="1:7" x14ac:dyDescent="0.25">
      <c r="B49" s="11" t="s">
        <v>302</v>
      </c>
      <c r="C49" s="90" t="s">
        <v>11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303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304</v>
      </c>
    </row>
    <row r="52" spans="1:7" x14ac:dyDescent="0.25">
      <c r="B52" s="5" t="s">
        <v>305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306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316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307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308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309</v>
      </c>
      <c r="C58" s="90">
        <v>1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283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279</v>
      </c>
      <c r="B61" s="5" t="s">
        <v>310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311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121</v>
      </c>
      <c r="B63" s="11" t="s">
        <v>312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313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69</v>
      </c>
      <c r="D66" s="4" t="s">
        <v>70</v>
      </c>
      <c r="E66" s="4" t="s">
        <v>71</v>
      </c>
      <c r="F66" s="4" t="s">
        <v>72</v>
      </c>
      <c r="G66" s="14"/>
    </row>
    <row r="67" spans="1:7" x14ac:dyDescent="0.25">
      <c r="B67" s="11" t="s">
        <v>314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lyvNyVqUaBLN7HZNRU/il2wCd9Uv2zoJ/R+qBkp4ChV4yQNVhX/BV5gI74cTML41dY+xzHXL1HG1V5VyFRXluQ==" saltValue="uEpGoemY4MQIadPlwwMhs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8" sqref="C8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160</v>
      </c>
      <c r="B1" s="4"/>
      <c r="C1" s="4" t="s">
        <v>51</v>
      </c>
      <c r="D1" s="4" t="s">
        <v>53</v>
      </c>
      <c r="E1" s="4" t="s">
        <v>52</v>
      </c>
      <c r="F1" s="1" t="s">
        <v>54</v>
      </c>
    </row>
    <row r="2" spans="1:6" ht="15.75" customHeight="1" x14ac:dyDescent="0.25">
      <c r="A2" s="5" t="s">
        <v>168</v>
      </c>
      <c r="B2" s="5" t="s">
        <v>317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318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180</v>
      </c>
      <c r="B4" s="5" t="s">
        <v>317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318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181</v>
      </c>
      <c r="B6" s="5" t="s">
        <v>317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318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182</v>
      </c>
      <c r="B8" s="5" t="s">
        <v>317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318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186</v>
      </c>
      <c r="B10" s="5" t="s">
        <v>317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318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190</v>
      </c>
      <c r="B12" s="5" t="s">
        <v>317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318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160</v>
      </c>
      <c r="B16" s="4"/>
      <c r="C16" s="4" t="s">
        <v>51</v>
      </c>
      <c r="D16" s="4" t="s">
        <v>53</v>
      </c>
      <c r="E16" s="4" t="s">
        <v>52</v>
      </c>
      <c r="F16" s="1" t="s">
        <v>54</v>
      </c>
    </row>
    <row r="17" spans="1:6" ht="15.75" customHeight="1" x14ac:dyDescent="0.25">
      <c r="A17" s="5" t="s">
        <v>168</v>
      </c>
      <c r="B17" s="5" t="s">
        <v>317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318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180</v>
      </c>
      <c r="B19" s="5" t="s">
        <v>317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318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181</v>
      </c>
      <c r="B21" s="5" t="s">
        <v>317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318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182</v>
      </c>
      <c r="B23" s="5" t="s">
        <v>317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318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186</v>
      </c>
      <c r="B25" s="5" t="s">
        <v>317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318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190</v>
      </c>
      <c r="B27" s="5" t="s">
        <v>317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318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160</v>
      </c>
      <c r="B31" s="4"/>
      <c r="C31" s="4" t="s">
        <v>51</v>
      </c>
      <c r="D31" s="4" t="s">
        <v>53</v>
      </c>
      <c r="E31" s="4" t="s">
        <v>52</v>
      </c>
      <c r="F31" s="1" t="s">
        <v>54</v>
      </c>
    </row>
    <row r="32" spans="1:6" ht="15.75" customHeight="1" x14ac:dyDescent="0.25">
      <c r="A32" s="5" t="s">
        <v>168</v>
      </c>
      <c r="B32" s="5" t="s">
        <v>317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318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180</v>
      </c>
      <c r="B34" s="5" t="s">
        <v>317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318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181</v>
      </c>
      <c r="B36" s="5" t="s">
        <v>317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318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182</v>
      </c>
      <c r="B38" s="5" t="s">
        <v>317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318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186</v>
      </c>
      <c r="B40" s="5" t="s">
        <v>317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318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190</v>
      </c>
      <c r="B42" s="5" t="s">
        <v>317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318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WOXIEJ7C9KZh4mHN4fLFbReXCQVtIznIIWgmbfl6WS9c+InxXnBIPsw0YLe8PAcL92NBboiCG6EiS/g6VaPXSg==" saltValue="cdUgq8qExBtkvpN7lYrxq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C8" sqref="C8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109</v>
      </c>
      <c r="D1" s="70" t="s">
        <v>96</v>
      </c>
      <c r="E1" s="70" t="s">
        <v>97</v>
      </c>
      <c r="F1" s="70" t="s">
        <v>98</v>
      </c>
      <c r="G1" s="70" t="s">
        <v>99</v>
      </c>
      <c r="H1" s="70" t="s">
        <v>69</v>
      </c>
      <c r="I1" s="70" t="s">
        <v>70</v>
      </c>
      <c r="J1" s="70" t="s">
        <v>71</v>
      </c>
      <c r="K1" s="70" t="s">
        <v>72</v>
      </c>
      <c r="L1" s="70" t="s">
        <v>122</v>
      </c>
      <c r="M1" s="70" t="s">
        <v>123</v>
      </c>
      <c r="N1" s="70" t="s">
        <v>124</v>
      </c>
      <c r="O1" s="70" t="s">
        <v>125</v>
      </c>
    </row>
    <row r="2" spans="1:15" ht="13" customHeight="1" x14ac:dyDescent="0.3">
      <c r="A2" s="4" t="s">
        <v>319</v>
      </c>
    </row>
    <row r="3" spans="1:15" x14ac:dyDescent="0.25">
      <c r="B3" s="11" t="s">
        <v>171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176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177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178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179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180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181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182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185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186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190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205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320</v>
      </c>
      <c r="B17" s="11"/>
    </row>
    <row r="18" spans="1:15" x14ac:dyDescent="0.25">
      <c r="B18" s="5" t="s">
        <v>173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174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175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183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109</v>
      </c>
      <c r="D24" s="70" t="s">
        <v>96</v>
      </c>
      <c r="E24" s="70" t="s">
        <v>97</v>
      </c>
      <c r="F24" s="70" t="s">
        <v>98</v>
      </c>
      <c r="G24" s="70" t="s">
        <v>99</v>
      </c>
      <c r="H24" s="70" t="s">
        <v>69</v>
      </c>
      <c r="I24" s="70" t="s">
        <v>70</v>
      </c>
      <c r="J24" s="70" t="s">
        <v>71</v>
      </c>
      <c r="K24" s="70" t="s">
        <v>72</v>
      </c>
      <c r="L24" s="70" t="s">
        <v>122</v>
      </c>
      <c r="M24" s="70" t="s">
        <v>123</v>
      </c>
      <c r="N24" s="70" t="s">
        <v>124</v>
      </c>
      <c r="O24" s="70" t="s">
        <v>125</v>
      </c>
    </row>
    <row r="25" spans="1:15" ht="13" customHeight="1" x14ac:dyDescent="0.3">
      <c r="A25" s="4" t="s">
        <v>321</v>
      </c>
    </row>
    <row r="26" spans="1:15" x14ac:dyDescent="0.25">
      <c r="B26" s="11" t="s">
        <v>171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176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177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178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179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180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181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182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185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186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190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205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323</v>
      </c>
      <c r="B40" s="11"/>
    </row>
    <row r="41" spans="1:15" x14ac:dyDescent="0.25">
      <c r="B41" s="5" t="s">
        <v>173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174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175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183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109</v>
      </c>
      <c r="D47" s="70" t="s">
        <v>96</v>
      </c>
      <c r="E47" s="70" t="s">
        <v>97</v>
      </c>
      <c r="F47" s="70" t="s">
        <v>98</v>
      </c>
      <c r="G47" s="70" t="s">
        <v>99</v>
      </c>
      <c r="H47" s="70" t="s">
        <v>69</v>
      </c>
      <c r="I47" s="70" t="s">
        <v>70</v>
      </c>
      <c r="J47" s="70" t="s">
        <v>71</v>
      </c>
      <c r="K47" s="70" t="s">
        <v>72</v>
      </c>
      <c r="L47" s="70" t="s">
        <v>122</v>
      </c>
      <c r="M47" s="70" t="s">
        <v>123</v>
      </c>
      <c r="N47" s="70" t="s">
        <v>124</v>
      </c>
      <c r="O47" s="70" t="s">
        <v>125</v>
      </c>
    </row>
    <row r="48" spans="1:15" ht="13" customHeight="1" x14ac:dyDescent="0.3">
      <c r="A48" s="4" t="s">
        <v>322</v>
      </c>
    </row>
    <row r="49" spans="1:15" x14ac:dyDescent="0.25">
      <c r="B49" s="11" t="s">
        <v>171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176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177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178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179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180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181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182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185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186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190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205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324</v>
      </c>
      <c r="B63" s="11"/>
    </row>
    <row r="64" spans="1:15" x14ac:dyDescent="0.25">
      <c r="B64" s="5" t="s">
        <v>173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174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175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183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ruyqxj/CPTlHyyboi3uIsSYhaw14F4NcpODQovJgs+kiQ6Cp3pKLARVWyC4Nd7o/8iSaOS9UUKGmY723B9Y/BA==" saltValue="odVszCUVk+VubqUEmNZ/m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</row>
    <row r="2" spans="1:7" ht="13" customHeight="1" x14ac:dyDescent="0.3">
      <c r="A2" s="4" t="s">
        <v>325</v>
      </c>
    </row>
    <row r="3" spans="1:7" ht="13.25" customHeight="1" x14ac:dyDescent="0.25">
      <c r="B3" s="11" t="s">
        <v>161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326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165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331</v>
      </c>
    </row>
    <row r="8" spans="1:7" ht="13" customHeight="1" x14ac:dyDescent="0.3">
      <c r="A8" s="4"/>
      <c r="B8" s="1"/>
      <c r="C8" s="4" t="s">
        <v>109</v>
      </c>
      <c r="D8" s="4" t="s">
        <v>96</v>
      </c>
      <c r="E8" s="4" t="s">
        <v>97</v>
      </c>
      <c r="F8" s="4" t="s">
        <v>98</v>
      </c>
      <c r="G8" s="4" t="s">
        <v>99</v>
      </c>
    </row>
    <row r="9" spans="1:7" ht="13" customHeight="1" x14ac:dyDescent="0.3">
      <c r="A9" s="4" t="s">
        <v>327</v>
      </c>
    </row>
    <row r="10" spans="1:7" ht="13.25" customHeight="1" x14ac:dyDescent="0.25">
      <c r="B10" s="11" t="s">
        <v>161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328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165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332</v>
      </c>
    </row>
    <row r="15" spans="1:7" ht="13" customHeight="1" x14ac:dyDescent="0.3">
      <c r="A15" s="4"/>
      <c r="B15" s="1"/>
      <c r="C15" s="4" t="s">
        <v>109</v>
      </c>
      <c r="D15" s="4" t="s">
        <v>96</v>
      </c>
      <c r="E15" s="4" t="s">
        <v>97</v>
      </c>
      <c r="F15" s="4" t="s">
        <v>98</v>
      </c>
      <c r="G15" s="4" t="s">
        <v>99</v>
      </c>
    </row>
    <row r="16" spans="1:7" ht="13" customHeight="1" x14ac:dyDescent="0.3">
      <c r="A16" s="4" t="s">
        <v>329</v>
      </c>
    </row>
    <row r="17" spans="1:7" ht="13.25" customHeight="1" x14ac:dyDescent="0.25">
      <c r="B17" s="11" t="s">
        <v>161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330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165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ztl8WRtuCjvWyn8fLp1pOM6myqQHKmnBtNJwWFFrhjvXCkKoE/EDwHp6+n6tAwagAKQiEqxFWehQMBukfkY4xA==" saltValue="iRajt8Waq38Tu3upp6+zv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22" zoomScale="80" zoomScaleNormal="80" workbookViewId="0">
      <selection activeCell="D8" sqref="D8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160</v>
      </c>
      <c r="B1" s="4" t="s">
        <v>333</v>
      </c>
      <c r="C1" s="82" t="s">
        <v>12</v>
      </c>
      <c r="D1" s="4" t="s">
        <v>109</v>
      </c>
      <c r="E1" s="4" t="s">
        <v>96</v>
      </c>
      <c r="F1" s="4" t="s">
        <v>97</v>
      </c>
      <c r="G1" s="4" t="s">
        <v>98</v>
      </c>
      <c r="H1" s="4" t="s">
        <v>99</v>
      </c>
    </row>
    <row r="2" spans="1:8" ht="13.25" customHeight="1" x14ac:dyDescent="0.25">
      <c r="A2" s="5" t="s">
        <v>193</v>
      </c>
      <c r="B2" s="5" t="s">
        <v>87</v>
      </c>
      <c r="C2" s="5" t="s">
        <v>334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335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336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192</v>
      </c>
      <c r="B5" s="5" t="s">
        <v>208</v>
      </c>
      <c r="C5" s="5" t="s">
        <v>334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336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209</v>
      </c>
      <c r="C7" s="5" t="s">
        <v>334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336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185</v>
      </c>
      <c r="B9" s="5" t="s">
        <v>208</v>
      </c>
      <c r="C9" s="5" t="s">
        <v>334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336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209</v>
      </c>
      <c r="C11" s="5" t="s">
        <v>334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336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205</v>
      </c>
      <c r="B13" s="5" t="s">
        <v>208</v>
      </c>
      <c r="C13" s="5" t="s">
        <v>334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336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209</v>
      </c>
      <c r="C15" s="5" t="s">
        <v>334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336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170</v>
      </c>
      <c r="B17" s="5" t="s">
        <v>208</v>
      </c>
      <c r="C17" s="5" t="s">
        <v>334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336</v>
      </c>
      <c r="D18" s="90">
        <v>0</v>
      </c>
      <c r="E18" s="90">
        <v>0</v>
      </c>
      <c r="F18" s="90">
        <f>MIN(MAX(1-0.89/(1-frac_sam_6_11months+(frac_sam_6_11months*0.89)),0),1)</f>
        <v>0.10613897534876815</v>
      </c>
      <c r="G18" s="90">
        <f>MIN(MAX(1-0.89/(1-frac_sam_12_23months+(frac_sam_12_23months*0.89)),0),1)</f>
        <v>0.1070258482022014</v>
      </c>
      <c r="H18" s="90">
        <f>MIN(MAX(1-0.89/(1-frac_sam_24_59months+(frac_sam_24_59months*0.89)),0),1)</f>
        <v>0.10831925094766515</v>
      </c>
    </row>
    <row r="19" spans="1:8" ht="13.25" customHeight="1" x14ac:dyDescent="0.25">
      <c r="B19" s="5" t="s">
        <v>209</v>
      </c>
      <c r="C19" s="5" t="s">
        <v>334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336</v>
      </c>
      <c r="D20" s="90">
        <v>0</v>
      </c>
      <c r="E20" s="90">
        <v>0</v>
      </c>
      <c r="F20" s="90">
        <f>MIN(MAX(1-0.89/(1-frac_mam_6_11months+(frac_mam_6_11months*0.89)),0),1)</f>
        <v>0.10301108328944886</v>
      </c>
      <c r="G20" s="90">
        <f>MIN(MAX(1-0.89/(1-frac_mam_12_23months+(frac_mam_12_23months*0.89)),0),1)</f>
        <v>0.1041137332236276</v>
      </c>
      <c r="H20" s="90">
        <f>MIN(MAX(1-0.89/(1-frac_mam_24_59months+(frac_mam_24_59months*0.89)),0),1)</f>
        <v>0.10667793735770292</v>
      </c>
    </row>
    <row r="21" spans="1:8" ht="13.25" customHeight="1" x14ac:dyDescent="0.25">
      <c r="A21" s="5" t="s">
        <v>175</v>
      </c>
      <c r="B21" s="5" t="s">
        <v>84</v>
      </c>
      <c r="C21" s="5" t="s">
        <v>334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ht="13.25" customHeight="1" x14ac:dyDescent="0.25">
      <c r="C22" s="5" t="s">
        <v>335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ht="13.25" customHeight="1" x14ac:dyDescent="0.25">
      <c r="A23" s="5" t="s">
        <v>173</v>
      </c>
      <c r="B23" s="5" t="s">
        <v>84</v>
      </c>
      <c r="C23" s="5" t="s">
        <v>334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ht="13.25" customHeight="1" x14ac:dyDescent="0.25">
      <c r="C24" s="5" t="s">
        <v>335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ht="13.25" customHeight="1" x14ac:dyDescent="0.25">
      <c r="A25" s="5" t="s">
        <v>174</v>
      </c>
      <c r="B25" s="5" t="s">
        <v>84</v>
      </c>
      <c r="C25" s="5" t="s">
        <v>334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ht="13.25" customHeight="1" x14ac:dyDescent="0.25">
      <c r="C26" s="5" t="s">
        <v>335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ht="13.25" customHeight="1" x14ac:dyDescent="0.25">
      <c r="A27" s="5" t="s">
        <v>197</v>
      </c>
      <c r="B27" s="5" t="s">
        <v>87</v>
      </c>
      <c r="C27" s="5" t="s">
        <v>334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ht="13.25" customHeight="1" x14ac:dyDescent="0.25">
      <c r="C28" s="5" t="s">
        <v>335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ht="13.25" customHeight="1" x14ac:dyDescent="0.25">
      <c r="C29" s="5" t="s">
        <v>336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ht="13.25" customHeight="1" x14ac:dyDescent="0.25">
      <c r="A30" s="5" t="s">
        <v>198</v>
      </c>
      <c r="B30" s="5" t="s">
        <v>87</v>
      </c>
      <c r="C30" s="5" t="s">
        <v>334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ht="13.25" customHeight="1" x14ac:dyDescent="0.25">
      <c r="C31" s="5" t="s">
        <v>335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ht="13.25" customHeight="1" x14ac:dyDescent="0.25">
      <c r="C32" s="5" t="s">
        <v>336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ht="13.25" customHeight="1" x14ac:dyDescent="0.25">
      <c r="A33" s="5" t="s">
        <v>196</v>
      </c>
      <c r="B33" s="5" t="s">
        <v>87</v>
      </c>
      <c r="C33" s="5" t="s">
        <v>334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ht="13.25" customHeight="1" x14ac:dyDescent="0.25">
      <c r="C34" s="5" t="s">
        <v>335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ht="13.25" customHeight="1" x14ac:dyDescent="0.25">
      <c r="C35" s="5" t="s">
        <v>336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ht="13.25" customHeight="1" x14ac:dyDescent="0.25">
      <c r="A36" s="5" t="s">
        <v>195</v>
      </c>
      <c r="B36" s="5" t="s">
        <v>87</v>
      </c>
      <c r="C36" s="5" t="s">
        <v>334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ht="13.25" customHeight="1" x14ac:dyDescent="0.25">
      <c r="C37" s="5" t="s">
        <v>335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ht="13.25" customHeight="1" x14ac:dyDescent="0.25">
      <c r="C38" s="5" t="s">
        <v>336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ht="13.25" customHeight="1" x14ac:dyDescent="0.25">
      <c r="A39" s="5" t="s">
        <v>194</v>
      </c>
      <c r="B39" s="5" t="s">
        <v>87</v>
      </c>
      <c r="C39" s="5" t="s">
        <v>334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ht="13.25" customHeight="1" x14ac:dyDescent="0.25">
      <c r="C40" s="5" t="s">
        <v>335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ht="13.25" customHeight="1" x14ac:dyDescent="0.25">
      <c r="C41" s="5" t="s">
        <v>336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ht="13.25" customHeight="1" x14ac:dyDescent="0.25">
      <c r="A42" s="5" t="s">
        <v>200</v>
      </c>
      <c r="B42" s="5" t="s">
        <v>87</v>
      </c>
      <c r="C42" s="5" t="s">
        <v>334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ht="13.25" customHeight="1" x14ac:dyDescent="0.25">
      <c r="C43" s="5" t="s">
        <v>335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ht="13.25" customHeight="1" x14ac:dyDescent="0.25">
      <c r="C44" s="5" t="s">
        <v>336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ht="13.25" customHeight="1" x14ac:dyDescent="0.25">
      <c r="B45" s="5" t="s">
        <v>88</v>
      </c>
      <c r="C45" s="5" t="s">
        <v>334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ht="13.25" customHeight="1" x14ac:dyDescent="0.25">
      <c r="C46" s="5" t="s">
        <v>335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ht="13.25" customHeight="1" x14ac:dyDescent="0.25">
      <c r="C47" s="5" t="s">
        <v>336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191</v>
      </c>
      <c r="B48" s="5" t="s">
        <v>87</v>
      </c>
      <c r="C48" s="5" t="s">
        <v>334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335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87</v>
      </c>
      <c r="C50" s="5" t="s">
        <v>334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335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184</v>
      </c>
      <c r="B52" s="5" t="s">
        <v>82</v>
      </c>
      <c r="C52" s="5" t="s">
        <v>334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335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331</v>
      </c>
      <c r="B55" s="97"/>
      <c r="C55" s="97"/>
    </row>
    <row r="56" spans="1:8" ht="13" customHeight="1" x14ac:dyDescent="0.3">
      <c r="A56" s="4" t="s">
        <v>160</v>
      </c>
      <c r="B56" s="4" t="s">
        <v>333</v>
      </c>
      <c r="C56" s="82" t="s">
        <v>12</v>
      </c>
      <c r="D56" s="4" t="s">
        <v>109</v>
      </c>
      <c r="E56" s="4" t="s">
        <v>96</v>
      </c>
      <c r="F56" s="4" t="s">
        <v>97</v>
      </c>
      <c r="G56" s="4" t="s">
        <v>98</v>
      </c>
      <c r="H56" s="4" t="s">
        <v>99</v>
      </c>
    </row>
    <row r="57" spans="1:8" x14ac:dyDescent="0.25">
      <c r="A57" s="5" t="s">
        <v>193</v>
      </c>
      <c r="B57" s="5" t="s">
        <v>87</v>
      </c>
      <c r="C57" s="5" t="s">
        <v>334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335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336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192</v>
      </c>
      <c r="B60" s="5" t="s">
        <v>208</v>
      </c>
      <c r="C60" s="5" t="s">
        <v>334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336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209</v>
      </c>
      <c r="C62" s="5" t="s">
        <v>334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336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185</v>
      </c>
      <c r="B64" s="5" t="s">
        <v>208</v>
      </c>
      <c r="C64" s="5" t="s">
        <v>334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336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209</v>
      </c>
      <c r="C66" s="5" t="s">
        <v>334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336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205</v>
      </c>
      <c r="B68" s="5" t="s">
        <v>208</v>
      </c>
      <c r="C68" s="5" t="s">
        <v>334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336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209</v>
      </c>
      <c r="C70" s="5" t="s">
        <v>334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336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170</v>
      </c>
      <c r="B72" s="5" t="s">
        <v>208</v>
      </c>
      <c r="C72" s="5" t="s">
        <v>334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336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9.6110930936471606E-3</v>
      </c>
      <c r="G73" s="90">
        <f>MIN(MAX(1-0.99/(1-frac_sam_12_23months+(frac_sam_12_23months*0.99)),0),1)</f>
        <v>9.7001539934192804E-3</v>
      </c>
      <c r="H73" s="90">
        <f>MIN(MAX(1-0.99/(1-frac_sam_24_59months+(frac_sam_24_59months*0.99)),0),1)</f>
        <v>9.8303279060572013E-3</v>
      </c>
    </row>
    <row r="74" spans="1:8" x14ac:dyDescent="0.25">
      <c r="B74" s="5" t="s">
        <v>209</v>
      </c>
      <c r="C74" s="5" t="s">
        <v>334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336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9.2982651806544636E-3</v>
      </c>
      <c r="G75" s="90">
        <f>MIN(MAX(1-0.99/(1-frac_mam_12_23months+(frac_mam_12_23months*0.99)),0),1)</f>
        <v>9.4083170508934E-3</v>
      </c>
      <c r="H75" s="90">
        <f>MIN(MAX(1-0.99/(1-frac_mam_24_59months+(frac_mam_24_59months*0.99)),0),1)</f>
        <v>9.6651971750458809E-3</v>
      </c>
    </row>
    <row r="76" spans="1:8" x14ac:dyDescent="0.25">
      <c r="A76" s="5" t="s">
        <v>175</v>
      </c>
      <c r="B76" s="5" t="s">
        <v>84</v>
      </c>
      <c r="C76" s="5" t="s">
        <v>334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335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173</v>
      </c>
      <c r="B78" s="5" t="s">
        <v>84</v>
      </c>
      <c r="C78" s="5" t="s">
        <v>334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335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174</v>
      </c>
      <c r="B80" s="5" t="s">
        <v>84</v>
      </c>
      <c r="C80" s="5" t="s">
        <v>334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335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87</v>
      </c>
      <c r="C82" s="5" t="s">
        <v>334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335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336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87</v>
      </c>
      <c r="C85" s="5" t="s">
        <v>334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335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336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87</v>
      </c>
      <c r="C88" s="5" t="s">
        <v>334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335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336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87</v>
      </c>
      <c r="C91" s="5" t="s">
        <v>334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335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336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87</v>
      </c>
      <c r="C94" s="5" t="s">
        <v>334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335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336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87</v>
      </c>
      <c r="C97" s="5" t="s">
        <v>334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335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336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88</v>
      </c>
      <c r="C100" s="5" t="s">
        <v>334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335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336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191</v>
      </c>
      <c r="B103" s="5" t="s">
        <v>87</v>
      </c>
      <c r="C103" s="5" t="s">
        <v>334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335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87</v>
      </c>
      <c r="C105" s="5" t="s">
        <v>334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335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184</v>
      </c>
      <c r="B107" s="5" t="s">
        <v>82</v>
      </c>
      <c r="C107" s="5" t="s">
        <v>334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335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332</v>
      </c>
      <c r="B110" s="97"/>
      <c r="C110" s="97"/>
    </row>
    <row r="111" spans="1:8" ht="13" customHeight="1" x14ac:dyDescent="0.3">
      <c r="A111" s="4" t="s">
        <v>160</v>
      </c>
      <c r="B111" s="4" t="s">
        <v>333</v>
      </c>
      <c r="C111" s="82" t="s">
        <v>12</v>
      </c>
      <c r="D111" s="4" t="s">
        <v>109</v>
      </c>
      <c r="E111" s="4" t="s">
        <v>96</v>
      </c>
      <c r="F111" s="4" t="s">
        <v>97</v>
      </c>
      <c r="G111" s="4" t="s">
        <v>98</v>
      </c>
      <c r="H111" s="4" t="s">
        <v>99</v>
      </c>
    </row>
    <row r="112" spans="1:8" x14ac:dyDescent="0.25">
      <c r="A112" s="5" t="s">
        <v>193</v>
      </c>
      <c r="B112" s="5" t="s">
        <v>87</v>
      </c>
      <c r="C112" s="5" t="s">
        <v>334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335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336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192</v>
      </c>
      <c r="B115" s="5" t="s">
        <v>208</v>
      </c>
      <c r="C115" s="5" t="s">
        <v>334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336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209</v>
      </c>
      <c r="C117" s="5" t="s">
        <v>334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336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185</v>
      </c>
      <c r="B119" s="5" t="s">
        <v>208</v>
      </c>
      <c r="C119" s="5" t="s">
        <v>334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336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209</v>
      </c>
      <c r="C121" s="5" t="s">
        <v>334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336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205</v>
      </c>
      <c r="B123" s="5" t="s">
        <v>208</v>
      </c>
      <c r="C123" s="5" t="s">
        <v>334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336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209</v>
      </c>
      <c r="C125" s="5" t="s">
        <v>334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336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170</v>
      </c>
      <c r="B127" s="5" t="s">
        <v>208</v>
      </c>
      <c r="C127" s="5" t="s">
        <v>334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336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0.19366736992982825</v>
      </c>
      <c r="G128" s="90">
        <f>MIN(MAX(1-0.8/(1-frac_sam_12_23months+(frac_sam_12_23months*0.8)),0),1)</f>
        <v>0.19512595565940538</v>
      </c>
      <c r="H128" s="90">
        <f>MIN(MAX(1-0.8/(1-frac_sam_24_59months+(frac_sam_24_59months*0.8)),0),1)</f>
        <v>0.19724886613605008</v>
      </c>
    </row>
    <row r="129" spans="1:8" x14ac:dyDescent="0.25">
      <c r="B129" s="5" t="s">
        <v>209</v>
      </c>
      <c r="C129" s="5" t="s">
        <v>334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336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0.1885040073354487</v>
      </c>
      <c r="G130" s="90">
        <f>MIN(MAX(1-0.8/(1-frac_mam_12_23months+(frac_mam_12_23months*0.8)),0),1)</f>
        <v>0.19032761218412675</v>
      </c>
      <c r="H130" s="90">
        <f>MIN(MAX(1-0.8/(1-frac_mam_24_59months+(frac_mam_24_59months*0.8)),0),1)</f>
        <v>0.19455405226840106</v>
      </c>
    </row>
    <row r="131" spans="1:8" x14ac:dyDescent="0.25">
      <c r="A131" s="5" t="s">
        <v>175</v>
      </c>
      <c r="B131" s="5" t="s">
        <v>84</v>
      </c>
      <c r="C131" s="5" t="s">
        <v>334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335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173</v>
      </c>
      <c r="B133" s="5" t="s">
        <v>84</v>
      </c>
      <c r="C133" s="5" t="s">
        <v>334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335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174</v>
      </c>
      <c r="B135" s="5" t="s">
        <v>84</v>
      </c>
      <c r="C135" s="5" t="s">
        <v>334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335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87</v>
      </c>
      <c r="C137" s="5" t="s">
        <v>334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335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336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87</v>
      </c>
      <c r="C140" s="5" t="s">
        <v>334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335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336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87</v>
      </c>
      <c r="C143" s="5" t="s">
        <v>334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335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336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87</v>
      </c>
      <c r="C146" s="5" t="s">
        <v>334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335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336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87</v>
      </c>
      <c r="C149" s="5" t="s">
        <v>334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335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336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87</v>
      </c>
      <c r="C152" s="5" t="s">
        <v>334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335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336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88</v>
      </c>
      <c r="C155" s="5" t="s">
        <v>334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335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336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191</v>
      </c>
      <c r="B158" s="5" t="s">
        <v>87</v>
      </c>
      <c r="C158" s="5" t="s">
        <v>334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335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87</v>
      </c>
      <c r="C160" s="5" t="s">
        <v>334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335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184</v>
      </c>
      <c r="B162" s="5" t="s">
        <v>82</v>
      </c>
      <c r="C162" s="5" t="s">
        <v>334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335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iNYLbI6XLgMdFMCWNLJihNYlEH2yiQDuRUsqQIA8v2Aq1TuHvhhA8zMOvnZr5qkjed9eIuixkMOSRULWN0BJdA==" saltValue="gTdZiYwnF+lsRH+nljFxN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11" sqref="D11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160</v>
      </c>
      <c r="B1" s="1" t="s">
        <v>333</v>
      </c>
      <c r="C1" s="1"/>
      <c r="D1" s="4" t="s">
        <v>122</v>
      </c>
      <c r="E1" s="4" t="s">
        <v>123</v>
      </c>
      <c r="F1" s="4" t="s">
        <v>124</v>
      </c>
      <c r="G1" s="4" t="s">
        <v>125</v>
      </c>
      <c r="H1" s="4"/>
    </row>
    <row r="2" spans="1:8" ht="13.25" customHeight="1" x14ac:dyDescent="0.25">
      <c r="A2" s="3" t="s">
        <v>169</v>
      </c>
      <c r="B2" s="8" t="s">
        <v>104</v>
      </c>
      <c r="C2" s="3" t="s">
        <v>334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335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188</v>
      </c>
      <c r="B4" s="8" t="s">
        <v>104</v>
      </c>
      <c r="C4" s="3" t="s">
        <v>334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335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187</v>
      </c>
      <c r="B6" s="8" t="s">
        <v>104</v>
      </c>
      <c r="C6" s="3" t="s">
        <v>334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335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331</v>
      </c>
    </row>
    <row r="10" spans="1:8" ht="13" customHeight="1" x14ac:dyDescent="0.3">
      <c r="A10" s="1" t="s">
        <v>160</v>
      </c>
      <c r="B10" s="1" t="s">
        <v>333</v>
      </c>
      <c r="C10" s="1"/>
      <c r="D10" s="4" t="s">
        <v>122</v>
      </c>
      <c r="E10" s="4" t="s">
        <v>123</v>
      </c>
      <c r="F10" s="4" t="s">
        <v>124</v>
      </c>
      <c r="G10" s="4" t="s">
        <v>125</v>
      </c>
    </row>
    <row r="11" spans="1:8" ht="13.25" customHeight="1" x14ac:dyDescent="0.25">
      <c r="A11" s="3" t="s">
        <v>169</v>
      </c>
      <c r="B11" s="8" t="s">
        <v>104</v>
      </c>
      <c r="C11" s="3" t="s">
        <v>334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335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188</v>
      </c>
      <c r="B13" s="8" t="s">
        <v>104</v>
      </c>
      <c r="C13" s="3" t="s">
        <v>334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335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187</v>
      </c>
      <c r="B15" s="8" t="s">
        <v>104</v>
      </c>
      <c r="C15" s="3" t="s">
        <v>334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335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332</v>
      </c>
    </row>
    <row r="19" spans="1:7" ht="13" customHeight="1" x14ac:dyDescent="0.3">
      <c r="A19" s="1" t="s">
        <v>160</v>
      </c>
      <c r="B19" s="1" t="s">
        <v>333</v>
      </c>
      <c r="C19" s="1"/>
      <c r="D19" s="4" t="s">
        <v>122</v>
      </c>
      <c r="E19" s="4" t="s">
        <v>123</v>
      </c>
      <c r="F19" s="4" t="s">
        <v>124</v>
      </c>
      <c r="G19" s="4" t="s">
        <v>125</v>
      </c>
    </row>
    <row r="20" spans="1:7" ht="13.25" customHeight="1" x14ac:dyDescent="0.25">
      <c r="A20" s="3" t="s">
        <v>169</v>
      </c>
      <c r="B20" s="8" t="s">
        <v>104</v>
      </c>
      <c r="C20" s="3" t="s">
        <v>334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ht="13.25" customHeight="1" x14ac:dyDescent="0.25">
      <c r="C21" s="8" t="s">
        <v>335</v>
      </c>
      <c r="D21" s="90">
        <v>0</v>
      </c>
      <c r="E21" s="90">
        <v>0</v>
      </c>
      <c r="F21" s="90">
        <v>0</v>
      </c>
      <c r="G21" s="90">
        <v>0</v>
      </c>
    </row>
    <row r="22" spans="1:7" ht="13.25" customHeight="1" x14ac:dyDescent="0.25">
      <c r="A22" s="3" t="s">
        <v>188</v>
      </c>
      <c r="B22" s="8" t="s">
        <v>104</v>
      </c>
      <c r="C22" s="3" t="s">
        <v>334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ht="13.25" customHeight="1" x14ac:dyDescent="0.25">
      <c r="C23" s="8" t="s">
        <v>335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ht="13.25" customHeight="1" x14ac:dyDescent="0.25">
      <c r="A24" s="3" t="s">
        <v>187</v>
      </c>
      <c r="B24" s="8" t="s">
        <v>104</v>
      </c>
      <c r="C24" s="3" t="s">
        <v>334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ht="13.25" customHeight="1" x14ac:dyDescent="0.25">
      <c r="C25" s="8" t="s">
        <v>335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XI2l4OfXCwSbOQZkgRqbocbYoMAt5G/S/1hJpBzzgeMcu0yD9DDjWuD16egHS5ceGpBUja//IcaJngOo5k2qUQ==" saltValue="dstSm9NnCX4LJBCaUlXwDQ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Perte économique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Risques des rés. des naissances</vt:lpstr>
      <vt:lpstr>Risques relatifs</vt:lpstr>
      <vt:lpstr>Rapports des cotes</vt:lpstr>
      <vt:lpstr>Programmes-rés. des naissances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lang=fr</cp:keywords>
  <cp:lastModifiedBy>Tharindu Wickramaarachchi</cp:lastModifiedBy>
  <dcterms:created xsi:type="dcterms:W3CDTF">2017-08-01T10:42:13Z</dcterms:created>
  <dcterms:modified xsi:type="dcterms:W3CDTF">2024-08-06T09:01:39Z</dcterms:modified>
</cp:coreProperties>
</file>