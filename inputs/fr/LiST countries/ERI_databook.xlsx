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4019FB51-119D-4F40-AED3-E3D27E0FDA41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4" i="2" l="1"/>
  <c r="A25" i="2"/>
  <c r="A31" i="2"/>
  <c r="A26" i="2"/>
  <c r="I39" i="2"/>
  <c r="I2" i="2"/>
  <c r="I6" i="2"/>
  <c r="A19" i="2"/>
  <c r="A35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<sst xmlns="http://schemas.openxmlformats.org/spreadsheetml/2006/main" count="2169" uniqueCount="369">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</sst>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502472.00000000012</v>
      </c>
    </row>
    <row r="8" spans="1:3" ht="15" customHeight="1" x14ac:dyDescent="0.25">
      <c r="B8" s="5" t="s">
        <v>37</v>
      </c>
      <c r="C8" s="44">
        <v>0.45200000000000001</v>
      </c>
    </row>
    <row r="9" spans="1:3" ht="15" customHeight="1" x14ac:dyDescent="0.25">
      <c r="B9" s="5" t="s">
        <v>38</v>
      </c>
      <c r="C9" s="45">
        <v>0.16</v>
      </c>
    </row>
    <row r="10" spans="1:3" ht="15" customHeight="1" x14ac:dyDescent="0.25">
      <c r="B10" s="5" t="s">
        <v>39</v>
      </c>
      <c r="C10" s="45">
        <v>0.40256750000000002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0.41799999999999998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8.4900000000000003E-2</v>
      </c>
    </row>
    <row r="24" spans="1:3" ht="15" customHeight="1" x14ac:dyDescent="0.25">
      <c r="B24" s="15" t="s">
        <v>51</v>
      </c>
      <c r="C24" s="45">
        <v>0.46400000000000002</v>
      </c>
    </row>
    <row r="25" spans="1:3" ht="15" customHeight="1" x14ac:dyDescent="0.25">
      <c r="B25" s="15" t="s">
        <v>52</v>
      </c>
      <c r="C25" s="45">
        <v>0.35129999999999989</v>
      </c>
    </row>
    <row r="26" spans="1:3" ht="15" customHeight="1" x14ac:dyDescent="0.25">
      <c r="B26" s="15" t="s">
        <v>53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0.21829699999999999</v>
      </c>
    </row>
    <row r="30" spans="1:3" ht="14.25" customHeight="1" x14ac:dyDescent="0.25">
      <c r="B30" s="25" t="s">
        <v>56</v>
      </c>
      <c r="C30" s="97">
        <v>7.5314300000000001E-2</v>
      </c>
    </row>
    <row r="31" spans="1:3" ht="14.25" customHeight="1" x14ac:dyDescent="0.25">
      <c r="B31" s="25" t="s">
        <v>57</v>
      </c>
      <c r="C31" s="97">
        <v>0.11899999999999999</v>
      </c>
    </row>
    <row r="32" spans="1:3" ht="14.25" customHeight="1" x14ac:dyDescent="0.25">
      <c r="B32" s="25" t="s">
        <v>58</v>
      </c>
      <c r="C32" s="97">
        <v>0.58738869999999999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17.335930000000001</v>
      </c>
    </row>
    <row r="38" spans="1:5" ht="15" customHeight="1" x14ac:dyDescent="0.25">
      <c r="B38" s="11" t="s">
        <v>63</v>
      </c>
      <c r="C38" s="43">
        <v>28.94961</v>
      </c>
      <c r="D38" s="12"/>
      <c r="E38" s="13"/>
    </row>
    <row r="39" spans="1:5" ht="15" customHeight="1" x14ac:dyDescent="0.25">
      <c r="B39" s="11" t="s">
        <v>64</v>
      </c>
      <c r="C39" s="43">
        <v>38.091560000000001</v>
      </c>
      <c r="D39" s="12"/>
      <c r="E39" s="12"/>
    </row>
    <row r="40" spans="1:5" ht="15" customHeight="1" x14ac:dyDescent="0.25">
      <c r="B40" s="11" t="s">
        <v>65</v>
      </c>
      <c r="C40" s="98">
        <v>3.22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16.13758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7.9316999999999999E-3</v>
      </c>
      <c r="D45" s="12"/>
    </row>
    <row r="46" spans="1:5" ht="15.75" customHeight="1" x14ac:dyDescent="0.25">
      <c r="B46" s="11" t="s">
        <v>70</v>
      </c>
      <c r="C46" s="45">
        <v>8.5224899999999992E-2</v>
      </c>
      <c r="D46" s="12"/>
    </row>
    <row r="47" spans="1:5" ht="15.75" customHeight="1" x14ac:dyDescent="0.25">
      <c r="B47" s="11" t="s">
        <v>71</v>
      </c>
      <c r="C47" s="45">
        <v>7.3457800000000004E-2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1.8460000000000001</v>
      </c>
      <c r="D51" s="12"/>
    </row>
    <row r="52" spans="1:4" ht="15" customHeight="1" x14ac:dyDescent="0.25">
      <c r="B52" s="11" t="s">
        <v>75</v>
      </c>
      <c r="C52" s="98">
        <v>1.8460000000000001</v>
      </c>
    </row>
    <row r="53" spans="1:4" ht="15.75" customHeight="1" x14ac:dyDescent="0.25">
      <c r="B53" s="11" t="s">
        <v>76</v>
      </c>
      <c r="C53" s="98">
        <v>5.3039999999999994</v>
      </c>
    </row>
    <row r="54" spans="1:4" ht="15.75" customHeight="1" x14ac:dyDescent="0.25">
      <c r="B54" s="11" t="s">
        <v>77</v>
      </c>
      <c r="C54" s="98">
        <v>5.8760000000000003</v>
      </c>
    </row>
    <row r="55" spans="1:4" ht="15.75" customHeight="1" x14ac:dyDescent="0.25">
      <c r="B55" s="11" t="s">
        <v>78</v>
      </c>
      <c r="C55" s="98">
        <v>2.8166666666666669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0.50167899999999999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0.15160142900000001</v>
      </c>
    </row>
    <row r="63" spans="1:4" ht="15.75" customHeight="1" x14ac:dyDescent="0.3">
      <c r="A63" s="4"/>
    </row>
  </sheetData>
  <sheetProtection algorithmName="SHA-512" hashValue="YR7xPHxYvdT5VFaQbuRNP8ewlIg18csbphNQ1N9+UFg3ryxHjF4BomLBHKDs4WCsZGs+lpdmdy5WOfU1v8JP2A==" saltValue="elWDrSiRJj4fdNtW5ajE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476046.5</v>
      </c>
      <c r="C2" s="49">
        <v>115986</v>
      </c>
      <c r="D2" s="49">
        <v>213467.5</v>
      </c>
      <c r="E2" s="49">
        <v>416290.5</v>
      </c>
      <c r="F2" s="49">
        <v>325508</v>
      </c>
      <c r="G2" s="17">
        <f t="shared" ref="G2:G13" si="0">C2+D2+E2+F2</f>
        <v>1071252</v>
      </c>
      <c r="H2" s="17">
        <f t="shared" ref="H2:H13" si="1">(B2 + stillbirth*B2/(1000-stillbirth))/(1-abortion)</f>
        <v>549834.93710246787</v>
      </c>
      <c r="I2" s="17">
        <f t="shared" ref="I2:I13" si="2">G2-H2</f>
        <v>521417.06289753213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101539</v>
      </c>
      <c r="C3" s="50">
        <v>211512</v>
      </c>
      <c r="D3" s="50">
        <v>326817.5</v>
      </c>
      <c r="E3" s="50">
        <v>194239.50000000003</v>
      </c>
      <c r="F3" s="50">
        <v>144839.99999999997</v>
      </c>
      <c r="G3" s="17">
        <f t="shared" si="0"/>
        <v>877409</v>
      </c>
      <c r="H3" s="17">
        <f t="shared" si="1"/>
        <v>117277.80726976773</v>
      </c>
      <c r="I3" s="17">
        <f t="shared" si="2"/>
        <v>760131.19273023226</v>
      </c>
    </row>
    <row r="4" spans="1:9" ht="15.75" customHeight="1" x14ac:dyDescent="0.25">
      <c r="A4" s="5">
        <f t="shared" si="3"/>
        <v>2026</v>
      </c>
      <c r="B4" s="49">
        <v>103276</v>
      </c>
      <c r="C4" s="50">
        <v>213414.5</v>
      </c>
      <c r="D4" s="50">
        <v>340270</v>
      </c>
      <c r="E4" s="50">
        <v>202782.5</v>
      </c>
      <c r="F4" s="50">
        <v>145983</v>
      </c>
      <c r="G4" s="17">
        <f t="shared" si="0"/>
        <v>902450</v>
      </c>
      <c r="H4" s="17">
        <f t="shared" si="1"/>
        <v>119284.04675634517</v>
      </c>
      <c r="I4" s="17">
        <f t="shared" si="2"/>
        <v>783165.9532436548</v>
      </c>
    </row>
    <row r="5" spans="1:9" ht="15.75" customHeight="1" x14ac:dyDescent="0.25">
      <c r="A5" s="5">
        <f t="shared" si="3"/>
        <v>2027</v>
      </c>
      <c r="B5" s="49">
        <v>105398</v>
      </c>
      <c r="C5" s="50">
        <v>214842</v>
      </c>
      <c r="D5" s="50">
        <v>351986.99999999994</v>
      </c>
      <c r="E5" s="50">
        <v>213441.50000000003</v>
      </c>
      <c r="F5" s="50">
        <v>147714.5</v>
      </c>
      <c r="G5" s="17">
        <f t="shared" si="0"/>
        <v>927985</v>
      </c>
      <c r="H5" s="17">
        <f t="shared" si="1"/>
        <v>121734.96223735687</v>
      </c>
      <c r="I5" s="17">
        <f t="shared" si="2"/>
        <v>806250.03776264307</v>
      </c>
    </row>
    <row r="6" spans="1:9" ht="15.75" customHeight="1" x14ac:dyDescent="0.25">
      <c r="A6" s="5">
        <f t="shared" si="3"/>
        <v>2028</v>
      </c>
      <c r="B6" s="49">
        <v>107199</v>
      </c>
      <c r="C6" s="50">
        <v>216074</v>
      </c>
      <c r="D6" s="50">
        <v>361609.00000000006</v>
      </c>
      <c r="E6" s="50">
        <v>225442</v>
      </c>
      <c r="F6" s="50">
        <v>150261</v>
      </c>
      <c r="G6" s="17">
        <f t="shared" si="0"/>
        <v>953386</v>
      </c>
      <c r="H6" s="17">
        <f t="shared" si="1"/>
        <v>123815.12188924287</v>
      </c>
      <c r="I6" s="17">
        <f t="shared" si="2"/>
        <v>829570.8781107571</v>
      </c>
    </row>
    <row r="7" spans="1:9" ht="15.75" customHeight="1" x14ac:dyDescent="0.25">
      <c r="A7" s="5">
        <f t="shared" si="3"/>
        <v>2029</v>
      </c>
      <c r="B7" s="49">
        <v>108940</v>
      </c>
      <c r="C7" s="50">
        <v>217081.5</v>
      </c>
      <c r="D7" s="50">
        <v>371204</v>
      </c>
      <c r="E7" s="50">
        <v>236910.5</v>
      </c>
      <c r="F7" s="50">
        <v>153461.5</v>
      </c>
      <c r="G7" s="17">
        <f t="shared" si="0"/>
        <v>978657.5</v>
      </c>
      <c r="H7" s="17">
        <f t="shared" si="1"/>
        <v>125825.9813861521</v>
      </c>
      <c r="I7" s="17">
        <f t="shared" si="2"/>
        <v>852831.5186138479</v>
      </c>
    </row>
    <row r="8" spans="1:9" ht="15.75" customHeight="1" x14ac:dyDescent="0.25">
      <c r="A8" s="5">
        <f t="shared" si="3"/>
        <v>2030</v>
      </c>
      <c r="B8" s="49">
        <v>110590</v>
      </c>
      <c r="C8" s="50">
        <v>217242</v>
      </c>
      <c r="D8" s="50">
        <v>380964.5</v>
      </c>
      <c r="E8" s="50">
        <v>248238.99999999997</v>
      </c>
      <c r="F8" s="50">
        <v>156988.5</v>
      </c>
      <c r="G8" s="17">
        <f t="shared" si="0"/>
        <v>1003434</v>
      </c>
      <c r="H8" s="17">
        <f t="shared" si="1"/>
        <v>127731.7356480132</v>
      </c>
      <c r="I8" s="17">
        <f t="shared" si="2"/>
        <v>875702.26435198681</v>
      </c>
    </row>
    <row r="9" spans="1:9" ht="15.75" customHeight="1" x14ac:dyDescent="0.25">
      <c r="A9" s="5">
        <f t="shared" si="3"/>
        <v>2031</v>
      </c>
      <c r="B9" s="49">
        <v>111974</v>
      </c>
      <c r="C9" s="50">
        <v>216570.5</v>
      </c>
      <c r="D9" s="50">
        <v>390563.5</v>
      </c>
      <c r="E9" s="50">
        <v>259933.49999999997</v>
      </c>
      <c r="F9" s="50">
        <v>160942.5</v>
      </c>
      <c r="G9" s="17">
        <f t="shared" si="0"/>
        <v>1028010</v>
      </c>
      <c r="H9" s="17">
        <f t="shared" si="1"/>
        <v>129330.25922281065</v>
      </c>
      <c r="I9" s="17">
        <f t="shared" si="2"/>
        <v>898679.74077718938</v>
      </c>
    </row>
    <row r="10" spans="1:9" ht="15.75" customHeight="1" x14ac:dyDescent="0.25">
      <c r="A10" s="5">
        <f t="shared" si="3"/>
        <v>2032</v>
      </c>
      <c r="B10" s="49">
        <v>113264</v>
      </c>
      <c r="C10" s="50">
        <v>215382</v>
      </c>
      <c r="D10" s="50">
        <v>399215.00000000006</v>
      </c>
      <c r="E10" s="50">
        <v>271938</v>
      </c>
      <c r="F10" s="50">
        <v>165359.5</v>
      </c>
      <c r="G10" s="17">
        <f t="shared" si="0"/>
        <v>1051894.5</v>
      </c>
      <c r="H10" s="17">
        <f t="shared" si="1"/>
        <v>130820.21255481118</v>
      </c>
      <c r="I10" s="17">
        <f t="shared" si="2"/>
        <v>921074.28744518885</v>
      </c>
    </row>
    <row r="11" spans="1:9" ht="15.75" customHeight="1" x14ac:dyDescent="0.25">
      <c r="A11" s="5">
        <f t="shared" si="3"/>
        <v>2033</v>
      </c>
      <c r="B11" s="49">
        <v>114266</v>
      </c>
      <c r="C11" s="50">
        <v>214055.5</v>
      </c>
      <c r="D11" s="50">
        <v>406087.99999999994</v>
      </c>
      <c r="E11" s="50">
        <v>284429</v>
      </c>
      <c r="F11" s="50">
        <v>170686</v>
      </c>
      <c r="G11" s="17">
        <f t="shared" si="0"/>
        <v>1075258.5</v>
      </c>
      <c r="H11" s="17">
        <f t="shared" si="1"/>
        <v>131977.5251429232</v>
      </c>
      <c r="I11" s="17">
        <f t="shared" si="2"/>
        <v>943280.97485707677</v>
      </c>
    </row>
    <row r="12" spans="1:9" ht="15.75" customHeight="1" x14ac:dyDescent="0.25">
      <c r="A12" s="5">
        <f t="shared" si="3"/>
        <v>2034</v>
      </c>
      <c r="B12" s="49">
        <v>115029</v>
      </c>
      <c r="C12" s="50">
        <v>213118.5</v>
      </c>
      <c r="D12" s="50">
        <v>411196</v>
      </c>
      <c r="E12" s="50">
        <v>297768</v>
      </c>
      <c r="F12" s="50">
        <v>177129.5</v>
      </c>
      <c r="G12" s="17">
        <f t="shared" si="0"/>
        <v>1099212</v>
      </c>
      <c r="H12" s="17">
        <f t="shared" si="1"/>
        <v>132858.7921137111</v>
      </c>
      <c r="I12" s="17">
        <f t="shared" si="2"/>
        <v>966353.20788628887</v>
      </c>
    </row>
    <row r="13" spans="1:9" ht="15.75" customHeight="1" x14ac:dyDescent="0.25">
      <c r="A13" s="5">
        <f t="shared" si="3"/>
        <v>2035</v>
      </c>
      <c r="B13" s="49">
        <v>115561</v>
      </c>
      <c r="C13" s="50">
        <v>212833</v>
      </c>
      <c r="D13" s="50">
        <v>414665.5</v>
      </c>
      <c r="E13" s="50">
        <v>311559.49999999994</v>
      </c>
      <c r="F13" s="50">
        <v>184954</v>
      </c>
      <c r="G13" s="17">
        <f t="shared" si="0"/>
        <v>1124012</v>
      </c>
      <c r="H13" s="17">
        <f t="shared" si="1"/>
        <v>133473.25348783846</v>
      </c>
      <c r="I13" s="17">
        <f t="shared" si="2"/>
        <v>990538.74651216157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QDKFRWhsmc3m7h4dUFGeB/rI+iZRUFNrtD5gCWCu8bSXJHcAMQmGClJrsOUfQDnYc7XMhRDNA2ZC1YIwT/HwvA==" saltValue="v7cnSvZhmEiqf/Ymdbf7/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9.54159904584009E-3</v>
      </c>
    </row>
    <row r="4" spans="1:8" ht="15.75" customHeight="1" x14ac:dyDescent="0.25">
      <c r="B4" s="19" t="s">
        <v>97</v>
      </c>
      <c r="C4" s="99">
        <v>6.4930893506910725E-2</v>
      </c>
    </row>
    <row r="5" spans="1:8" ht="15.75" customHeight="1" x14ac:dyDescent="0.25">
      <c r="B5" s="19" t="s">
        <v>98</v>
      </c>
      <c r="C5" s="99">
        <v>8.333079166692095E-2</v>
      </c>
    </row>
    <row r="6" spans="1:8" ht="15.75" customHeight="1" x14ac:dyDescent="0.25">
      <c r="B6" s="19" t="s">
        <v>99</v>
      </c>
      <c r="C6" s="99">
        <v>0.24122667587733301</v>
      </c>
    </row>
    <row r="7" spans="1:8" ht="15.75" customHeight="1" x14ac:dyDescent="0.25">
      <c r="B7" s="19" t="s">
        <v>100</v>
      </c>
      <c r="C7" s="99">
        <v>0.41004985899501339</v>
      </c>
    </row>
    <row r="8" spans="1:8" ht="15.75" customHeight="1" x14ac:dyDescent="0.25">
      <c r="B8" s="19" t="s">
        <v>101</v>
      </c>
      <c r="C8" s="99">
        <v>1.193399880660011E-3</v>
      </c>
    </row>
    <row r="9" spans="1:8" ht="15.75" customHeight="1" x14ac:dyDescent="0.25">
      <c r="B9" s="19" t="s">
        <v>102</v>
      </c>
      <c r="C9" s="99">
        <v>8.1527291847270894E-2</v>
      </c>
    </row>
    <row r="10" spans="1:8" ht="15.75" customHeight="1" x14ac:dyDescent="0.25">
      <c r="B10" s="19" t="s">
        <v>103</v>
      </c>
      <c r="C10" s="99">
        <v>0.108199489180051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0.17628801217640019</v>
      </c>
      <c r="D14" s="55">
        <v>0.17628801217640019</v>
      </c>
      <c r="E14" s="55">
        <v>0.17628801217640019</v>
      </c>
      <c r="F14" s="55">
        <v>0.17628801217640019</v>
      </c>
    </row>
    <row r="15" spans="1:8" ht="15.75" customHeight="1" x14ac:dyDescent="0.25">
      <c r="B15" s="19" t="s">
        <v>106</v>
      </c>
      <c r="C15" s="99">
        <v>0.24104474898363951</v>
      </c>
      <c r="D15" s="99">
        <v>0.24104474898363951</v>
      </c>
      <c r="E15" s="99">
        <v>0.24104474898363951</v>
      </c>
      <c r="F15" s="99">
        <v>0.24104474898363951</v>
      </c>
    </row>
    <row r="16" spans="1:8" ht="15.75" customHeight="1" x14ac:dyDescent="0.25">
      <c r="B16" s="19" t="s">
        <v>107</v>
      </c>
      <c r="C16" s="99">
        <v>2.6390130677189091E-2</v>
      </c>
      <c r="D16" s="99">
        <v>2.6390130677189091E-2</v>
      </c>
      <c r="E16" s="99">
        <v>2.6390130677189091E-2</v>
      </c>
      <c r="F16" s="99">
        <v>2.6390130677189091E-2</v>
      </c>
    </row>
    <row r="17" spans="1:8" ht="15.75" customHeight="1" x14ac:dyDescent="0.25">
      <c r="B17" s="19" t="s">
        <v>108</v>
      </c>
      <c r="C17" s="99">
        <v>6.6708176145966061E-3</v>
      </c>
      <c r="D17" s="99">
        <v>6.6708176145966061E-3</v>
      </c>
      <c r="E17" s="99">
        <v>6.6708176145966061E-3</v>
      </c>
      <c r="F17" s="99">
        <v>6.6708176145966061E-3</v>
      </c>
    </row>
    <row r="18" spans="1:8" ht="15.75" customHeight="1" x14ac:dyDescent="0.25">
      <c r="B18" s="19" t="s">
        <v>109</v>
      </c>
      <c r="C18" s="99">
        <v>8.4191652621648683E-2</v>
      </c>
      <c r="D18" s="99">
        <v>8.4191652621648683E-2</v>
      </c>
      <c r="E18" s="99">
        <v>8.4191652621648683E-2</v>
      </c>
      <c r="F18" s="99">
        <v>8.4191652621648683E-2</v>
      </c>
    </row>
    <row r="19" spans="1:8" ht="15.75" customHeight="1" x14ac:dyDescent="0.25">
      <c r="B19" s="19" t="s">
        <v>110</v>
      </c>
      <c r="C19" s="99">
        <v>6.8330843258333274E-2</v>
      </c>
      <c r="D19" s="99">
        <v>6.8330843258333274E-2</v>
      </c>
      <c r="E19" s="99">
        <v>6.8330843258333274E-2</v>
      </c>
      <c r="F19" s="99">
        <v>6.8330843258333274E-2</v>
      </c>
    </row>
    <row r="20" spans="1:8" ht="15.75" customHeight="1" x14ac:dyDescent="0.25">
      <c r="B20" s="19" t="s">
        <v>111</v>
      </c>
      <c r="C20" s="99">
        <v>1.250400620514191E-2</v>
      </c>
      <c r="D20" s="99">
        <v>1.250400620514191E-2</v>
      </c>
      <c r="E20" s="99">
        <v>1.250400620514191E-2</v>
      </c>
      <c r="F20" s="99">
        <v>1.250400620514191E-2</v>
      </c>
    </row>
    <row r="21" spans="1:8" ht="15.75" customHeight="1" x14ac:dyDescent="0.25">
      <c r="B21" s="19" t="s">
        <v>112</v>
      </c>
      <c r="C21" s="99">
        <v>0.1655459558925296</v>
      </c>
      <c r="D21" s="99">
        <v>0.1655459558925296</v>
      </c>
      <c r="E21" s="99">
        <v>0.1655459558925296</v>
      </c>
      <c r="F21" s="99">
        <v>0.1655459558925296</v>
      </c>
    </row>
    <row r="22" spans="1:8" ht="15.75" customHeight="1" x14ac:dyDescent="0.25">
      <c r="B22" s="19" t="s">
        <v>113</v>
      </c>
      <c r="C22" s="99">
        <v>0.21903383257052109</v>
      </c>
      <c r="D22" s="99">
        <v>0.21903383257052109</v>
      </c>
      <c r="E22" s="99">
        <v>0.21903383257052109</v>
      </c>
      <c r="F22" s="99">
        <v>0.21903383257052109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8.7620265000000017E-2</v>
      </c>
    </row>
    <row r="27" spans="1:8" ht="15.75" customHeight="1" x14ac:dyDescent="0.25">
      <c r="B27" s="19" t="s">
        <v>120</v>
      </c>
      <c r="C27" s="99">
        <v>8.4936790000000005E-3</v>
      </c>
    </row>
    <row r="28" spans="1:8" ht="15.75" customHeight="1" x14ac:dyDescent="0.25">
      <c r="B28" s="19" t="s">
        <v>121</v>
      </c>
      <c r="C28" s="99">
        <v>0.15420750799999999</v>
      </c>
    </row>
    <row r="29" spans="1:8" ht="15.75" customHeight="1" x14ac:dyDescent="0.25">
      <c r="B29" s="19" t="s">
        <v>122</v>
      </c>
      <c r="C29" s="99">
        <v>0.168404365</v>
      </c>
    </row>
    <row r="30" spans="1:8" ht="15.75" customHeight="1" x14ac:dyDescent="0.25">
      <c r="B30" s="19" t="s">
        <v>2</v>
      </c>
      <c r="C30" s="99">
        <v>0.105568509</v>
      </c>
    </row>
    <row r="31" spans="1:8" ht="15.75" customHeight="1" x14ac:dyDescent="0.25">
      <c r="B31" s="19" t="s">
        <v>123</v>
      </c>
      <c r="C31" s="99">
        <v>0.10981025899999999</v>
      </c>
    </row>
    <row r="32" spans="1:8" ht="15.75" customHeight="1" x14ac:dyDescent="0.25">
      <c r="B32" s="19" t="s">
        <v>124</v>
      </c>
      <c r="C32" s="99">
        <v>1.8832593000000002E-2</v>
      </c>
    </row>
    <row r="33" spans="2:3" ht="15.75" customHeight="1" x14ac:dyDescent="0.25">
      <c r="B33" s="19" t="s">
        <v>125</v>
      </c>
      <c r="C33" s="99">
        <v>8.4520607999999997E-2</v>
      </c>
    </row>
    <row r="34" spans="2:3" ht="15.75" customHeight="1" x14ac:dyDescent="0.25">
      <c r="B34" s="19" t="s">
        <v>126</v>
      </c>
      <c r="C34" s="99">
        <v>0.26254221300000002</v>
      </c>
    </row>
    <row r="35" spans="2:3" ht="15.75" customHeight="1" x14ac:dyDescent="0.25">
      <c r="B35" s="27" t="s">
        <v>59</v>
      </c>
      <c r="C35" s="48">
        <f>SUM(C26:C34)</f>
        <v>0.99999999900000003</v>
      </c>
    </row>
  </sheetData>
  <sheetProtection algorithmName="SHA-512" hashValue="5+sbdqtZjgL3ejqBr1QpTBmBaCZrg0gGwUWdWrcyUrtkiUCoR97VXLOZQMAnBeGP7mNXZZSzoFPH8nsyjzwQiA==" saltValue="RoMMRtIEyfJPXTPPS1czw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0.44451771354283154</v>
      </c>
      <c r="D2" s="52">
        <f>IFERROR(1-_xlfn.NORM.DIST(_xlfn.NORM.INV(SUM(D4:D5), 0, 1) + 1, 0, 1, TRUE), "")</f>
        <v>0.44451771354283154</v>
      </c>
      <c r="E2" s="52">
        <f>IFERROR(1-_xlfn.NORM.DIST(_xlfn.NORM.INV(SUM(E4:E5), 0, 1) + 1, 0, 1, TRUE), "")</f>
        <v>0.34864384608921117</v>
      </c>
      <c r="F2" s="52">
        <f>IFERROR(1-_xlfn.NORM.DIST(_xlfn.NORM.INV(SUM(F4:F5), 0, 1) + 1, 0, 1, TRUE), "")</f>
        <v>0.17995639145896147</v>
      </c>
      <c r="G2" s="52">
        <f>IFERROR(1-_xlfn.NORM.DIST(_xlfn.NORM.INV(SUM(G4:G5), 0, 1) + 1, 0, 1, TRUE), "")</f>
        <v>0.17038300794971728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0.36071870074288248</v>
      </c>
      <c r="D3" s="52">
        <f>IFERROR(_xlfn.NORM.DIST(_xlfn.NORM.INV(SUM(D4:D5), 0, 1) + 1, 0, 1, TRUE) - SUM(D4:D5), "")</f>
        <v>0.36071870074288248</v>
      </c>
      <c r="E3" s="52">
        <f>IFERROR(_xlfn.NORM.DIST(_xlfn.NORM.INV(SUM(E4:E5), 0, 1) + 1, 0, 1, TRUE) - SUM(E4:E5), "")</f>
        <v>0.38076153010126584</v>
      </c>
      <c r="F3" s="52">
        <f>IFERROR(_xlfn.NORM.DIST(_xlfn.NORM.INV(SUM(F4:F5), 0, 1) + 1, 0, 1, TRUE) - SUM(F4:F5), "")</f>
        <v>0.35370171806484851</v>
      </c>
      <c r="G3" s="52">
        <f>IFERROR(_xlfn.NORM.DIST(_xlfn.NORM.INV(SUM(G4:G5), 0, 1) + 1, 0, 1, TRUE) - SUM(G4:G5), "")</f>
        <v>0.34849873728837771</v>
      </c>
    </row>
    <row r="4" spans="1:15" ht="15.75" customHeight="1" x14ac:dyDescent="0.25">
      <c r="B4" s="5" t="s">
        <v>132</v>
      </c>
      <c r="C4" s="45">
        <v>0.113393635714286</v>
      </c>
      <c r="D4" s="53">
        <v>0.113393635714286</v>
      </c>
      <c r="E4" s="53">
        <v>0.16521329047618999</v>
      </c>
      <c r="F4" s="53">
        <v>0.25580331428571401</v>
      </c>
      <c r="G4" s="53">
        <v>0.26141645714285699</v>
      </c>
    </row>
    <row r="5" spans="1:15" ht="15.75" customHeight="1" x14ac:dyDescent="0.25">
      <c r="B5" s="5" t="s">
        <v>133</v>
      </c>
      <c r="C5" s="45">
        <v>8.136995000000001E-2</v>
      </c>
      <c r="D5" s="53">
        <v>8.136995000000001E-2</v>
      </c>
      <c r="E5" s="53">
        <v>0.10538133333333299</v>
      </c>
      <c r="F5" s="53">
        <v>0.210538576190476</v>
      </c>
      <c r="G5" s="53">
        <v>0.21970179761904801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0.6109569956403027</v>
      </c>
      <c r="D8" s="52">
        <f>IFERROR(1-_xlfn.NORM.DIST(_xlfn.NORM.INV(SUM(D10:D11), 0, 1) + 1, 0, 1, TRUE), "")</f>
        <v>0.6109569956403027</v>
      </c>
      <c r="E8" s="52">
        <f>IFERROR(1-_xlfn.NORM.DIST(_xlfn.NORM.INV(SUM(E10:E11), 0, 1) + 1, 0, 1, TRUE), "")</f>
        <v>0.58939751230095949</v>
      </c>
      <c r="F8" s="52">
        <f>IFERROR(1-_xlfn.NORM.DIST(_xlfn.NORM.INV(SUM(F10:F11), 0, 1) + 1, 0, 1, TRUE), "")</f>
        <v>0.63333615294728807</v>
      </c>
      <c r="G8" s="52">
        <f>IFERROR(1-_xlfn.NORM.DIST(_xlfn.NORM.INV(SUM(G10:G11), 0, 1) + 1, 0, 1, TRUE), "")</f>
        <v>0.73754048279180073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0.28908908240847775</v>
      </c>
      <c r="D9" s="52">
        <f>IFERROR(_xlfn.NORM.DIST(_xlfn.NORM.INV(SUM(D10:D11), 0, 1) + 1, 0, 1, TRUE) - SUM(D10:D11), "")</f>
        <v>0.28908908240847775</v>
      </c>
      <c r="E9" s="52">
        <f>IFERROR(_xlfn.NORM.DIST(_xlfn.NORM.INV(SUM(E10:E11), 0, 1) + 1, 0, 1, TRUE) - SUM(E10:E11), "")</f>
        <v>0.3005022901380649</v>
      </c>
      <c r="F9" s="52">
        <f>IFERROR(_xlfn.NORM.DIST(_xlfn.NORM.INV(SUM(F10:F11), 0, 1) + 1, 0, 1, TRUE) - SUM(F10:F11), "")</f>
        <v>0.2766552860771021</v>
      </c>
      <c r="G9" s="52">
        <f>IFERROR(_xlfn.NORM.DIST(_xlfn.NORM.INV(SUM(G10:G11), 0, 1) + 1, 0, 1, TRUE) - SUM(G10:G11), "")</f>
        <v>0.21151682452527237</v>
      </c>
    </row>
    <row r="10" spans="1:15" ht="15.75" customHeight="1" x14ac:dyDescent="0.25">
      <c r="B10" s="5" t="s">
        <v>137</v>
      </c>
      <c r="C10" s="45">
        <v>5.8169595121951197E-2</v>
      </c>
      <c r="D10" s="53">
        <v>5.8169595121951197E-2</v>
      </c>
      <c r="E10" s="53">
        <v>7.0832097560975596E-2</v>
      </c>
      <c r="F10" s="53">
        <v>5.9730256097561003E-2</v>
      </c>
      <c r="G10" s="53">
        <v>3.3807034146341501E-2</v>
      </c>
    </row>
    <row r="11" spans="1:15" ht="15.75" customHeight="1" x14ac:dyDescent="0.25">
      <c r="B11" s="5" t="s">
        <v>138</v>
      </c>
      <c r="C11" s="45">
        <v>4.1784326829268303E-2</v>
      </c>
      <c r="D11" s="53">
        <v>4.1784326829268303E-2</v>
      </c>
      <c r="E11" s="53">
        <v>3.92681E-2</v>
      </c>
      <c r="F11" s="53">
        <v>3.0278304878048799E-2</v>
      </c>
      <c r="G11" s="53">
        <v>1.7135658536585399E-2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0.40699999999999997</v>
      </c>
      <c r="I14" s="55">
        <v>0.40699999999999997</v>
      </c>
      <c r="J14" s="55">
        <v>0.40699999999999997</v>
      </c>
      <c r="K14" s="55">
        <v>0.40699999999999997</v>
      </c>
      <c r="L14" s="45">
        <v>0.37799999999999989</v>
      </c>
      <c r="M14" s="55">
        <v>0.37799999999999989</v>
      </c>
      <c r="N14" s="55">
        <v>0.37799999999999989</v>
      </c>
      <c r="O14" s="55">
        <v>0.37799999999999989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0.45566463765020654</v>
      </c>
      <c r="D15" s="52">
        <f t="shared" si="0"/>
        <v>0.45162762935847928</v>
      </c>
      <c r="E15" s="52">
        <f t="shared" si="0"/>
        <v>0.45162762935847928</v>
      </c>
      <c r="F15" s="52">
        <f t="shared" si="0"/>
        <v>0.31347914346228822</v>
      </c>
      <c r="G15" s="52">
        <f t="shared" si="0"/>
        <v>0.31347914346228822</v>
      </c>
      <c r="H15" s="52">
        <f t="shared" si="0"/>
        <v>0.20418335299999998</v>
      </c>
      <c r="I15" s="52">
        <f t="shared" si="0"/>
        <v>0.20418335299999998</v>
      </c>
      <c r="J15" s="52">
        <f t="shared" si="0"/>
        <v>0.20418335299999998</v>
      </c>
      <c r="K15" s="52">
        <f t="shared" si="0"/>
        <v>0.20418335299999998</v>
      </c>
      <c r="L15" s="52">
        <f t="shared" si="0"/>
        <v>0.18963466199999995</v>
      </c>
      <c r="M15" s="52">
        <f t="shared" si="0"/>
        <v>0.18963466199999995</v>
      </c>
      <c r="N15" s="52">
        <f t="shared" si="0"/>
        <v>0.18963466199999995</v>
      </c>
      <c r="O15" s="52">
        <f t="shared" si="0"/>
        <v>0.18963466199999995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uM0qqltEC5Jm+fpEPSilDJT3DOCZVWXGN9Bq3EFyyykeZeI1b0NmvVa5nSw4Pknu1Lf7zUeVLgysTMpMO3z0Q==" saltValue="5T+A0OldxPKqX3SZbR6WG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0.79400000000000004</v>
      </c>
      <c r="D2" s="53">
        <v>0.25800000000000001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0.183</v>
      </c>
      <c r="D3" s="53">
        <v>0.53900000000000003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2.3E-2</v>
      </c>
      <c r="D4" s="53">
        <v>0.20200000000000001</v>
      </c>
      <c r="E4" s="53">
        <v>0.97900000000000009</v>
      </c>
      <c r="F4" s="53">
        <v>0.77599999999999991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</v>
      </c>
      <c r="D5" s="52">
        <f t="shared" si="0"/>
        <v>9.9999999999988987E-4</v>
      </c>
      <c r="E5" s="52">
        <f>1-SUM(E2:E4)</f>
        <v>2.0999999999999908E-2</v>
      </c>
      <c r="F5" s="52">
        <f>1-SUM(F2:F4)</f>
        <v>0.22400000000000009</v>
      </c>
      <c r="G5" s="52">
        <f>1-SUM(G2:G4)</f>
        <v>1</v>
      </c>
    </row>
  </sheetData>
  <sheetProtection algorithmName="SHA-512" hashValue="XG3TBJ3/3lZ1J9ZWSjG3hrbsFLxczHHent+jtaX6v3s/81gSKxOQj2XjKIiAMnAp0q9CvufPOl18pznFrtqYBA==" saltValue="snJ9GclxrRGpIR4NxWMcs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AIKPWWB+NP4lEeTSLWo2bWRzSMHwIYJeeVwegfzV5acYFQ8KF1+t89X+D9YXlwtpJ1VVyNwvgYkIl8DkBzXqg==" saltValue="Arrqq62ck/Z5D4zDmamgN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643.79004231123895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0.38130999999999998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0.73868999999999996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1.4661369499999998E-2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95935.472460000005</v>
      </c>
      <c r="C22" s="107">
        <v>95585.087790000005</v>
      </c>
      <c r="D22" s="107">
        <v>95215.541410000005</v>
      </c>
      <c r="E22" s="107">
        <v>94528.811369999996</v>
      </c>
      <c r="F22" s="107">
        <v>93532.808940000003</v>
      </c>
      <c r="G22" s="107">
        <v>92327.932209999999</v>
      </c>
      <c r="H22" s="107">
        <v>90792.587190000006</v>
      </c>
      <c r="I22" s="107">
        <v>88637.59822</v>
      </c>
      <c r="J22" s="107">
        <v>85524.114249999999</v>
      </c>
      <c r="K22" s="107">
        <v>81231.095660000006</v>
      </c>
      <c r="L22" s="107">
        <v>75422.882159999994</v>
      </c>
      <c r="M22" s="107">
        <v>67838.960309999995</v>
      </c>
      <c r="N22" s="107">
        <v>58239.989220000003</v>
      </c>
      <c r="O22" s="107">
        <v>47098.437530000003</v>
      </c>
    </row>
  </sheetData>
  <sheetProtection algorithmName="SHA-512" hashValue="KGX/ognqu0i3DF9cYfPK+Z7wwHhwYdUxTvKewdD3jFQtoQFuIpBUaoW9P9TCZXPaILCnCPdPRffbydlhUIvHNQ==" saltValue="88q/Aw773R3E2kNasGB6E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Tgvs1j2CHBAS1brwT0WKTCPFLF+6fMfjTIt14fNzsHtzEKX7ZTNLuk3ClFnpu6Khw2/ieETVT3UGTXflv2JBJA==" saltValue="GgU+KJ3JRJ+g6LWIW2Pzu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qFmW4NCUfcOEo9D9J2s7VO+2qNHaqM6LYhPsgx3F8OQB49G1Eb5oSJ/UxlGGP4LADlaKkHKR8/UV1QbalsKZtA==" saltValue="+q6W4sNebDPwQ7T+Hzlpc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6.8747382117628364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2.1291837256908908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0.22197642864885933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15.05101211717766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15.05101211717766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15.05101211717766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15.05101211717766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0.31330000000000002</v>
      </c>
      <c r="C14" s="96">
        <v>0.95</v>
      </c>
      <c r="D14" s="56">
        <v>2.7509100930955666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15.05101211717766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0.14499999999999999</v>
      </c>
      <c r="C16" s="96">
        <v>0.95</v>
      </c>
      <c r="D16" s="56">
        <v>2.1562548532894295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0.58636119533868591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0.373</v>
      </c>
      <c r="C18" s="96">
        <v>0.95</v>
      </c>
      <c r="D18" s="56">
        <v>6.8747382117628364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0.25800000000000001</v>
      </c>
      <c r="C19" s="96">
        <v>0.95</v>
      </c>
      <c r="D19" s="56">
        <v>7.29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7.2638561333206297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6.8747382117628364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0.70900000000000007</v>
      </c>
      <c r="C23" s="96">
        <v>0.95</v>
      </c>
      <c r="D23" s="56">
        <v>4.9325180741630454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0.24025928639999999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4.4432147531692987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8.8360724993186164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0.434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0.42499999999999999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57.448392612859095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125.66324080233395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0.78</v>
      </c>
      <c r="C32" s="96">
        <v>0.95</v>
      </c>
      <c r="D32" s="56">
        <v>0.65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0.26800000000000002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0.51764500000000002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2.2145073762257557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5.8497136845734818</v>
      </c>
      <c r="E39" s="56" t="s">
        <v>230</v>
      </c>
      <c r="F39" s="96">
        <v>1</v>
      </c>
      <c r="G39" s="96">
        <v>1</v>
      </c>
    </row>
  </sheetData>
  <sheetProtection algorithmName="SHA-512" hashValue="TMHTnzoxUlTkuz+lUmAa6urYZKY7mpr6rbKDSE1O+eIR+Bc50AgxGTLANuGbIaHMkX45/jeAofk2AXbDnyhn2w==" saltValue="pnvWJ+xSqZXxwauJ2j20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BW4FG2VoVihuVj6wKZjSTWQwSxYfehC1hb1EScLm3PcIO05nfKraQbCzA9HM3umQk1TnvzliJP1jphjDIUKAMw==" saltValue="+FVcplS/Esouss8EUTyep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XMoM5neyPwlSBvcI9mXfWQLONN4O0Rn6BJ8+em2OtPRvwgvIVAH6S19RYMVLsTAf5RZrgEUzVYyN6E9qQon9A==" saltValue="4KvkOsY3JfFHawS8qm/0q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1.8460000000000001</v>
      </c>
      <c r="C2" s="21">
        <f>'Données pop de l''année de ref'!C52</f>
        <v>1.8460000000000001</v>
      </c>
      <c r="D2" s="21">
        <f>'Données pop de l''année de ref'!C53</f>
        <v>5.3039999999999994</v>
      </c>
      <c r="E2" s="21">
        <f>'Données pop de l''année de ref'!C54</f>
        <v>5.8760000000000003</v>
      </c>
      <c r="F2" s="21">
        <f>'Données pop de l''année de ref'!C55</f>
        <v>2.8166666666666669</v>
      </c>
    </row>
    <row r="3" spans="1:6" ht="15.75" customHeight="1" x14ac:dyDescent="0.25">
      <c r="A3" s="3" t="s">
        <v>238</v>
      </c>
      <c r="B3" s="21">
        <f>frac_mam_1month * 2.6</f>
        <v>0.1512409473170731</v>
      </c>
      <c r="C3" s="21">
        <f>frac_mam_1_5months * 2.6</f>
        <v>0.1512409473170731</v>
      </c>
      <c r="D3" s="21">
        <f>frac_mam_6_11months * 2.6</f>
        <v>0.18416345365853656</v>
      </c>
      <c r="E3" s="21">
        <f>frac_mam_12_23months * 2.6</f>
        <v>0.15529866585365862</v>
      </c>
      <c r="F3" s="21">
        <f>frac_mam_24_59months * 2.6</f>
        <v>8.7898288780487902E-2</v>
      </c>
    </row>
    <row r="4" spans="1:6" ht="15.75" customHeight="1" x14ac:dyDescent="0.25">
      <c r="A4" s="3" t="s">
        <v>237</v>
      </c>
      <c r="B4" s="21">
        <f>frac_sam_1month * 2.6</f>
        <v>0.10863924975609759</v>
      </c>
      <c r="C4" s="21">
        <f>frac_sam_1_5months * 2.6</f>
        <v>0.10863924975609759</v>
      </c>
      <c r="D4" s="21">
        <f>frac_sam_6_11months * 2.6</f>
        <v>0.10209706</v>
      </c>
      <c r="E4" s="21">
        <f>frac_sam_12_23months * 2.6</f>
        <v>7.8723592682926877E-2</v>
      </c>
      <c r="F4" s="21">
        <f>frac_sam_24_59months * 2.6</f>
        <v>4.4552712195122038E-2</v>
      </c>
    </row>
  </sheetData>
  <sheetProtection algorithmName="SHA-512" hashValue="mSyl3a5HozhOvCgk+vsWQinV7bQe4vFph/x5cJr3KgIjRR7LJDj2a+QIl3HlXNnmkKZUMp34RtZP3XaDILCSSw==" saltValue="9mAuPIr629pAudpD9QQGy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0.45200000000000001</v>
      </c>
      <c r="F2" s="60">
        <f>food_insecure</f>
        <v>0.45200000000000001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4.0276363636363638E-2</v>
      </c>
      <c r="D7" s="60">
        <f>diarrhoea_1_5mo*frac_diarrhea_severe</f>
        <v>4.0276363636363638E-2</v>
      </c>
      <c r="E7" s="60">
        <f>diarrhoea_6_11mo*frac_diarrhea_severe</f>
        <v>0.11572363636363636</v>
      </c>
      <c r="F7" s="60">
        <f>diarrhoea_12_23mo*frac_diarrhea_severe</f>
        <v>0.12820363636363638</v>
      </c>
      <c r="G7" s="60">
        <f>diarrhoea_24_59mo*frac_diarrhea_severe</f>
        <v>6.1454545454545463E-2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4.0276363636363638E-2</v>
      </c>
      <c r="D12" s="60">
        <f>diarrhoea_1_5mo*frac_diarrhea_severe</f>
        <v>4.0276363636363638E-2</v>
      </c>
      <c r="E12" s="60">
        <f>diarrhoea_6_11mo*frac_diarrhea_severe</f>
        <v>0.11572363636363636</v>
      </c>
      <c r="F12" s="60">
        <f>diarrhoea_12_23mo*frac_diarrhea_severe</f>
        <v>0.12820363636363638</v>
      </c>
      <c r="G12" s="60">
        <f>diarrhoea_24_59mo*frac_diarrhea_severe</f>
        <v>6.1454545454545463E-2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0.45200000000000001</v>
      </c>
      <c r="I15" s="60">
        <f t="shared" si="0"/>
        <v>0.45200000000000001</v>
      </c>
      <c r="J15" s="60">
        <f t="shared" si="0"/>
        <v>0.45200000000000001</v>
      </c>
      <c r="K15" s="60">
        <f t="shared" si="0"/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0.45200000000000001</v>
      </c>
      <c r="I16" s="60">
        <f t="shared" si="0"/>
        <v>0.45200000000000001</v>
      </c>
      <c r="J16" s="60">
        <f t="shared" si="0"/>
        <v>0.45200000000000001</v>
      </c>
      <c r="K16" s="60">
        <f t="shared" si="0"/>
        <v>0.45200000000000001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0.16</v>
      </c>
      <c r="I19" s="60">
        <f>frac_malaria_risk</f>
        <v>0.16</v>
      </c>
      <c r="J19" s="60">
        <f>frac_malaria_risk</f>
        <v>0.16</v>
      </c>
      <c r="K19" s="60">
        <f>frac_malaria_risk</f>
        <v>0.16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0.41799999999999998</v>
      </c>
      <c r="M24" s="60">
        <f>famplan_unmet_need</f>
        <v>0.41799999999999998</v>
      </c>
      <c r="N24" s="60">
        <f>famplan_unmet_need</f>
        <v>0.41799999999999998</v>
      </c>
      <c r="O24" s="60">
        <f>famplan_unmet_need</f>
        <v>0.41799999999999998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0.34945021790000008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0.14976437910000001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9.8217903000000023E-2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0.40256750000000008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0.16</v>
      </c>
      <c r="D34" s="60">
        <f t="shared" si="4"/>
        <v>0.16</v>
      </c>
      <c r="E34" s="60">
        <f t="shared" si="4"/>
        <v>0.16</v>
      </c>
      <c r="F34" s="60">
        <f t="shared" si="4"/>
        <v>0.16</v>
      </c>
      <c r="G34" s="60">
        <f t="shared" si="4"/>
        <v>0.16</v>
      </c>
      <c r="H34" s="60">
        <f t="shared" si="4"/>
        <v>0.16</v>
      </c>
      <c r="I34" s="60">
        <f t="shared" si="4"/>
        <v>0.16</v>
      </c>
      <c r="J34" s="60">
        <f t="shared" si="4"/>
        <v>0.16</v>
      </c>
      <c r="K34" s="60">
        <f t="shared" si="4"/>
        <v>0.16</v>
      </c>
      <c r="L34" s="60">
        <f t="shared" si="4"/>
        <v>0.16</v>
      </c>
      <c r="M34" s="60">
        <f t="shared" si="4"/>
        <v>0.16</v>
      </c>
      <c r="N34" s="60">
        <f t="shared" si="4"/>
        <v>0.16</v>
      </c>
      <c r="O34" s="60">
        <f t="shared" si="4"/>
        <v>0.16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5l1ObwRbPD1Wvtui9xvlUkE2ETHLwp/nxVFHA9fwstrMKGT00WlJvtyPHfGK1Wg2C0JKQCxXN5/3PA3iM0vSbg==" saltValue="K/3Gr3IoE40yycfDeImjX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mAmBTYTNDG9DwF7wThJF37AwWI60jyHPy4XNzGreUTF5YipItzx1uEebkqCIZh7LSmnialY0kQXGsAUXz8x1g==" saltValue="K+zkd8jPKgavTtKSTNiSq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zVzNnKX7zsDQa+bD0p2SrmDX/UnXox3LI/OwvzEdzcYiQSxPI66eqJIkqmFhVfKuH4gpm5z0UChyHjgQuLU3pQ==" saltValue="NdLWUK1r9QShPy9L41wL3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xuIHpccftcz+HQGJXcBZpndo8+qjIUxvsNN9AZpy4bNKveganwvwow7jCS7o/Hf/VlxmnsrUDNm+PcDMa34vg==" saltValue="FBfgtHAT3mN3t5Y2CfHTO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oklSckqLUt6p1ZXsCtQrakUhKb4JpWRv83saP9KiR8y+j5WAot/PuWdcip9wt+J/VqRTOcurHoCoy4wNcnDH2A==" saltValue="UK453szFKAJ0j3wd/4pYK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xtKdmpuX38u6q/YD59TnztrzSIhNlaGq8lqQ50heC9NwlnaL3JVnLcGk4JPFpR31pHhswVtQ9czhNy84HH/gXw==" saltValue="rGmWUtrFMe2icBtmz/ZOi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FHj2L39kZPeUU7p1LpLqXch5clk4Lp2zMeRR/sTXcYOiXOCEZeTm912Cjo9wHonF72FXVPesGsZSXJ34j4LRgg==" saltValue="98ErwOTkoksdPM06nFFk/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39gd3sXhIxVjgMws+JJa/kF/SZeCDUce0BVYzZOWNWVPfOx/GhpDdYmm7qIjjsm6nzg+M9yrx8wRjPf0i4Oqrg==" saltValue="3E/9oRNYJ07WwB1qxy3D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t1MOgwDwxFb4CnT1gIPuczPnl/CRhr3wzFiDO/QburuBZDS96AE/9HgCDAQKyybxq0qtmpAtqU30duw7tyQmQQ==" saltValue="pCX5lH8keRI2oV21qRZh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p+aLQjNdas5KuAUo29HJZbRdgS5iOrQiOFzehkrDa/MSkP37VtabG9KiXz3ZgGd6/5cuSbNAYA9fQv1VVRoYg==" saltValue="/ckUCg7PDmkHnKtCJJPq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+ZgsUyXNmh3p2uAQcA9WayfZqBl7fC5yu4ETnpzguSKVqg/uop1PjHBvwF0IGxyKWjimTGrkgqyEqOkeI3BOuA==" saltValue="tUpldlQFgOaejAA5SKo8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H3zMZe0O+LOn22aR7usWEZufrptNnHFJvqHXRQ227QMoO5KHeO1dXvkJMhwBBu3TmeDqpLyT5h06hhmzJ2MTw==" saltValue="eKIvtdnTms6EankV746r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9U8YZdW92iCIMFcOtNWd3W9Tn/TUe97DGOHfeUH2kjByz/E5gNro7/ZL8KfvUuwBeXW+U41tq4CWKceVd0QNZQ==" saltValue="MJ8svcqAU444X0egBt4DV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t91VXjO+EDoz3UwYQYVAKq0ZDB/5y9rByNb7YW4+YZNOYvfKIffi+M1IzXnpviwmzEudoGs9xofT0KNOeuadwA==" saltValue="UsBE4bF3v7ZKaM1LOWfO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2k3KsQi0gh1wUw8QCG2ULg5LZSxTvCxfZ63Ucdg+SAMOAhhj9oEzDvw48u/ONoQcm476Tw21xYfvDpjRhbs0pQ==" saltValue="DIY68jJJJkq14ri+r4PH0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