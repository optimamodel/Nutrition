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C52ABE2-DDC5-4894-BC10-C87817F77D6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<sst xmlns="http://schemas.openxmlformats.org/spreadsheetml/2006/main" count="2102" uniqueCount="337">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</sst>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503774.5703125</v>
      </c>
    </row>
    <row r="8" spans="1:3" ht="15" customHeight="1" x14ac:dyDescent="0.25">
      <c r="B8" s="5" t="s">
        <v>19</v>
      </c>
      <c r="C8" s="44">
        <v>0.45200000000000001</v>
      </c>
    </row>
    <row r="9" spans="1:3" ht="15" customHeight="1" x14ac:dyDescent="0.25">
      <c r="B9" s="5" t="s">
        <v>20</v>
      </c>
      <c r="C9" s="45">
        <v>0.16</v>
      </c>
    </row>
    <row r="10" spans="1:3" ht="15" customHeight="1" x14ac:dyDescent="0.25">
      <c r="B10" s="5" t="s">
        <v>21</v>
      </c>
      <c r="C10" s="45">
        <v>0.30309999999999998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8.4900000000000003E-2</v>
      </c>
    </row>
    <row r="24" spans="1:3" ht="15" customHeight="1" x14ac:dyDescent="0.25">
      <c r="B24" s="15" t="s">
        <v>33</v>
      </c>
      <c r="C24" s="45">
        <v>0.46400000000000002</v>
      </c>
    </row>
    <row r="25" spans="1:3" ht="15" customHeight="1" x14ac:dyDescent="0.25">
      <c r="B25" s="15" t="s">
        <v>34</v>
      </c>
      <c r="C25" s="45">
        <v>0.35129999999999989</v>
      </c>
    </row>
    <row r="26" spans="1:3" ht="15" customHeight="1" x14ac:dyDescent="0.25">
      <c r="B26" s="15" t="s">
        <v>35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0.21829699999999999</v>
      </c>
    </row>
    <row r="30" spans="1:3" ht="14.25" customHeight="1" x14ac:dyDescent="0.25">
      <c r="B30" s="25" t="s">
        <v>38</v>
      </c>
      <c r="C30" s="99">
        <v>7.5314300000000001E-2</v>
      </c>
    </row>
    <row r="31" spans="1:3" ht="14.25" customHeight="1" x14ac:dyDescent="0.25">
      <c r="B31" s="25" t="s">
        <v>39</v>
      </c>
      <c r="C31" s="99">
        <v>0.11899999999999999</v>
      </c>
    </row>
    <row r="32" spans="1:3" ht="14.25" customHeight="1" x14ac:dyDescent="0.25">
      <c r="B32" s="25" t="s">
        <v>40</v>
      </c>
      <c r="C32" s="99">
        <v>0.58738869999999999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17.335930000000001</v>
      </c>
    </row>
    <row r="38" spans="1:5" ht="15" customHeight="1" x14ac:dyDescent="0.25">
      <c r="B38" s="11" t="s">
        <v>45</v>
      </c>
      <c r="C38" s="43">
        <v>28.94961</v>
      </c>
      <c r="D38" s="12"/>
      <c r="E38" s="13"/>
    </row>
    <row r="39" spans="1:5" ht="15" customHeight="1" x14ac:dyDescent="0.25">
      <c r="B39" s="11" t="s">
        <v>46</v>
      </c>
      <c r="C39" s="43">
        <v>38.091560000000001</v>
      </c>
      <c r="D39" s="12"/>
      <c r="E39" s="12"/>
    </row>
    <row r="40" spans="1:5" ht="15" customHeight="1" x14ac:dyDescent="0.25">
      <c r="B40" s="11" t="s">
        <v>47</v>
      </c>
      <c r="C40" s="100">
        <v>3.22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7.9316999999999999E-3</v>
      </c>
      <c r="D45" s="12"/>
    </row>
    <row r="46" spans="1:5" ht="15.75" customHeight="1" x14ac:dyDescent="0.25">
      <c r="B46" s="11" t="s">
        <v>52</v>
      </c>
      <c r="C46" s="45">
        <v>8.5224899999999992E-2</v>
      </c>
      <c r="D46" s="12"/>
    </row>
    <row r="47" spans="1:5" ht="15.75" customHeight="1" x14ac:dyDescent="0.25">
      <c r="B47" s="11" t="s">
        <v>53</v>
      </c>
      <c r="C47" s="45">
        <v>7.3457800000000004E-2</v>
      </c>
      <c r="D47" s="12"/>
      <c r="E47" s="13"/>
    </row>
    <row r="48" spans="1:5" ht="15" customHeight="1" x14ac:dyDescent="0.25">
      <c r="B48" s="11" t="s">
        <v>54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0.50167899999999999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0.15160000000000001</v>
      </c>
    </row>
    <row r="63" spans="1:4" ht="15.75" customHeight="1" x14ac:dyDescent="0.3">
      <c r="A63" s="4"/>
    </row>
  </sheetData>
  <sheetProtection algorithmName="SHA-512" hashValue="MaLyaIMPDW+UuxBzdbeHKVvNehuoF1rhfGSLO5N5m7V9HsZntXXTp73llHUjLCujF8f5JYhN/26Y9/iUyhY6Ow==" saltValue="kmdYyv8FpIacKa9NdxTZ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107286</v>
      </c>
      <c r="C2" s="49">
        <v>275962.5</v>
      </c>
      <c r="D2" s="49">
        <v>350286</v>
      </c>
      <c r="E2" s="49">
        <v>211773</v>
      </c>
      <c r="F2" s="49">
        <v>144809</v>
      </c>
      <c r="G2" s="17">
        <f t="shared" ref="G2:G13" si="0">C2+D2+E2+F2</f>
        <v>982830.5</v>
      </c>
      <c r="H2" s="17">
        <f t="shared" ref="H2:H13" si="1">(B2 + stillbirth*B2/(1000-stillbirth))/(1-abortion)</f>
        <v>123915.60711395918</v>
      </c>
      <c r="I2" s="17">
        <f t="shared" ref="I2:I13" si="2">G2-H2</f>
        <v>858914.89288604085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108679</v>
      </c>
      <c r="C3" s="50">
        <v>277892.5</v>
      </c>
      <c r="D3" s="50">
        <v>364123.49999999988</v>
      </c>
      <c r="E3" s="50">
        <v>218688</v>
      </c>
      <c r="F3" s="50">
        <v>147036.5</v>
      </c>
      <c r="G3" s="17">
        <f t="shared" si="0"/>
        <v>1007740.4999999999</v>
      </c>
      <c r="H3" s="17">
        <f t="shared" si="1"/>
        <v>125524.52571200315</v>
      </c>
      <c r="I3" s="17">
        <f t="shared" si="2"/>
        <v>882215.97428799677</v>
      </c>
    </row>
    <row r="4" spans="1:9" ht="15.75" customHeight="1" x14ac:dyDescent="0.25">
      <c r="A4" s="5">
        <f t="shared" si="3"/>
        <v>2026</v>
      </c>
      <c r="B4" s="49">
        <v>109897</v>
      </c>
      <c r="C4" s="50">
        <v>279236.99999999988</v>
      </c>
      <c r="D4" s="50">
        <v>376094</v>
      </c>
      <c r="E4" s="50">
        <v>228269</v>
      </c>
      <c r="F4" s="50">
        <v>149249.5</v>
      </c>
      <c r="G4" s="17">
        <f t="shared" si="0"/>
        <v>1032849.4999999999</v>
      </c>
      <c r="H4" s="17">
        <f t="shared" si="1"/>
        <v>126931.31885803155</v>
      </c>
      <c r="I4" s="17">
        <f t="shared" si="2"/>
        <v>905918.18114196835</v>
      </c>
    </row>
    <row r="5" spans="1:9" ht="15.75" customHeight="1" x14ac:dyDescent="0.25">
      <c r="A5" s="5">
        <f t="shared" si="3"/>
        <v>2027</v>
      </c>
      <c r="B5" s="49">
        <v>111776</v>
      </c>
      <c r="C5" s="50">
        <v>280189.5</v>
      </c>
      <c r="D5" s="50">
        <v>386187.5</v>
      </c>
      <c r="E5" s="50">
        <v>239987</v>
      </c>
      <c r="F5" s="50">
        <v>151529</v>
      </c>
      <c r="G5" s="17">
        <f t="shared" si="0"/>
        <v>1057893</v>
      </c>
      <c r="H5" s="17">
        <f t="shared" si="1"/>
        <v>129101.56871138733</v>
      </c>
      <c r="I5" s="17">
        <f t="shared" si="2"/>
        <v>928791.43128861266</v>
      </c>
    </row>
    <row r="6" spans="1:9" ht="15.75" customHeight="1" x14ac:dyDescent="0.25">
      <c r="A6" s="5">
        <f t="shared" si="3"/>
        <v>2028</v>
      </c>
      <c r="B6" s="49">
        <v>113415</v>
      </c>
      <c r="C6" s="50">
        <v>281051</v>
      </c>
      <c r="D6" s="50">
        <v>396432.5</v>
      </c>
      <c r="E6" s="50">
        <v>251416</v>
      </c>
      <c r="F6" s="50">
        <v>153967</v>
      </c>
      <c r="G6" s="17">
        <f t="shared" si="0"/>
        <v>1082866.5</v>
      </c>
      <c r="H6" s="17">
        <f t="shared" si="1"/>
        <v>130994.61794483603</v>
      </c>
      <c r="I6" s="17">
        <f t="shared" si="2"/>
        <v>951871.88205516397</v>
      </c>
    </row>
    <row r="7" spans="1:9" ht="15.75" customHeight="1" x14ac:dyDescent="0.25">
      <c r="A7" s="5">
        <f t="shared" si="3"/>
        <v>2029</v>
      </c>
      <c r="B7" s="49">
        <v>114328</v>
      </c>
      <c r="C7" s="50">
        <v>280942.5</v>
      </c>
      <c r="D7" s="50">
        <v>407210.00000000012</v>
      </c>
      <c r="E7" s="50">
        <v>262756.5</v>
      </c>
      <c r="F7" s="50">
        <v>156688.5</v>
      </c>
      <c r="G7" s="17">
        <f t="shared" si="0"/>
        <v>1107597.5</v>
      </c>
      <c r="H7" s="17">
        <f t="shared" si="1"/>
        <v>132049.13530306588</v>
      </c>
      <c r="I7" s="17">
        <f t="shared" si="2"/>
        <v>975548.36469693412</v>
      </c>
    </row>
    <row r="8" spans="1:9" ht="15.75" customHeight="1" x14ac:dyDescent="0.25">
      <c r="A8" s="5">
        <f t="shared" si="3"/>
        <v>2030</v>
      </c>
      <c r="B8" s="49">
        <v>115732</v>
      </c>
      <c r="C8" s="50">
        <v>279947.5</v>
      </c>
      <c r="D8" s="50">
        <v>417870</v>
      </c>
      <c r="E8" s="50">
        <v>274506.5</v>
      </c>
      <c r="F8" s="50">
        <v>159702</v>
      </c>
      <c r="G8" s="17">
        <f t="shared" si="0"/>
        <v>1132026</v>
      </c>
      <c r="H8" s="17">
        <f t="shared" si="1"/>
        <v>133670.75892952224</v>
      </c>
      <c r="I8" s="17">
        <f t="shared" si="2"/>
        <v>998355.24107047776</v>
      </c>
    </row>
    <row r="9" spans="1:9" ht="15.75" customHeight="1" x14ac:dyDescent="0.25">
      <c r="A9" s="5">
        <f t="shared" si="3"/>
        <v>2031</v>
      </c>
      <c r="B9" s="49">
        <v>116752</v>
      </c>
      <c r="C9" s="50">
        <v>278789.50000000012</v>
      </c>
      <c r="D9" s="50">
        <v>427743.5</v>
      </c>
      <c r="E9" s="50">
        <v>286855</v>
      </c>
      <c r="F9" s="50">
        <v>162924</v>
      </c>
      <c r="G9" s="17">
        <f t="shared" si="0"/>
        <v>1156312</v>
      </c>
      <c r="H9" s="17">
        <f t="shared" si="1"/>
        <v>134848.86156412729</v>
      </c>
      <c r="I9" s="17">
        <f t="shared" si="2"/>
        <v>1021463.1384358727</v>
      </c>
    </row>
    <row r="10" spans="1:9" ht="15.75" customHeight="1" x14ac:dyDescent="0.25">
      <c r="A10" s="5">
        <f t="shared" si="3"/>
        <v>2032</v>
      </c>
      <c r="B10" s="49">
        <v>117648</v>
      </c>
      <c r="C10" s="50">
        <v>277729</v>
      </c>
      <c r="D10" s="50">
        <v>436071</v>
      </c>
      <c r="E10" s="50">
        <v>300085.5</v>
      </c>
      <c r="F10" s="50">
        <v>166320.5</v>
      </c>
      <c r="G10" s="17">
        <f t="shared" si="0"/>
        <v>1180206</v>
      </c>
      <c r="H10" s="17">
        <f t="shared" si="1"/>
        <v>135883.74387844704</v>
      </c>
      <c r="I10" s="17">
        <f t="shared" si="2"/>
        <v>1044322.256121553</v>
      </c>
    </row>
    <row r="11" spans="1:9" ht="15.75" customHeight="1" x14ac:dyDescent="0.25">
      <c r="A11" s="5">
        <f t="shared" si="3"/>
        <v>2033</v>
      </c>
      <c r="B11" s="49">
        <v>118560</v>
      </c>
      <c r="C11" s="50">
        <v>277367.5</v>
      </c>
      <c r="D11" s="50">
        <v>442362</v>
      </c>
      <c r="E11" s="50">
        <v>314280.5</v>
      </c>
      <c r="F11" s="50">
        <v>170188.5</v>
      </c>
      <c r="G11" s="17">
        <f t="shared" si="0"/>
        <v>1204198.5</v>
      </c>
      <c r="H11" s="17">
        <f t="shared" si="1"/>
        <v>136937.10623409392</v>
      </c>
      <c r="I11" s="17">
        <f t="shared" si="2"/>
        <v>1067261.3937659061</v>
      </c>
    </row>
    <row r="12" spans="1:9" ht="15.75" customHeight="1" x14ac:dyDescent="0.25">
      <c r="A12" s="5">
        <f t="shared" si="3"/>
        <v>2034</v>
      </c>
      <c r="B12" s="49">
        <v>118811</v>
      </c>
      <c r="C12" s="50">
        <v>277695</v>
      </c>
      <c r="D12" s="50">
        <v>446557</v>
      </c>
      <c r="E12" s="50">
        <v>328919.5</v>
      </c>
      <c r="F12" s="50">
        <v>174679</v>
      </c>
      <c r="G12" s="17">
        <f t="shared" si="0"/>
        <v>1227850.5</v>
      </c>
      <c r="H12" s="17">
        <f t="shared" si="1"/>
        <v>137227.01188241341</v>
      </c>
      <c r="I12" s="17">
        <f t="shared" si="2"/>
        <v>1090623.4881175866</v>
      </c>
    </row>
    <row r="13" spans="1:9" ht="15.75" customHeight="1" x14ac:dyDescent="0.25">
      <c r="A13" s="5">
        <f t="shared" si="3"/>
        <v>2035</v>
      </c>
      <c r="B13" s="49">
        <v>119568</v>
      </c>
      <c r="C13" s="50">
        <v>279009</v>
      </c>
      <c r="D13" s="50">
        <v>448648.99999999988</v>
      </c>
      <c r="E13" s="50">
        <v>343753.5</v>
      </c>
      <c r="F13" s="50">
        <v>180478.5</v>
      </c>
      <c r="G13" s="17">
        <f t="shared" si="0"/>
        <v>1251890</v>
      </c>
      <c r="H13" s="17">
        <f t="shared" si="1"/>
        <v>138101.34883770361</v>
      </c>
      <c r="I13" s="17">
        <f t="shared" si="2"/>
        <v>1113788.6511622963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jVm+t9vabgbLT5XlYzJJ8aPGEAMEFP+5RtPd0h5bfbGDlZEQeCJ2ZC78JuU/yCbgcwAeMb1sGQGPJNLMVasGsQ==" saltValue="NvWrOGWVf+3Rj7QoV0U/e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9.54159904584009E-3</v>
      </c>
    </row>
    <row r="4" spans="1:8" ht="15.75" customHeight="1" x14ac:dyDescent="0.25">
      <c r="B4" s="19" t="s">
        <v>79</v>
      </c>
      <c r="C4" s="101">
        <v>6.4930893506910725E-2</v>
      </c>
    </row>
    <row r="5" spans="1:8" ht="15.75" customHeight="1" x14ac:dyDescent="0.25">
      <c r="B5" s="19" t="s">
        <v>80</v>
      </c>
      <c r="C5" s="101">
        <v>8.333079166692095E-2</v>
      </c>
    </row>
    <row r="6" spans="1:8" ht="15.75" customHeight="1" x14ac:dyDescent="0.25">
      <c r="B6" s="19" t="s">
        <v>81</v>
      </c>
      <c r="C6" s="101">
        <v>0.24122667587733301</v>
      </c>
    </row>
    <row r="7" spans="1:8" ht="15.75" customHeight="1" x14ac:dyDescent="0.25">
      <c r="B7" s="19" t="s">
        <v>82</v>
      </c>
      <c r="C7" s="101">
        <v>0.41004985899501339</v>
      </c>
    </row>
    <row r="8" spans="1:8" ht="15.75" customHeight="1" x14ac:dyDescent="0.25">
      <c r="B8" s="19" t="s">
        <v>83</v>
      </c>
      <c r="C8" s="101">
        <v>1.193399880660011E-3</v>
      </c>
    </row>
    <row r="9" spans="1:8" ht="15.75" customHeight="1" x14ac:dyDescent="0.25">
      <c r="B9" s="19" t="s">
        <v>84</v>
      </c>
      <c r="C9" s="101">
        <v>8.1527291847270894E-2</v>
      </c>
    </row>
    <row r="10" spans="1:8" ht="15.75" customHeight="1" x14ac:dyDescent="0.25">
      <c r="B10" s="19" t="s">
        <v>85</v>
      </c>
      <c r="C10" s="101">
        <v>0.108199489180051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88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89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90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91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92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93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94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95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8.7620265000000017E-2</v>
      </c>
    </row>
    <row r="27" spans="1:8" ht="15.75" customHeight="1" x14ac:dyDescent="0.25">
      <c r="B27" s="19" t="s">
        <v>102</v>
      </c>
      <c r="C27" s="101">
        <v>8.4936790000000005E-3</v>
      </c>
    </row>
    <row r="28" spans="1:8" ht="15.75" customHeight="1" x14ac:dyDescent="0.25">
      <c r="B28" s="19" t="s">
        <v>103</v>
      </c>
      <c r="C28" s="101">
        <v>0.15420750799999999</v>
      </c>
    </row>
    <row r="29" spans="1:8" ht="15.75" customHeight="1" x14ac:dyDescent="0.25">
      <c r="B29" s="19" t="s">
        <v>104</v>
      </c>
      <c r="C29" s="101">
        <v>0.168404365</v>
      </c>
    </row>
    <row r="30" spans="1:8" ht="15.75" customHeight="1" x14ac:dyDescent="0.25">
      <c r="B30" s="19" t="s">
        <v>2</v>
      </c>
      <c r="C30" s="101">
        <v>0.105568509</v>
      </c>
    </row>
    <row r="31" spans="1:8" ht="15.75" customHeight="1" x14ac:dyDescent="0.25">
      <c r="B31" s="19" t="s">
        <v>105</v>
      </c>
      <c r="C31" s="101">
        <v>0.10981025899999999</v>
      </c>
    </row>
    <row r="32" spans="1:8" ht="15.75" customHeight="1" x14ac:dyDescent="0.25">
      <c r="B32" s="19" t="s">
        <v>106</v>
      </c>
      <c r="C32" s="101">
        <v>1.8832593000000002E-2</v>
      </c>
    </row>
    <row r="33" spans="2:3" ht="15.75" customHeight="1" x14ac:dyDescent="0.25">
      <c r="B33" s="19" t="s">
        <v>107</v>
      </c>
      <c r="C33" s="101">
        <v>8.4520607999999997E-2</v>
      </c>
    </row>
    <row r="34" spans="2:3" ht="15.75" customHeight="1" x14ac:dyDescent="0.25">
      <c r="B34" s="19" t="s">
        <v>108</v>
      </c>
      <c r="C34" s="101">
        <v>0.26254221300000002</v>
      </c>
    </row>
    <row r="35" spans="2:3" ht="15.75" customHeight="1" x14ac:dyDescent="0.25">
      <c r="B35" s="27" t="s">
        <v>41</v>
      </c>
      <c r="C35" s="48">
        <f>SUM(C26:C34)</f>
        <v>0.99999999900000003</v>
      </c>
    </row>
  </sheetData>
  <sheetProtection algorithmName="SHA-512" hashValue="/nzmu5iMkfq5Npg9utUhPzHYLtUeYZ10mJL3vZVT296nLdmjPC7K0cQ8NocktNLu4vvw/20TzB2aELHw6l8ixQ==" saltValue="BdD2qv1wlb6zjWa6avEoo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114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115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119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120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iI9aZsrDNz92IMNoDS0jBcpUTNl5JwL7FR1HZc8bXoBFHHy5HR7IelmYz/msUxwfY+l5sv+ZbA/Oo05zb/KiIQ==" saltValue="ILzDy+QJ1Qgwv1NNBHql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132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OHZRla+jX+q7aHeYyQ2Grq9Lm6m8LSB9V0e2OAAlGwPs4gUH6zCdY1L6mFA/vevMC6i3jLLbHlC1/o/mE54O8Q==" saltValue="uo4yKtSmjuzu6p5jYF4f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f0Twfh1oQbUgnDV7wLiHo/ZvHm5xeGICIVN8sg0/q0mw3CpaRi5VPO91DHLKt2NpCFg4FvfmslRTUL0uz37Hw==" saltValue="AwCxwneHXB2/YsRpYG8p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7vGPyiFz1MmVYpM2csRD1zqxPoXWuu7tsqrXSeuaSffsO8FPsiOteG9sepMpXvTYnNyFIKXkDbEeUFtCauLHKQ==" saltValue="kwZ6vNcKZLjcpXrTtR44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8kQbyCcqnmJo/RzL24U0mynTcvvWoCUVsM1J9QgwevF66k7mtQcXc/bPTckjP61XWNfedBQ0PW7GBYA55Wb/aA==" saltValue="T3MZehwV43euLB2V5YfvW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yIJOvO5hAr0Fyj3kPiRaHcKe1RwH7HwklaVR7q/Bh7II9IMifnmgbCFSYQRUN3Kikznz0FhLTXXh40Wxu6YGaw==" saltValue="dckHmHdxhG/CfFkeREAGz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65.61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0.17454155599999999</v>
      </c>
      <c r="C3" s="98">
        <v>0.95</v>
      </c>
      <c r="D3" s="56">
        <v>13.1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116.95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0.1622916426232176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15.05101211717766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15.05101211717766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15.05101211717766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15.05101211717766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15.05101211717766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15.05101211717766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0.99</v>
      </c>
      <c r="C16" s="98">
        <v>0.95</v>
      </c>
      <c r="D16" s="56">
        <v>2.5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4.23121776E-2</v>
      </c>
      <c r="C18" s="98">
        <v>0.95</v>
      </c>
      <c r="D18" s="56">
        <v>7.29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0.1193997</v>
      </c>
      <c r="C19" s="98">
        <v>0.95</v>
      </c>
      <c r="D19" s="56">
        <v>7.29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0.51764500000000002</v>
      </c>
      <c r="C21" s="98">
        <v>0.95</v>
      </c>
      <c r="D21" s="56">
        <v>7.48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25.652464004019169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4.9325180741630454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0.32062773119999999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0.25143555359999997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88.01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0.78</v>
      </c>
      <c r="C31" s="98">
        <v>0.95</v>
      </c>
      <c r="D31" s="56">
        <v>180.94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0.42499999999999999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0.434</v>
      </c>
      <c r="C38" s="98">
        <v>0.95</v>
      </c>
      <c r="D38" s="56">
        <v>2.4500000000000002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FSTAbER/nVCIqhd8/IK616//oagiQ6u9FNkVYQtHh+2+Ekzh64+o0zmsBGsKtL+ttp3WSwf52SLWlGclr2Fdxg==" saltValue="WoZQEBi57nbm/E19yHc9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qUhlAAuZTgRrrL01kQCJp/jF6SLfViSKcK+iJadvDMKGXb25WeF2dAcPXtaGYEvVjGvxa264fgY8pXNMBBqNQ==" saltValue="/fxxkLg2ZnqYHBr+pH67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tsmnD8OP+6V79N0mmiYd8MPQp3JdVeSxoFN9OsFxMC5SqnboEvjwIBeseMmC0APu6I3U55npfg1wQx7RLeoew==" saltValue="VKDGLSuVTWA70+efOiQWR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fqA1XMK1/AvRIwtopXxSuU+ke3NGq43oZKICLNXwcnzu79W+jD6wmhJxpFQqqbyQB9Sw4Iy8YzPZmjJFKkD8xQ==" saltValue="26MTfK6xG5c6JP4Mq1ttY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0.4076307480000001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0.17469889200000002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0.11457036000000002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0.30309999999999998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caflucCe3pEm6AYkwOG+0dhSaOE+hy75MWgFrGg1bSFUw+XmDVq8VKvWTlIRV1HSgOpflJXFQSOtKwRDOgWyw==" saltValue="X0DAQKOX3qjw+wDg5HTUV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85k+DHylANHtBUxQNB/7rQRKqY/GXkkThYlJ4XXB9kzyu4upVr3NGyE8QXk/XfErPqixCfCwUyIlVi9pogXz0w==" saltValue="z3+hni0yJpUrJBZjvkYA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2veCbJs14jXfpZ1HKbJu6zEZyPrGoWG1DGjEjFYzAh2RaBOBkhjFXuuKYfjglogKe/TKLyQ9U50/VBWtUEBXKg==" saltValue="/f0+StW47Qr0GZJEKCd+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IABtAYSN+bibGaPuWbLY8UHka8t07YClAZ/BJ5CFxmAiPYgGGhse92q7DHrtUn/LGFKLRTBljwVLESAzyu5xw==" saltValue="P/KkjjUAD5G1VvD5iZNcy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1YHySO4pUWASxEmjzOSwAuaZGBCUcQRVkXGWCKA0RUBYfQB5oWju/jqXSkLhOwONWSzBg76KV/diAgL7oEeEQ==" saltValue="ZSERq1yRx/oYY48yjxC4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SEr+rMWcPYgktjLVEChuR6qhP8jdsH6I9SqrwTOQSjvUIRBTfgx2pSFPoadmXLx2RpRhqTNok71YTCmxN3c3w==" saltValue="EE/EVS59cXor7HtFEGYM8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ljmLKHjQYxyUiLGZn1tKzcOJLHCEUiw2F5qlRYjZzaHxRXtPML+SqYzQXiN0OsEfSYoK4Ul0Ti5cckMFYTDO2g==" saltValue="WodsTZqANJREbdJvEj+GW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hIiSvDDS5q8owfmS2yffD6QMl0QcT+peEfpYYfgi2lqsj0aECeU5hHkPSNfJjd5zzmekRwN0bhvgWC4k7EPLg==" saltValue="DmhrSMVKPUAZBUegsVzu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78/7DeuFANi+jhxO/fD6iadKHcFUCj9t6e9MCsnObfAUcHVEdEVC035cY4EHJbEy0u2Wz3sj17pqdhTwFzPoXg==" saltValue="E/QWtSr0IcAuHRONQhh2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VNGrnosa221FSw4yQeC9iYN6nWQQIgy+TBY5TXLoBL33/Muc5av/apz0G1QCNWpi/0+zyrVgJAVTU1Om1Vuhmg==" saltValue="/Dhb5XE/nwgJTCna7Vgs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c0Q/RSR+yZ21Q8rL1rrarbopt7RWsGWAKkuyhFUWvXKhTP0U3a4CQyXzmcMUrfyEfdhQ4qcF7Un6vUVwilXcow==" saltValue="p0Vq3NpvJLmVISysCJdz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AKp4ga54WU2Cv0J35MPhlhMhpix+Tu0oPE0sw7vVaU1pLYXS030U79spoQait3Si0eja5L2rR7V5Qn5wHzMBg==" saltValue="ynB+V98yho21xMu5yPeL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HY4vDvOMTULKKIYlF7sto/9OSNFrPwMmR0qMXboVr4G8x23hVR5bjz5Hj9w4QFgeo79YRmr8Oioq5B/NMnnsg==" saltValue="X9+eHeU1Ziqw0EvElEG0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TcalRkSnYQuNauLu8qoFlUtmCpU9nDa2OGQ0ZEzECmFktcMh1u1Qpu32LB0gIIZZ/UGn+fQ3wpygX/2bYjCgQ==" saltValue="uvmk4oVltEOz7K3ZTN7N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3ULuu6lWlMlZq6t+sKwnwHV2qztcHEmMsu4NBueMeCw+u5wrDFCI5lKWEpw7L2PBxmH8fQ5h35UvCO2w6574Ig==" saltValue="TqayySdM4jE3tI8L7ueFO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2024-05-17T00:23:36Z</dcterms:modified>
</cp:coreProperties>
</file>