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11A33A79-0D37-45A9-B94B-1613A72301E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I11" i="2"/>
  <c r="A19" i="2"/>
  <c r="I6" i="2"/>
  <c r="I12" i="2"/>
  <c r="A35" i="2"/>
  <c r="A22" i="2"/>
  <c r="I39" i="2"/>
  <c r="I3" i="2"/>
  <c r="A23" i="2"/>
  <c r="A40" i="2"/>
  <c r="I4" i="2"/>
  <c r="A25" i="2"/>
  <c r="I13" i="2"/>
  <c r="A37" i="2"/>
  <c r="A24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<sst xmlns="http://schemas.openxmlformats.org/spreadsheetml/2006/main" count="2169" uniqueCount="369">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</sst>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2220484</v>
      </c>
    </row>
    <row r="8" spans="1:3" ht="15" customHeight="1" x14ac:dyDescent="0.25">
      <c r="B8" s="5" t="s">
        <v>37</v>
      </c>
      <c r="C8" s="44">
        <v>0.35299999999999998</v>
      </c>
    </row>
    <row r="9" spans="1:3" ht="15" customHeight="1" x14ac:dyDescent="0.25">
      <c r="B9" s="5" t="s">
        <v>38</v>
      </c>
      <c r="C9" s="45">
        <v>0.99</v>
      </c>
    </row>
    <row r="10" spans="1:3" ht="15" customHeight="1" x14ac:dyDescent="0.25">
      <c r="B10" s="5" t="s">
        <v>39</v>
      </c>
      <c r="C10" s="45">
        <v>0.2556081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0.14269999999999999</v>
      </c>
    </row>
    <row r="24" spans="1:3" ht="15" customHeight="1" x14ac:dyDescent="0.25">
      <c r="B24" s="15" t="s">
        <v>51</v>
      </c>
      <c r="C24" s="45">
        <v>0.42099999999999987</v>
      </c>
    </row>
    <row r="25" spans="1:3" ht="15" customHeight="1" x14ac:dyDescent="0.25">
      <c r="B25" s="15" t="s">
        <v>52</v>
      </c>
      <c r="C25" s="45">
        <v>0.33529999999999999</v>
      </c>
    </row>
    <row r="26" spans="1:3" ht="15" customHeight="1" x14ac:dyDescent="0.25">
      <c r="B26" s="15" t="s">
        <v>53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7">
        <v>3.7040067899888597E-2</v>
      </c>
    </row>
    <row r="31" spans="1:3" ht="14.25" customHeight="1" x14ac:dyDescent="0.25">
      <c r="B31" s="25" t="s">
        <v>57</v>
      </c>
      <c r="C31" s="97">
        <v>9.42970158051466E-2</v>
      </c>
    </row>
    <row r="32" spans="1:3" ht="14.25" customHeight="1" x14ac:dyDescent="0.25">
      <c r="B32" s="25" t="s">
        <v>58</v>
      </c>
      <c r="C32" s="97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31.108440000000002</v>
      </c>
    </row>
    <row r="38" spans="1:5" ht="15" customHeight="1" x14ac:dyDescent="0.25">
      <c r="B38" s="11" t="s">
        <v>63</v>
      </c>
      <c r="C38" s="43">
        <v>63.776989999999998</v>
      </c>
      <c r="D38" s="12"/>
      <c r="E38" s="13"/>
    </row>
    <row r="39" spans="1:5" ht="15" customHeight="1" x14ac:dyDescent="0.25">
      <c r="B39" s="11" t="s">
        <v>64</v>
      </c>
      <c r="C39" s="43">
        <v>98.726939999999999</v>
      </c>
      <c r="D39" s="12"/>
      <c r="E39" s="12"/>
    </row>
    <row r="40" spans="1:5" ht="15" customHeight="1" x14ac:dyDescent="0.25">
      <c r="B40" s="11" t="s">
        <v>65</v>
      </c>
      <c r="C40" s="98">
        <v>5.53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7.9359000000000009E-3</v>
      </c>
      <c r="D45" s="12"/>
    </row>
    <row r="46" spans="1:5" ht="15.75" customHeight="1" x14ac:dyDescent="0.25">
      <c r="B46" s="11" t="s">
        <v>70</v>
      </c>
      <c r="C46" s="45">
        <v>8.5269600000000001E-2</v>
      </c>
      <c r="D46" s="12"/>
    </row>
    <row r="47" spans="1:5" ht="15.75" customHeight="1" x14ac:dyDescent="0.25">
      <c r="B47" s="11" t="s">
        <v>71</v>
      </c>
      <c r="C47" s="45">
        <v>7.34538E-2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2.4700000000000002</v>
      </c>
      <c r="D51" s="12"/>
    </row>
    <row r="52" spans="1:4" ht="15" customHeight="1" x14ac:dyDescent="0.25">
      <c r="B52" s="11" t="s">
        <v>75</v>
      </c>
      <c r="C52" s="98">
        <v>2.4700000000000002</v>
      </c>
    </row>
    <row r="53" spans="1:4" ht="15.75" customHeight="1" x14ac:dyDescent="0.25">
      <c r="B53" s="11" t="s">
        <v>76</v>
      </c>
      <c r="C53" s="98">
        <v>6.8640000000000008</v>
      </c>
    </row>
    <row r="54" spans="1:4" ht="15.75" customHeight="1" x14ac:dyDescent="0.25">
      <c r="B54" s="11" t="s">
        <v>77</v>
      </c>
      <c r="C54" s="98">
        <v>5.3819999999999997</v>
      </c>
    </row>
    <row r="55" spans="1:4" ht="15.75" customHeight="1" x14ac:dyDescent="0.25">
      <c r="B55" s="11" t="s">
        <v>78</v>
      </c>
      <c r="C55" s="98">
        <v>3.1373333333333342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0.412416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Xzk1zGHXzktCGJcAmSSfc73lPMFx8uYkKfpVSh+n7KcXh1S3VZdkkroj5SvPxWh3gHSoxPBxhC7D1q062W/nQ==" saltValue="FtSMYS9LWowjPqNCLej/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p29G8HQmfqQ+pv+lsAQBlFoEM5UUo+OVHel5iyMKPOMvAHCEKtnWQ9h2GcQsJlTQfc4STr9WJYwHcr0xkEbgg==" saltValue="Uu8KTTO48bdqxpUPaeBk0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2.6736499999999962E-2</v>
      </c>
    </row>
    <row r="4" spans="1:8" ht="15.75" customHeight="1" x14ac:dyDescent="0.25">
      <c r="B4" s="19" t="s">
        <v>97</v>
      </c>
      <c r="C4" s="99">
        <v>6.2096499999999832E-2</v>
      </c>
    </row>
    <row r="5" spans="1:8" ht="15.75" customHeight="1" x14ac:dyDescent="0.25">
      <c r="B5" s="19" t="s">
        <v>98</v>
      </c>
      <c r="C5" s="99">
        <v>9.6906999999999965E-2</v>
      </c>
    </row>
    <row r="6" spans="1:8" ht="15.75" customHeight="1" x14ac:dyDescent="0.25">
      <c r="B6" s="19" t="s">
        <v>99</v>
      </c>
      <c r="C6" s="99">
        <v>0.2477423999999997</v>
      </c>
    </row>
    <row r="7" spans="1:8" ht="15.75" customHeight="1" x14ac:dyDescent="0.25">
      <c r="B7" s="19" t="s">
        <v>100</v>
      </c>
      <c r="C7" s="99">
        <v>0.39012300000000072</v>
      </c>
    </row>
    <row r="8" spans="1:8" ht="15.75" customHeight="1" x14ac:dyDescent="0.25">
      <c r="B8" s="19" t="s">
        <v>101</v>
      </c>
      <c r="C8" s="99">
        <v>1.2472399999999981E-2</v>
      </c>
    </row>
    <row r="9" spans="1:8" ht="15.75" customHeight="1" x14ac:dyDescent="0.25">
      <c r="B9" s="19" t="s">
        <v>102</v>
      </c>
      <c r="C9" s="99">
        <v>5.6193299999999821E-2</v>
      </c>
    </row>
    <row r="10" spans="1:8" ht="15.75" customHeight="1" x14ac:dyDescent="0.25">
      <c r="B10" s="19" t="s">
        <v>103</v>
      </c>
      <c r="C10" s="99">
        <v>0.10772889999999979</v>
      </c>
    </row>
    <row r="11" spans="1:8" ht="15.75" customHeight="1" x14ac:dyDescent="0.25">
      <c r="B11" s="27" t="s">
        <v>59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106</v>
      </c>
      <c r="C15" s="99">
        <v>0.26960626964040468</v>
      </c>
      <c r="D15" s="99">
        <v>0.26960626964040468</v>
      </c>
      <c r="E15" s="99">
        <v>0.26960626964040468</v>
      </c>
      <c r="F15" s="99">
        <v>0.26960626964040468</v>
      </c>
    </row>
    <row r="16" spans="1:8" ht="15.75" customHeight="1" x14ac:dyDescent="0.25">
      <c r="B16" s="19" t="s">
        <v>107</v>
      </c>
      <c r="C16" s="99">
        <v>4.0112656644452287E-2</v>
      </c>
      <c r="D16" s="99">
        <v>4.0112656644452287E-2</v>
      </c>
      <c r="E16" s="99">
        <v>4.0112656644452287E-2</v>
      </c>
      <c r="F16" s="99">
        <v>4.0112656644452287E-2</v>
      </c>
    </row>
    <row r="17" spans="1:8" ht="15.75" customHeight="1" x14ac:dyDescent="0.25">
      <c r="B17" s="19" t="s">
        <v>108</v>
      </c>
      <c r="C17" s="99">
        <v>0.16760763979547269</v>
      </c>
      <c r="D17" s="99">
        <v>0.16760763979547269</v>
      </c>
      <c r="E17" s="99">
        <v>0.16760763979547269</v>
      </c>
      <c r="F17" s="99">
        <v>0.16760763979547269</v>
      </c>
    </row>
    <row r="18" spans="1:8" ht="15.75" customHeight="1" x14ac:dyDescent="0.25">
      <c r="B18" s="19" t="s">
        <v>109</v>
      </c>
      <c r="C18" s="99">
        <v>0.19823236164519181</v>
      </c>
      <c r="D18" s="99">
        <v>0.19823236164519181</v>
      </c>
      <c r="E18" s="99">
        <v>0.19823236164519181</v>
      </c>
      <c r="F18" s="99">
        <v>0.19823236164519181</v>
      </c>
    </row>
    <row r="19" spans="1:8" ht="15.75" customHeight="1" x14ac:dyDescent="0.25">
      <c r="B19" s="19" t="s">
        <v>110</v>
      </c>
      <c r="C19" s="99">
        <v>1.546365925485443E-2</v>
      </c>
      <c r="D19" s="99">
        <v>1.546365925485443E-2</v>
      </c>
      <c r="E19" s="99">
        <v>1.546365925485443E-2</v>
      </c>
      <c r="F19" s="99">
        <v>1.546365925485443E-2</v>
      </c>
    </row>
    <row r="20" spans="1:8" ht="15.75" customHeight="1" x14ac:dyDescent="0.25">
      <c r="B20" s="19" t="s">
        <v>111</v>
      </c>
      <c r="C20" s="99">
        <v>1.3943537817300299E-2</v>
      </c>
      <c r="D20" s="99">
        <v>1.3943537817300299E-2</v>
      </c>
      <c r="E20" s="99">
        <v>1.3943537817300299E-2</v>
      </c>
      <c r="F20" s="99">
        <v>1.3943537817300299E-2</v>
      </c>
    </row>
    <row r="21" spans="1:8" ht="15.75" customHeight="1" x14ac:dyDescent="0.25">
      <c r="B21" s="19" t="s">
        <v>112</v>
      </c>
      <c r="C21" s="99">
        <v>3.9464722478875093E-2</v>
      </c>
      <c r="D21" s="99">
        <v>3.9464722478875093E-2</v>
      </c>
      <c r="E21" s="99">
        <v>3.9464722478875093E-2</v>
      </c>
      <c r="F21" s="99">
        <v>3.9464722478875093E-2</v>
      </c>
    </row>
    <row r="22" spans="1:8" ht="15.75" customHeight="1" x14ac:dyDescent="0.25">
      <c r="B22" s="19" t="s">
        <v>113</v>
      </c>
      <c r="C22" s="99">
        <v>0.1014390551831001</v>
      </c>
      <c r="D22" s="99">
        <v>0.1014390551831001</v>
      </c>
      <c r="E22" s="99">
        <v>0.1014390551831001</v>
      </c>
      <c r="F22" s="99">
        <v>0.1014390551831001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8.8245948000000005E-2</v>
      </c>
    </row>
    <row r="27" spans="1:8" ht="15.75" customHeight="1" x14ac:dyDescent="0.25">
      <c r="B27" s="19" t="s">
        <v>120</v>
      </c>
      <c r="C27" s="99">
        <v>8.6324339999999996E-3</v>
      </c>
    </row>
    <row r="28" spans="1:8" ht="15.75" customHeight="1" x14ac:dyDescent="0.25">
      <c r="B28" s="19" t="s">
        <v>121</v>
      </c>
      <c r="C28" s="99">
        <v>0.156169268</v>
      </c>
    </row>
    <row r="29" spans="1:8" ht="15.75" customHeight="1" x14ac:dyDescent="0.25">
      <c r="B29" s="19" t="s">
        <v>122</v>
      </c>
      <c r="C29" s="99">
        <v>0.169329655</v>
      </c>
    </row>
    <row r="30" spans="1:8" ht="15.75" customHeight="1" x14ac:dyDescent="0.25">
      <c r="B30" s="19" t="s">
        <v>2</v>
      </c>
      <c r="C30" s="99">
        <v>0.10546003399999999</v>
      </c>
    </row>
    <row r="31" spans="1:8" ht="15.75" customHeight="1" x14ac:dyDescent="0.25">
      <c r="B31" s="19" t="s">
        <v>123</v>
      </c>
      <c r="C31" s="99">
        <v>0.109941625</v>
      </c>
    </row>
    <row r="32" spans="1:8" ht="15.75" customHeight="1" x14ac:dyDescent="0.25">
      <c r="B32" s="19" t="s">
        <v>124</v>
      </c>
      <c r="C32" s="99">
        <v>1.8686595E-2</v>
      </c>
    </row>
    <row r="33" spans="2:3" ht="15.75" customHeight="1" x14ac:dyDescent="0.25">
      <c r="B33" s="19" t="s">
        <v>125</v>
      </c>
      <c r="C33" s="99">
        <v>8.470502299999999E-2</v>
      </c>
    </row>
    <row r="34" spans="2:3" ht="15.75" customHeight="1" x14ac:dyDescent="0.25">
      <c r="B34" s="19" t="s">
        <v>126</v>
      </c>
      <c r="C34" s="99">
        <v>0.25882941799999998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mF3zzs8Wp/p4ZpeebfZSFSm7fO1qM0H6GSv2DSRSanLjODECBlENwTNRDWGHtaF2cmeQCJa0prqSOeXRCX7og==" saltValue="oH8n9sgIqrDAZLru/7Np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132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133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137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138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RE7XbdpBJLZHUv9DxB7070o4z82JqMYy084gZ6oJmsmNGqpWwcpr9eMhNq44iR2eobHCfMYB9XCS7VWwdAguw==" saltValue="9gW1hrqMHSaXNIGEuzqd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HX5Q017T9FdXDZGo/Oy6HGSHvJTC5m/Op8ONZ1+ouUxPQBWTblSV/ZtjUPwDCFZqn3Lye0R7wLECloZn8KMN8Q==" saltValue="/RdueYruhRzP6HNu/sjx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Kg449k0hC8VDrIYPmtsVJxSzr1VyClWdtGpwtQKfNhN7wibM+qx6UrVrYlbBKS4FYv1r4e0Rni4ZrewJs6m3w==" saltValue="9USVEDvCLvOdTAPdrC+c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1515.16794777584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0.37432000000000004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0.43612000000000001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1.8285810182065196E-2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90253.929969999997</v>
      </c>
      <c r="C22" s="107">
        <v>89126.380439999994</v>
      </c>
      <c r="D22" s="107">
        <v>88551.283349999998</v>
      </c>
      <c r="E22" s="107">
        <v>87879.151410000006</v>
      </c>
      <c r="F22" s="107">
        <v>86947.660440000007</v>
      </c>
      <c r="G22" s="107">
        <v>85778.042679999999</v>
      </c>
      <c r="H22" s="107">
        <v>84267.900959999999</v>
      </c>
      <c r="I22" s="107">
        <v>82298.965230000002</v>
      </c>
      <c r="J22" s="107">
        <v>79636.110289999997</v>
      </c>
      <c r="K22" s="107">
        <v>76268.576140000005</v>
      </c>
      <c r="L22" s="107">
        <v>71653.351689999996</v>
      </c>
      <c r="M22" s="107">
        <v>65683.188500000004</v>
      </c>
      <c r="N22" s="107">
        <v>57659.873209999998</v>
      </c>
      <c r="O22" s="107">
        <v>47957.426630000002</v>
      </c>
    </row>
  </sheetData>
  <sheetProtection algorithmName="SHA-512" hashValue="iblt/SePwr/05rO6QmniJ9e0kTHq9ghN4Q/xVF90T27ybMhxAouvxkVCxzaMCLVlDwpc0JVMup1kqacLPuxlCw==" saltValue="szDnGOF8kU9VF/bRf12/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evburmv09oXgboqp0p59XxkeYTf1UDtu0MmYf1JFXzCjHDEiSvvnFJJ8rA78nLgD1gvq3rMBmkWiwZyF2CxZw==" saltValue="Pivowb1Olardv2y3aT45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zWrRzmFHhY/xgoDiqurbwPzICjimdQncIbIL/EKacA3DXDSTbjV1uTMiZJcKRVj0uNHg7c3ra03lffmqBEe5g==" saltValue="Bv07S58e1llkcRmtyuqB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0.23646220000000001</v>
      </c>
      <c r="C10" s="96">
        <v>0.95</v>
      </c>
      <c r="D10" s="56">
        <v>15.044545796194489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15.044545796194489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15.044545796194489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15.044545796194489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0.23646220000000001</v>
      </c>
      <c r="C14" s="96">
        <v>0.95</v>
      </c>
      <c r="D14" s="56">
        <v>15.044545796194489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15.044545796194489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0.62398120000000001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0.163026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0.187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0.2905181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0.43885239999999998</v>
      </c>
      <c r="C23" s="96">
        <v>0.95</v>
      </c>
      <c r="D23" s="56">
        <v>4.9284766235485638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0.371562949939933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0.23646220000000001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0.54870339999999995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0.13809589999999999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0.13059999999999999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0.97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0.20636095323558901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0.5478866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2.1925999999999998E-3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0.22891449999999999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0.26043110000000003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IeJl3to6CM/Mojgi03OkO6o+rLABhk9d84RA4ogVC1EXLvdcPU7eZXCzGGvO10B8zLawqUbeWTc8Uj/izTWD/w==" saltValue="RjYkGcW5lSc2GfYhVrXj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lkK0dW+27SQ7zrdiXkhHwqYAn3Ps1C2Vy2r6FsU69IZyLgnqNsLfVSiC/bqVe4mBBTdoQIxIn4GLLhZauk4vQ==" saltValue="+ccX+3wy8lSYQZPHTPcH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1HMTVXLDbduM/Mkb1vnv77xe5YPrhdw5Nx+K00jdHUyQ95jLhbJK4VVeQ8zpiITnvXt8EtVwwg3BcNzYN3FTw==" saltValue="vNFT1R9fEdHRHydfDYHb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2.4700000000000002</v>
      </c>
      <c r="C2" s="21">
        <f>'Données pop de l''année de ref'!C52</f>
        <v>2.4700000000000002</v>
      </c>
      <c r="D2" s="21">
        <f>'Données pop de l''année de ref'!C53</f>
        <v>6.8640000000000008</v>
      </c>
      <c r="E2" s="21">
        <f>'Données pop de l''année de ref'!C54</f>
        <v>5.3819999999999997</v>
      </c>
      <c r="F2" s="21">
        <f>'Données pop de l''année de ref'!C55</f>
        <v>3.1373333333333342</v>
      </c>
    </row>
    <row r="3" spans="1:6" ht="15.75" customHeight="1" x14ac:dyDescent="0.25">
      <c r="A3" s="3" t="s">
        <v>238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237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l+DToopdvJthH2TDIuPkA/twuWWs0Il0nw2BG0E9TXgUWEa7ecY9Dh0QtLEVSGZ3onJVcqp5GXiX0hyiFjTJIQ==" saltValue="ed9QFndoAK3mE4b1AELs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7ybDzwag56CatE5I1M8Yz9Q2oC/QwFQQRCgGQ1POPRakgoyd2PmaFdQHetHqQIVqVhB+853+HVpfVOi/Ezw1Q==" saltValue="ReA+5lXDbsRPQ5I+WMIQ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rAGakrtDXlufjQ5bmxIL5uPfGOyPA0AYsEuuk93SCtBYa6O+rY6WkTwFT0iGNMfrw9JPsceUaSJ0d4cTJP3Yw==" saltValue="POEHe7PNmMlkl7T3j4AD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9u1a9b3W05aKkYydMFAp+2XkkNMJl6M+wQmAx4mzcw99v8u/UpohzEDdAgxU5yM7Euhad6l6+8RH1F+O92NWQ==" saltValue="9z9JR9XoacFN73f4ljjZ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9x3KWHe4orYBRzX8x/Ou1jb/LCfVDyBekjbs2osLcyBxaZGJGSa/wwqXdxDqoiObwWzGQ9i5gkMlOdI8ccRcw==" saltValue="0eJuSxlW/tKJW7eoPQYL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+bmph4c0dtmNhGRFhApMp41GtOQXY3KB7ULxl8KGs+JPbbY8yTyIuSlCJArclhNGgbaGV+90ycbj7UgpkIYwg==" saltValue="fzwGTGytElKdHVr29c3ID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NWoQCHUc8ENNV3gnfe8YaRWJSmulAZL5NwDfcUPCIO+h9KODJyMlixfuTa3MDz1DEZ9tky4GNK979orP6KB9Q==" saltValue="dtq/egrZeFjhtr6obXm61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98SeCVf5dPWip+ZHlPXzTcgZ2glvw0jwKvTEjrWBtV0Y4opu/U1GnouJZky8MMhcmc2jCSYpNSkKLpfM2pOKQ==" saltValue="w+9/mmjoc7/HKkI4MAcX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3QRbD3Y53k77JRBjWN4eO81QjSCqk12biKoqePPndoHi6Jb+bo0Mca/mYrSvCxWPUwcRuDzegJUzEVie/gAotw==" saltValue="XcdFQKj0nNGAfV7x+YTP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tjc6ypgEn64Mhi0R4RDZSq/kUuVGYD+LwYCJbn1aE25Pd41m4BUFa/BWvpmvfYC9GSSWuzt9jDcSaZtcdVOfQ==" saltValue="iam2cF6SBPFsO7NzFSgm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Ng4pwT5i8L615cW63qemKorGIk45WN/qJ5b7kgxtyHNl7I1k9RDrOZAd3SQQK9CzC/b/SmTVyJTov4vABccKw==" saltValue="fnfYxiMKYiimNOAWRstI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mk7elLNgrnOmHrdrUMKSp3oWen/el88EVH4dYg96sx8axoEKvioGB391uLoWnkOjopSdakXl5zYe5vriXSgrg==" saltValue="lIzZDOc4mxRoPvx2EMhV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QroyNlYSwUxLPdQjHMIjO0vnlVun0Ag/Kk9LQVemIZv74Wpn08PTPPUjbWf7XUlLSCheXUCPGVLTh7Sp+rKRw==" saltValue="oDnATGbqgOvkTwqViXW8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zmWAUwB1dc/rasrWLzpT5tEM7sIBGIfdjOLBTuN51jdrUTiP80cLNDRVr4QIZzU8u4pMxiWEcpi5EE6j78NCw==" saltValue="Int5M2N8auw5e5qKlNsv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64Yw+qsAU1QayqVspPnRrQQuQKJ4QvIWabNZytN4rCXa8XXJ9bJsWeZFuw18TKpDnzsieaIG4jYXvJBzmCofg==" saltValue="epLTDhya7pE5cOn+MTk4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atQGlByku8+nZ0jDC8eVm5xCnFw8K0j5U1K5AcYmcKA8FcAnEyd/LF1MbVkKbvanm1PHpzt4L1BZp1wWDll7A==" saltValue="swoqpEGvEbVhJADmP2hz0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