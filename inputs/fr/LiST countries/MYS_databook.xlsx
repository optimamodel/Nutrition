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1DEAE0D1-8B4A-4DD7-BB46-45683C5E492E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H38" i="2"/>
  <c r="G38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A39" i="2" l="1"/>
  <c r="A28" i="2"/>
  <c r="A15" i="2"/>
  <c r="A29" i="2"/>
  <c r="A18" i="2"/>
  <c r="A20" i="2"/>
  <c r="A31" i="2"/>
  <c r="A34" i="2"/>
  <c r="A2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7" i="2"/>
  <c r="A36" i="2"/>
  <c r="A21" i="2"/>
  <c r="A37" i="2"/>
  <c r="A23" i="2"/>
  <c r="I38" i="2"/>
  <c r="A16" i="2"/>
  <c r="A24" i="2"/>
  <c r="A32" i="2"/>
  <c r="A25" i="2"/>
  <c r="A33" i="2"/>
  <c r="A19" i="2"/>
  <c r="A27" i="2"/>
  <c r="A35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<sst xmlns="http://schemas.openxmlformats.org/spreadsheetml/2006/main" count="2101" uniqueCount="337">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</sst>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2530276.859375</v>
      </c>
    </row>
    <row r="8" spans="1:3" ht="15" customHeight="1" x14ac:dyDescent="0.25">
      <c r="B8" s="5" t="s">
        <v>19</v>
      </c>
      <c r="C8" s="44">
        <v>0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0.77999130249023396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3.3099999999999997E-2</v>
      </c>
    </row>
    <row r="24" spans="1:3" ht="15" customHeight="1" x14ac:dyDescent="0.25">
      <c r="B24" s="15" t="s">
        <v>33</v>
      </c>
      <c r="C24" s="45">
        <v>0.41270000000000001</v>
      </c>
    </row>
    <row r="25" spans="1:3" ht="15" customHeight="1" x14ac:dyDescent="0.25">
      <c r="B25" s="15" t="s">
        <v>34</v>
      </c>
      <c r="C25" s="45">
        <v>0.50419999999999998</v>
      </c>
    </row>
    <row r="26" spans="1:3" ht="15" customHeight="1" x14ac:dyDescent="0.25">
      <c r="B26" s="15" t="s">
        <v>35</v>
      </c>
      <c r="C26" s="45">
        <v>0.05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0.29181610000000002</v>
      </c>
    </row>
    <row r="30" spans="1:3" ht="14.25" customHeight="1" x14ac:dyDescent="0.25">
      <c r="B30" s="25" t="s">
        <v>38</v>
      </c>
      <c r="C30" s="99">
        <v>5.8372300000000002E-2</v>
      </c>
    </row>
    <row r="31" spans="1:3" ht="14.25" customHeight="1" x14ac:dyDescent="0.25">
      <c r="B31" s="25" t="s">
        <v>39</v>
      </c>
      <c r="C31" s="99">
        <v>0.11982329999999999</v>
      </c>
    </row>
    <row r="32" spans="1:3" ht="14.25" customHeight="1" x14ac:dyDescent="0.25">
      <c r="B32" s="25" t="s">
        <v>40</v>
      </c>
      <c r="C32" s="99">
        <v>0.52998829999999997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4.2106300000000001</v>
      </c>
    </row>
    <row r="38" spans="1:5" ht="15" customHeight="1" x14ac:dyDescent="0.25">
      <c r="B38" s="11" t="s">
        <v>45</v>
      </c>
      <c r="C38" s="43">
        <v>6.4629700000000003</v>
      </c>
      <c r="D38" s="12"/>
      <c r="E38" s="13"/>
    </row>
    <row r="39" spans="1:5" ht="15" customHeight="1" x14ac:dyDescent="0.25">
      <c r="B39" s="11" t="s">
        <v>46</v>
      </c>
      <c r="C39" s="43">
        <v>7.5561299999999996</v>
      </c>
      <c r="D39" s="12"/>
      <c r="E39" s="12"/>
    </row>
    <row r="40" spans="1:5" ht="15" customHeight="1" x14ac:dyDescent="0.25">
      <c r="B40" s="11" t="s">
        <v>47</v>
      </c>
      <c r="C40" s="100">
        <v>0.21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5.0392599999999996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6.3741000000000006E-3</v>
      </c>
      <c r="D45" s="12"/>
    </row>
    <row r="46" spans="1:5" ht="15.75" customHeight="1" x14ac:dyDescent="0.25">
      <c r="B46" s="11" t="s">
        <v>52</v>
      </c>
      <c r="C46" s="45">
        <v>6.565E-2</v>
      </c>
      <c r="D46" s="12"/>
    </row>
    <row r="47" spans="1:5" ht="15.75" customHeight="1" x14ac:dyDescent="0.25">
      <c r="B47" s="11" t="s">
        <v>53</v>
      </c>
      <c r="C47" s="45">
        <v>0.1470931</v>
      </c>
      <c r="D47" s="12"/>
      <c r="E47" s="13"/>
    </row>
    <row r="48" spans="1:5" ht="15" customHeight="1" x14ac:dyDescent="0.25">
      <c r="B48" s="11" t="s">
        <v>54</v>
      </c>
      <c r="C48" s="46">
        <v>0.78088279999999999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2.2000000000000002</v>
      </c>
      <c r="D51" s="12"/>
    </row>
    <row r="52" spans="1:4" ht="15" customHeight="1" x14ac:dyDescent="0.25">
      <c r="B52" s="11" t="s">
        <v>57</v>
      </c>
      <c r="C52" s="100">
        <v>2.2000000000000002</v>
      </c>
    </row>
    <row r="53" spans="1:4" ht="15.75" customHeight="1" x14ac:dyDescent="0.25">
      <c r="B53" s="11" t="s">
        <v>58</v>
      </c>
      <c r="C53" s="100">
        <v>2.2000000000000002</v>
      </c>
    </row>
    <row r="54" spans="1:4" ht="15.75" customHeight="1" x14ac:dyDescent="0.25">
      <c r="B54" s="11" t="s">
        <v>59</v>
      </c>
      <c r="C54" s="100">
        <v>2.2000000000000002</v>
      </c>
    </row>
    <row r="55" spans="1:4" ht="15.75" customHeight="1" x14ac:dyDescent="0.25">
      <c r="B55" s="11" t="s">
        <v>60</v>
      </c>
      <c r="C55" s="100">
        <v>2.2000000000000002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2.1363636363636359E-2</v>
      </c>
    </row>
    <row r="59" spans="1:4" ht="15.75" customHeight="1" x14ac:dyDescent="0.25">
      <c r="B59" s="11" t="s">
        <v>63</v>
      </c>
      <c r="C59" s="45">
        <v>0.59568500000000002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0.11349301000000001</v>
      </c>
    </row>
    <row r="63" spans="1:4" ht="15.75" customHeight="1" x14ac:dyDescent="0.3">
      <c r="A63" s="4"/>
    </row>
  </sheetData>
  <sheetProtection algorithmName="SHA-512" hashValue="54ST7TAVrFqie0MsEi1U++fvz5r8ePYT61gB9PM9/zEmhAawWV4U2T98arXqGsJY1w7/wa0UuHHGphXWteD+hQ==" saltValue="Wf7/tmfssSQm9n77MrG1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504947</v>
      </c>
      <c r="C2" s="49">
        <v>1510474.5</v>
      </c>
      <c r="D2" s="49">
        <v>2772634.5</v>
      </c>
      <c r="E2" s="49">
        <v>2952031</v>
      </c>
      <c r="F2" s="49">
        <v>2030147.5</v>
      </c>
      <c r="G2" s="17">
        <f t="shared" ref="G2:G13" si="0">C2+D2+E2+F2</f>
        <v>9265287.5</v>
      </c>
      <c r="H2" s="17">
        <f t="shared" ref="H2:H13" si="1">(B2 + stillbirth*B2/(1000-stillbirth))/(1-abortion)</f>
        <v>576709.59870327055</v>
      </c>
      <c r="I2" s="17">
        <f t="shared" ref="I2:I13" si="2">G2-H2</f>
        <v>8688577.9012967292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502550</v>
      </c>
      <c r="C3" s="50">
        <v>1493289.5</v>
      </c>
      <c r="D3" s="50">
        <v>2749649.5</v>
      </c>
      <c r="E3" s="50">
        <v>2967256.5</v>
      </c>
      <c r="F3" s="50">
        <v>2107528</v>
      </c>
      <c r="G3" s="17">
        <f t="shared" si="0"/>
        <v>9317723.5</v>
      </c>
      <c r="H3" s="17">
        <f t="shared" si="1"/>
        <v>573971.93928932864</v>
      </c>
      <c r="I3" s="17">
        <f t="shared" si="2"/>
        <v>8743751.5607106723</v>
      </c>
    </row>
    <row r="4" spans="1:9" ht="15.75" customHeight="1" x14ac:dyDescent="0.25">
      <c r="A4" s="5">
        <f t="shared" si="3"/>
        <v>2026</v>
      </c>
      <c r="B4" s="49">
        <v>500475</v>
      </c>
      <c r="C4" s="50">
        <v>1481691</v>
      </c>
      <c r="D4" s="50">
        <v>2731665.5</v>
      </c>
      <c r="E4" s="50">
        <v>2971484.5</v>
      </c>
      <c r="F4" s="50">
        <v>2187893</v>
      </c>
      <c r="G4" s="17">
        <f t="shared" si="0"/>
        <v>9372734</v>
      </c>
      <c r="H4" s="17">
        <f t="shared" si="1"/>
        <v>571602.04221635009</v>
      </c>
      <c r="I4" s="17">
        <f t="shared" si="2"/>
        <v>8801131.9577836506</v>
      </c>
    </row>
    <row r="5" spans="1:9" ht="15.75" customHeight="1" x14ac:dyDescent="0.25">
      <c r="A5" s="5">
        <f t="shared" si="3"/>
        <v>2027</v>
      </c>
      <c r="B5" s="49">
        <v>497557</v>
      </c>
      <c r="C5" s="50">
        <v>1476245.5</v>
      </c>
      <c r="D5" s="50">
        <v>2715550</v>
      </c>
      <c r="E5" s="50">
        <v>2965997</v>
      </c>
      <c r="F5" s="50">
        <v>2268214</v>
      </c>
      <c r="G5" s="17">
        <f t="shared" si="0"/>
        <v>9426006.5</v>
      </c>
      <c r="H5" s="17">
        <f t="shared" si="1"/>
        <v>568269.33876625297</v>
      </c>
      <c r="I5" s="17">
        <f t="shared" si="2"/>
        <v>8857737.1612337474</v>
      </c>
    </row>
    <row r="6" spans="1:9" ht="15.75" customHeight="1" x14ac:dyDescent="0.25">
      <c r="A6" s="5">
        <f t="shared" si="3"/>
        <v>2028</v>
      </c>
      <c r="B6" s="49">
        <v>493770</v>
      </c>
      <c r="C6" s="50">
        <v>1481529</v>
      </c>
      <c r="D6" s="50">
        <v>2694652</v>
      </c>
      <c r="E6" s="50">
        <v>2954031</v>
      </c>
      <c r="F6" s="50">
        <v>2347103.5</v>
      </c>
      <c r="G6" s="17">
        <f t="shared" si="0"/>
        <v>9477315.5</v>
      </c>
      <c r="H6" s="17">
        <f t="shared" si="1"/>
        <v>563944.1338431834</v>
      </c>
      <c r="I6" s="17">
        <f t="shared" si="2"/>
        <v>8913371.3661568165</v>
      </c>
    </row>
    <row r="7" spans="1:9" ht="15.75" customHeight="1" x14ac:dyDescent="0.25">
      <c r="A7" s="5">
        <f t="shared" si="3"/>
        <v>2029</v>
      </c>
      <c r="B7" s="49">
        <v>489921</v>
      </c>
      <c r="C7" s="50">
        <v>1497510.5</v>
      </c>
      <c r="D7" s="50">
        <v>2665472.5</v>
      </c>
      <c r="E7" s="50">
        <v>2938753</v>
      </c>
      <c r="F7" s="50">
        <v>2423076</v>
      </c>
      <c r="G7" s="17">
        <f t="shared" si="0"/>
        <v>9524812</v>
      </c>
      <c r="H7" s="17">
        <f t="shared" si="1"/>
        <v>559548.11753769207</v>
      </c>
      <c r="I7" s="17">
        <f t="shared" si="2"/>
        <v>8965263.8824623078</v>
      </c>
    </row>
    <row r="8" spans="1:9" ht="15.75" customHeight="1" x14ac:dyDescent="0.25">
      <c r="A8" s="5">
        <f t="shared" si="3"/>
        <v>2030</v>
      </c>
      <c r="B8" s="49">
        <v>485987</v>
      </c>
      <c r="C8" s="50">
        <v>1515800</v>
      </c>
      <c r="D8" s="50">
        <v>2633645</v>
      </c>
      <c r="E8" s="50">
        <v>2921858</v>
      </c>
      <c r="F8" s="50">
        <v>2492635.5</v>
      </c>
      <c r="G8" s="17">
        <f t="shared" si="0"/>
        <v>9563938.5</v>
      </c>
      <c r="H8" s="17">
        <f t="shared" si="1"/>
        <v>555055.0211111391</v>
      </c>
      <c r="I8" s="17">
        <f t="shared" si="2"/>
        <v>9008883.4788888618</v>
      </c>
    </row>
    <row r="9" spans="1:9" ht="15.75" customHeight="1" x14ac:dyDescent="0.25">
      <c r="A9" s="5">
        <f t="shared" si="3"/>
        <v>2031</v>
      </c>
      <c r="B9" s="49">
        <v>483995</v>
      </c>
      <c r="C9" s="50">
        <v>1528021</v>
      </c>
      <c r="D9" s="50">
        <v>2607608.5</v>
      </c>
      <c r="E9" s="50">
        <v>2904175.5</v>
      </c>
      <c r="F9" s="50">
        <v>2551531.5</v>
      </c>
      <c r="G9" s="17">
        <f t="shared" si="0"/>
        <v>9591336.5</v>
      </c>
      <c r="H9" s="17">
        <f t="shared" si="1"/>
        <v>552779.91992107965</v>
      </c>
      <c r="I9" s="17">
        <f t="shared" si="2"/>
        <v>9038556.5800789203</v>
      </c>
    </row>
    <row r="10" spans="1:9" ht="15.75" customHeight="1" x14ac:dyDescent="0.25">
      <c r="A10" s="5">
        <f t="shared" si="3"/>
        <v>2032</v>
      </c>
      <c r="B10" s="49">
        <v>478771</v>
      </c>
      <c r="C10" s="50">
        <v>1533052</v>
      </c>
      <c r="D10" s="50">
        <v>2589179</v>
      </c>
      <c r="E10" s="50">
        <v>2885013.5</v>
      </c>
      <c r="F10" s="50">
        <v>2598110.5</v>
      </c>
      <c r="G10" s="17">
        <f t="shared" si="0"/>
        <v>9605355</v>
      </c>
      <c r="H10" s="17">
        <f t="shared" si="1"/>
        <v>546813.48989253037</v>
      </c>
      <c r="I10" s="17">
        <f t="shared" si="2"/>
        <v>9058541.5101074688</v>
      </c>
    </row>
    <row r="11" spans="1:9" ht="15.75" customHeight="1" x14ac:dyDescent="0.25">
      <c r="A11" s="5">
        <f t="shared" si="3"/>
        <v>2033</v>
      </c>
      <c r="B11" s="49">
        <v>473565</v>
      </c>
      <c r="C11" s="50">
        <v>1531799</v>
      </c>
      <c r="D11" s="50">
        <v>2578102.5</v>
      </c>
      <c r="E11" s="50">
        <v>2861800</v>
      </c>
      <c r="F11" s="50">
        <v>2633033.5</v>
      </c>
      <c r="G11" s="17">
        <f t="shared" si="0"/>
        <v>9604735</v>
      </c>
      <c r="H11" s="17">
        <f t="shared" si="1"/>
        <v>540867.61800726468</v>
      </c>
      <c r="I11" s="17">
        <f t="shared" si="2"/>
        <v>9063867.381992735</v>
      </c>
    </row>
    <row r="12" spans="1:9" ht="15.75" customHeight="1" x14ac:dyDescent="0.25">
      <c r="A12" s="5">
        <f t="shared" si="3"/>
        <v>2034</v>
      </c>
      <c r="B12" s="49">
        <v>467896</v>
      </c>
      <c r="C12" s="50">
        <v>1524737</v>
      </c>
      <c r="D12" s="50">
        <v>2573906.5</v>
      </c>
      <c r="E12" s="50">
        <v>2836089.5</v>
      </c>
      <c r="F12" s="50">
        <v>2658494.5</v>
      </c>
      <c r="G12" s="17">
        <f t="shared" si="0"/>
        <v>9593227.5</v>
      </c>
      <c r="H12" s="17">
        <f t="shared" si="1"/>
        <v>534392.94499198033</v>
      </c>
      <c r="I12" s="17">
        <f t="shared" si="2"/>
        <v>9058834.5550080203</v>
      </c>
    </row>
    <row r="13" spans="1:9" ht="15.75" customHeight="1" x14ac:dyDescent="0.25">
      <c r="A13" s="5">
        <f t="shared" si="3"/>
        <v>2035</v>
      </c>
      <c r="B13" s="49">
        <v>463805</v>
      </c>
      <c r="C13" s="50">
        <v>1515152</v>
      </c>
      <c r="D13" s="50">
        <v>2572379</v>
      </c>
      <c r="E13" s="50">
        <v>2813377.5</v>
      </c>
      <c r="F13" s="50">
        <v>2676792</v>
      </c>
      <c r="G13" s="17">
        <f t="shared" si="0"/>
        <v>9577700.5</v>
      </c>
      <c r="H13" s="17">
        <f t="shared" si="1"/>
        <v>529720.53587123076</v>
      </c>
      <c r="I13" s="17">
        <f t="shared" si="2"/>
        <v>9047979.9641287699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YW/07cMxvSTfxFu6H0i46rCM0Ck97FN72x1jp2YCAeg3gOFpc8xjmmk8hWWsvdcynjWkWAPXx1ky7e+5ex9gIA==" saltValue="T5qUaeRwZ3kBpDXkLj4Yz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4.99320049932006E-2</v>
      </c>
    </row>
    <row r="5" spans="1:8" ht="15.75" customHeight="1" x14ac:dyDescent="0.25">
      <c r="B5" s="19" t="s">
        <v>80</v>
      </c>
      <c r="C5" s="101">
        <v>1.027610102761011E-2</v>
      </c>
    </row>
    <row r="6" spans="1:8" ht="15.75" customHeight="1" x14ac:dyDescent="0.25">
      <c r="B6" s="19" t="s">
        <v>81</v>
      </c>
      <c r="C6" s="101">
        <v>0.1337043133704314</v>
      </c>
    </row>
    <row r="7" spans="1:8" ht="15.75" customHeight="1" x14ac:dyDescent="0.25">
      <c r="B7" s="19" t="s">
        <v>82</v>
      </c>
      <c r="C7" s="101">
        <v>0.43351454335145478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0.26159222615922201</v>
      </c>
    </row>
    <row r="10" spans="1:8" ht="15.75" customHeight="1" x14ac:dyDescent="0.25">
      <c r="B10" s="19" t="s">
        <v>85</v>
      </c>
      <c r="C10" s="101">
        <v>0.11098081109808119</v>
      </c>
    </row>
    <row r="11" spans="1:8" ht="15.75" customHeight="1" x14ac:dyDescent="0.25">
      <c r="B11" s="27" t="s">
        <v>41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8.995098065672287E-2</v>
      </c>
      <c r="D14" s="55">
        <v>8.995098065672287E-2</v>
      </c>
      <c r="E14" s="55">
        <v>8.995098065672287E-2</v>
      </c>
      <c r="F14" s="55">
        <v>8.995098065672287E-2</v>
      </c>
    </row>
    <row r="15" spans="1:8" ht="15.75" customHeight="1" x14ac:dyDescent="0.25">
      <c r="B15" s="19" t="s">
        <v>88</v>
      </c>
      <c r="C15" s="101">
        <v>0.20077711774403409</v>
      </c>
      <c r="D15" s="101">
        <v>0.20077711774403409</v>
      </c>
      <c r="E15" s="101">
        <v>0.20077711774403409</v>
      </c>
      <c r="F15" s="101">
        <v>0.20077711774403409</v>
      </c>
    </row>
    <row r="16" spans="1:8" ht="15.75" customHeight="1" x14ac:dyDescent="0.25">
      <c r="B16" s="19" t="s">
        <v>89</v>
      </c>
      <c r="C16" s="101">
        <v>2.5934051996959591E-2</v>
      </c>
      <c r="D16" s="101">
        <v>2.5934051996959591E-2</v>
      </c>
      <c r="E16" s="101">
        <v>2.5934051996959591E-2</v>
      </c>
      <c r="F16" s="101">
        <v>2.5934051996959591E-2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1.937420903731499E-3</v>
      </c>
      <c r="D18" s="101">
        <v>1.937420903731499E-3</v>
      </c>
      <c r="E18" s="101">
        <v>1.937420903731499E-3</v>
      </c>
      <c r="F18" s="101">
        <v>1.937420903731499E-3</v>
      </c>
    </row>
    <row r="19" spans="1:8" ht="15.75" customHeight="1" x14ac:dyDescent="0.25">
      <c r="B19" s="19" t="s">
        <v>92</v>
      </c>
      <c r="C19" s="101">
        <v>8.1870754878343929E-2</v>
      </c>
      <c r="D19" s="101">
        <v>8.1870754878343929E-2</v>
      </c>
      <c r="E19" s="101">
        <v>8.1870754878343929E-2</v>
      </c>
      <c r="F19" s="101">
        <v>8.1870754878343929E-2</v>
      </c>
    </row>
    <row r="20" spans="1:8" ht="15.75" customHeight="1" x14ac:dyDescent="0.25">
      <c r="B20" s="19" t="s">
        <v>93</v>
      </c>
      <c r="C20" s="101">
        <v>2.5916379957937968E-2</v>
      </c>
      <c r="D20" s="101">
        <v>2.5916379957937968E-2</v>
      </c>
      <c r="E20" s="101">
        <v>2.5916379957937968E-2</v>
      </c>
      <c r="F20" s="101">
        <v>2.5916379957937968E-2</v>
      </c>
    </row>
    <row r="21" spans="1:8" ht="15.75" customHeight="1" x14ac:dyDescent="0.25">
      <c r="B21" s="19" t="s">
        <v>94</v>
      </c>
      <c r="C21" s="101">
        <v>0.56612183919474668</v>
      </c>
      <c r="D21" s="101">
        <v>0.56612183919474668</v>
      </c>
      <c r="E21" s="101">
        <v>0.56612183919474668</v>
      </c>
      <c r="F21" s="101">
        <v>0.56612183919474668</v>
      </c>
    </row>
    <row r="22" spans="1:8" ht="15.75" customHeight="1" x14ac:dyDescent="0.25">
      <c r="B22" s="19" t="s">
        <v>95</v>
      </c>
      <c r="C22" s="101">
        <v>7.4914546675234487E-3</v>
      </c>
      <c r="D22" s="101">
        <v>7.4914546675234487E-3</v>
      </c>
      <c r="E22" s="101">
        <v>7.4914546675234487E-3</v>
      </c>
      <c r="F22" s="101">
        <v>7.4914546675234487E-3</v>
      </c>
    </row>
    <row r="23" spans="1:8" ht="15.75" customHeight="1" x14ac:dyDescent="0.25">
      <c r="B23" s="27" t="s">
        <v>41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2.386251E-2</v>
      </c>
    </row>
    <row r="27" spans="1:8" ht="15.75" customHeight="1" x14ac:dyDescent="0.25">
      <c r="B27" s="19" t="s">
        <v>102</v>
      </c>
      <c r="C27" s="101">
        <v>5.5546280000000007E-3</v>
      </c>
    </row>
    <row r="28" spans="1:8" ht="15.75" customHeight="1" x14ac:dyDescent="0.25">
      <c r="B28" s="19" t="s">
        <v>103</v>
      </c>
      <c r="C28" s="101">
        <v>0.152936821</v>
      </c>
    </row>
    <row r="29" spans="1:8" ht="15.75" customHeight="1" x14ac:dyDescent="0.25">
      <c r="B29" s="19" t="s">
        <v>104</v>
      </c>
      <c r="C29" s="101">
        <v>0.11069707199999999</v>
      </c>
    </row>
    <row r="30" spans="1:8" ht="15.75" customHeight="1" x14ac:dyDescent="0.25">
      <c r="B30" s="19" t="s">
        <v>2</v>
      </c>
      <c r="C30" s="101">
        <v>5.7770492999999999E-2</v>
      </c>
    </row>
    <row r="31" spans="1:8" ht="15.75" customHeight="1" x14ac:dyDescent="0.25">
      <c r="B31" s="19" t="s">
        <v>105</v>
      </c>
      <c r="C31" s="101">
        <v>9.4773582999999995E-2</v>
      </c>
    </row>
    <row r="32" spans="1:8" ht="15.75" customHeight="1" x14ac:dyDescent="0.25">
      <c r="B32" s="19" t="s">
        <v>106</v>
      </c>
      <c r="C32" s="101">
        <v>0.20791595299999999</v>
      </c>
    </row>
    <row r="33" spans="2:3" ht="15.75" customHeight="1" x14ac:dyDescent="0.25">
      <c r="B33" s="19" t="s">
        <v>107</v>
      </c>
      <c r="C33" s="101">
        <v>0.13742104999999999</v>
      </c>
    </row>
    <row r="34" spans="2:3" ht="15.75" customHeight="1" x14ac:dyDescent="0.25">
      <c r="B34" s="19" t="s">
        <v>108</v>
      </c>
      <c r="C34" s="101">
        <v>0.20906789100000001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2ADP5Jzg/c+iVo8CKkgYltnQwg0HwwjTGJ7yxU5O3QrkVPs4w6zgEQ9sP5IGNnSExZXRgMvMIraT7x/G0OBLoA==" saltValue="ZN9U8C7vZVVgpuIweVYGD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114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115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119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120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0.20510380375000001</v>
      </c>
      <c r="D14" s="54">
        <v>0.18616108902699999</v>
      </c>
      <c r="E14" s="54">
        <v>0.18616108902699999</v>
      </c>
      <c r="F14" s="54">
        <v>0.111192412666</v>
      </c>
      <c r="G14" s="54">
        <v>0.111192412666</v>
      </c>
      <c r="H14" s="45">
        <v>0.371</v>
      </c>
      <c r="I14" s="55">
        <v>0.371</v>
      </c>
      <c r="J14" s="55">
        <v>0.371</v>
      </c>
      <c r="K14" s="55">
        <v>0.371</v>
      </c>
      <c r="L14" s="45">
        <v>0.24399999999999999</v>
      </c>
      <c r="M14" s="55">
        <v>0.24399999999999999</v>
      </c>
      <c r="N14" s="55">
        <v>0.24399999999999999</v>
      </c>
      <c r="O14" s="55">
        <v>0.24399999999999999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0.12217725933681876</v>
      </c>
      <c r="D15" s="52">
        <f t="shared" si="0"/>
        <v>0.11089336831704849</v>
      </c>
      <c r="E15" s="52">
        <f t="shared" si="0"/>
        <v>0.11089336831704849</v>
      </c>
      <c r="F15" s="52">
        <f t="shared" si="0"/>
        <v>6.623565233894621E-2</v>
      </c>
      <c r="G15" s="52">
        <f t="shared" si="0"/>
        <v>6.623565233894621E-2</v>
      </c>
      <c r="H15" s="52">
        <f t="shared" si="0"/>
        <v>0.22099913500000001</v>
      </c>
      <c r="I15" s="52">
        <f t="shared" si="0"/>
        <v>0.22099913500000001</v>
      </c>
      <c r="J15" s="52">
        <f t="shared" si="0"/>
        <v>0.22099913500000001</v>
      </c>
      <c r="K15" s="52">
        <f t="shared" si="0"/>
        <v>0.22099913500000001</v>
      </c>
      <c r="L15" s="52">
        <f t="shared" si="0"/>
        <v>0.14534714000000001</v>
      </c>
      <c r="M15" s="52">
        <f t="shared" si="0"/>
        <v>0.14534714000000001</v>
      </c>
      <c r="N15" s="52">
        <f t="shared" si="0"/>
        <v>0.14534714000000001</v>
      </c>
      <c r="O15" s="52">
        <f t="shared" si="0"/>
        <v>0.14534714000000001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ekJX+6XU0uxDy3PFtn/duLYeEBydfe0h1WM4hlP1ESIQhe51jUJqUpM50FrbH6S9PIpEPMv+H4jwgu0G1vNPkg==" saltValue="vl0xLJq+lgh5uUyyMZRY5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132</v>
      </c>
      <c r="C5" s="52">
        <v>4.2547995714285698E-2</v>
      </c>
      <c r="D5" s="52">
        <v>6.9181616901408394E-2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lU98Lbi+nR0uB4y2BqS4REu3zn7ftwajEhmR5L2nYn0A7oqjQ4vU8uc03zNG4g2+Qp6bcNzwwNJXdtkaj1SFPg==" saltValue="6xDPhYgCs9AfegxyqrxHG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W29fdtuw92IBemlSUOfLECothPQZVBzwB5PoC67We0oly46WtwkUFWaWOsn0uxp6NoTJ6NW6Osk3dYY7HpWmOw==" saltValue="WZZEuZChRs1lMMXeF2+hB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jYEzVxF+0WXmvJSGdf6LEs63CSSYDSw8y8JpN8d/Tw4BDo9iWuZH3IvXK8CMMlZUwckc+kiMemcjShDEjYOnRw==" saltValue="My1u789QdYG5reO0vD9oq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7qXGm57aA0sfYup7TiMvSBdVUsouXdabkCEl5c+ubCE3bOC/q7JuRR6uuudkMiP//YlZoIdU+2LVAFefgqwMVg==" saltValue="Ul/kCRyEEEF6UqccZ1Adw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3DcaLgAdidDNVRCFDJkbOaSJKVVvkaB5eSvXwsODOabdy+8A4MQvx6+UG1/2SXzUYRWvh/VaqfdMJ3agB/Gkyg==" saltValue="DM/e3SOLzvy94WdIhGtBT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92.245047147143225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40.647032466246337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950.82377496430036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3.8723334833414911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13.77933191004225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13.77933191004225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13.77933191004225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13.77933191004225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13.77933191004225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13.77933191004225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1.4860977099376029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</v>
      </c>
      <c r="C18" s="98">
        <v>0.95</v>
      </c>
      <c r="D18" s="56">
        <v>21.758442885912821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</v>
      </c>
      <c r="C19" s="98">
        <v>0.95</v>
      </c>
      <c r="D19" s="56">
        <v>21.758442885912821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32.963044266470973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24.180959628055831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4.7588079536301482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0.70576165380000011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19.340697663417359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191.74008051799319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4.3398717631557826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3.2697777913707609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0.95509479999999991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5.2784465228258819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VR5qCNWuB99zmlLWKIx9QdQcddmQmv4JTLNkJ57eiUBigY1qB07d8nQNeiGod2EoL/0yeRinFfUD97aSzGaV7A==" saltValue="bGCZvV5SUh4wCHYpvv/w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yRF9ZBA5OrbkC6femon5SWYmJ6XgmAbA63v06JMClOkkjsH1XXRzYz1ATiEWXHju8ztPT+pcVIVNOTPTDrjWAA==" saltValue="Mooa57vvpXhqqaMWkYDiH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yKOPLTTuVZbj2jq8ZAe7owWhZTp/y+/87eEUTBYUJTOXp3RogyBbCD8oxHk9HHN4mlxyWphG7aLp73WI3ss61Q==" saltValue="sJ7C+O7V7feA4WHdmU+Xe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2.2000000000000002</v>
      </c>
      <c r="C2" s="21">
        <f>'Données pop de l''année de ref'!C52</f>
        <v>2.2000000000000002</v>
      </c>
      <c r="D2" s="21">
        <f>'Données pop de l''année de ref'!C53</f>
        <v>2.2000000000000002</v>
      </c>
      <c r="E2" s="21">
        <f>'Données pop de l''année de ref'!C54</f>
        <v>2.2000000000000002</v>
      </c>
      <c r="F2" s="21">
        <f>'Données pop de l''année de ref'!C55</f>
        <v>2.2000000000000002</v>
      </c>
    </row>
    <row r="3" spans="1:6" ht="15.75" customHeight="1" x14ac:dyDescent="0.25">
      <c r="A3" s="3" t="s">
        <v>209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208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WGWjsHMalOf93+2eCokCuCtaF04ahI56+96Dhc4N330jvs1uRQ153joNBUSTxomPw78Z6HRTtqiGHriE8Bg69g==" saltValue="RQ6+pZDY8L8gbKvwRXaDn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0.10780426177978536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4.6201826477050865E-2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6.6002609252929806E-2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0.77999130249023396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qHOTMTWdxrJoQgOD3ELVpcNnrurxnoVh1uIF7DLJ/RWCi/pNosOE45z9Ir4+v0IivpfLJnrhLe3Rr4DrqlB2Q==" saltValue="Ex7084Gbc3n0IjmuykDI4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oGnDP8r0RRImNWF/Puz0FOAjpFE4M0EyFKFIIaKZLkGh9tn4FwWDaSUXSuKMbg1RJfszTd2cq2T9wEebGFtpJQ==" saltValue="Ntwc+BR31Lj4Ch53rN8fG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SzJx6+3injugDUH6To0xjKlJpnXp79yyjL4eNNN674i32J+jpmWC4cfxotMTb3SSa66JdLhk2+ph4X5IESyAzg==" saltValue="dfFP0p1Hbh/qwRtUON8r+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pi+bx/MGeW/bWVvdZ2BBh9lWtCzOCTa5x6oWTNOER9kHyxvxYejNzl4p60KmRneDW/OMg16qenBB7dvHSvURQ==" saltValue="PVd8blJeupxH0g/ijLlaK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auDkGlvir3Xq0foNQFbljTMPf2D751CzxB8HZ8n9N8EeDGga/KyQcVDr9Mv+9uILkI3sQxS01xOxQIm2XDeSfA==" saltValue="DnLD50hkIFQNdUMpFrb1x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jap6JDXgs3VMbVrowYahQHyUUfTpFcTVb7nwZqn6dsz86KMBH8+tjhOeHaJu8gTzka2iZtco6RN4Nkr99M9T+Q==" saltValue="ReM18DONmNu09PIhAf1rM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MkwQAtHr86oaUmdys4EqjSmgGYERXRt1BhljoUCDMe3gcqb+Al639WjKAEVU8AUqRlprTgg7I9jgPOMc5+azw==" saltValue="G0EoxQFpSZoAwTO2YR4r+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ZcbxEHcVv2XjaESjux+ZrSy4HAevxbAsZAciLRgrSfsBuzv389LuBQw/3bXiBoOrxkbvo3Z2IbSnoBV2Ga3IQA==" saltValue="LF873w0koyKTegMax1L7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R7TQPXPZYa5npux0BfLGt4HvoI3F+YZJpqvc0auI308rjCBJR7Y7UbHo/qs1Cib96ErEDjknJitsDO9rL1mUw==" saltValue="T1GoPecB+EBkUj9o/RBd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Xn09VQzoLtVRS8inLfJGuQaqhshXq9j9FZLokYMviroGJnEvgyAW1MQ6Jcn/m2gu8MUPVAdBlPfLVB0Sxpy6IA==" saltValue="iJY8i2cQNMcwX9LvgqVu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hA/YjcLUmWfUYoLG6+Hiwehe6viylcUR1Q8f6aif6/iD99jYR6TsSqnQq2dM5QuQzIxl5OaXrShG+WrCl7lEVw==" saltValue="SIOLhMeW0GmHaZ7PWAQF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9n34wALpCUcBXCx5LQUroZzi3lK0FuxmU7hiS0ZinFv5/9i2RgJDYzNksb6ZcOCoyDQtgSKEGnchOi2dXIK/hw==" saltValue="ihTPszcirnCLeSvsVmCZ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/KjzB3U1Srcew4ddwt5PWOugcLgA2p9NZSR6BiWUZT8X6bus4uien6ZzZg/zxjETW771JtcS2N5itSBinuHGCQ==" saltValue="S3zZIcmYzpwRSMILN+s4H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0.1061043049026611</v>
      </c>
      <c r="G18" s="90">
        <f>MIN(MAX(1-0.89/(1-frac_sam_12_23months+(frac_sam_12_23months*0.89)),0),1)</f>
        <v>0.10672753483027453</v>
      </c>
      <c r="H18" s="90">
        <f>MIN(MAX(1-0.89/(1-frac_sam_24_59months+(frac_sam_24_59months*0.89)),0),1)</f>
        <v>0.10792624649961502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0.10159302095390743</v>
      </c>
      <c r="G20" s="90">
        <f>MIN(MAX(1-0.89/(1-frac_mam_12_23months+(frac_mam_12_23months*0.89)),0),1)</f>
        <v>0.10192091694100414</v>
      </c>
      <c r="H20" s="90">
        <f>MIN(MAX(1-0.89/(1-frac_mam_24_59months+(frac_mam_24_59months*0.89)),0),1)</f>
        <v>0.10391137176824317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9.6076147076843421E-3</v>
      </c>
      <c r="G73" s="90">
        <f>MIN(MAX(1-0.99/(1-frac_sam_12_23months+(frac_sam_12_23months*0.99)),0),1)</f>
        <v>9.6701790355624428E-3</v>
      </c>
      <c r="H73" s="90">
        <f>MIN(MAX(1-0.99/(1-frac_sam_24_59months+(frac_sam_24_59months*0.99)),0),1)</f>
        <v>9.7907378565519343E-3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9.1570943458723075E-3</v>
      </c>
      <c r="G75" s="90">
        <f>MIN(MAX(1-0.99/(1-frac_mam_12_23months+(frac_mam_12_23months*0.99)),0),1)</f>
        <v>9.1897009707044841E-3</v>
      </c>
      <c r="H75" s="90">
        <f>MIN(MAX(1-0.99/(1-frac_mam_24_59months+(frac_mam_24_59months*0.99)),0),1)</f>
        <v>9.3881015599317497E-3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0.19361030108005861</v>
      </c>
      <c r="G128" s="90">
        <f>MIN(MAX(1-0.8/(1-frac_sam_12_23months+(frac_sam_12_23months*0.8)),0),1)</f>
        <v>0.19463560409556757</v>
      </c>
      <c r="H128" s="90">
        <f>MIN(MAX(1-0.8/(1-frac_sam_24_59months+(frac_sam_24_59months*0.8)),0),1)</f>
        <v>0.1966043481398837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0.18615328435422862</v>
      </c>
      <c r="G130" s="90">
        <f>MIN(MAX(1-0.8/(1-frac_mam_12_23months+(frac_mam_12_23months*0.8)),0),1)</f>
        <v>0.18669738659742963</v>
      </c>
      <c r="H130" s="90">
        <f>MIN(MAX(1-0.8/(1-frac_mam_24_59months+(frac_mam_24_59months*0.8)),0),1)</f>
        <v>0.18999321757816412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iEodd6S375S/tm2ej5uWcwUKji+k5kTloRt0KjxrB9wT7DAnKwa4nV3XrIo03bfUikTti3UJllj09eiKO/zQCw==" saltValue="Vii2d09fGjZZ/FUq77AS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Kb65uqZ0lcqL5KmlCYoz5uvyHbM7UEezX3HVPqy0FyAr0cJPfewMUZ5wWn1No1Ux8xCv5gL0ug/GnYu2Hz+oYQ==" saltValue="xQr+5AeVQ3BRHpXYg4vxA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2024-08-06T09:31:42Z</dcterms:modified>
</cp:coreProperties>
</file>