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CC9C9C2-E693-4B97-BFAC-E76425D410B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31" i="2"/>
  <c r="A36" i="2"/>
  <c r="A23" i="2"/>
  <c r="A37" i="2"/>
  <c r="A26" i="2"/>
  <c r="I39" i="2"/>
  <c r="A40" i="2"/>
  <c r="A34" i="2"/>
  <c r="I2" i="2"/>
  <c r="I6" i="2"/>
  <c r="A19" i="2"/>
  <c r="A35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<sst xmlns="http://schemas.openxmlformats.org/spreadsheetml/2006/main" count="2169" uniqueCount="369">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</sst>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1172897</v>
      </c>
    </row>
    <row r="8" spans="1:3" ht="15" customHeight="1" x14ac:dyDescent="0.25">
      <c r="B8" s="5" t="s">
        <v>37</v>
      </c>
      <c r="C8" s="44">
        <v>0.75800000000000001</v>
      </c>
    </row>
    <row r="9" spans="1:3" ht="15" customHeight="1" x14ac:dyDescent="0.25">
      <c r="B9" s="5" t="s">
        <v>38</v>
      </c>
      <c r="C9" s="45">
        <v>0.99900000000000011</v>
      </c>
    </row>
    <row r="10" spans="1:3" ht="15" customHeight="1" x14ac:dyDescent="0.25">
      <c r="B10" s="5" t="s">
        <v>39</v>
      </c>
      <c r="C10" s="45">
        <v>0.3134342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0.13070000000000001</v>
      </c>
    </row>
    <row r="24" spans="1:3" ht="15" customHeight="1" x14ac:dyDescent="0.25">
      <c r="B24" s="15" t="s">
        <v>51</v>
      </c>
      <c r="C24" s="45">
        <v>0.4617</v>
      </c>
    </row>
    <row r="25" spans="1:3" ht="15" customHeight="1" x14ac:dyDescent="0.25">
      <c r="B25" s="15" t="s">
        <v>52</v>
      </c>
      <c r="C25" s="45">
        <v>0.31919999999999998</v>
      </c>
    </row>
    <row r="26" spans="1:3" ht="15" customHeight="1" x14ac:dyDescent="0.25">
      <c r="B26" s="15" t="s">
        <v>53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0.24044101075302499</v>
      </c>
    </row>
    <row r="30" spans="1:3" ht="14.25" customHeight="1" x14ac:dyDescent="0.25">
      <c r="B30" s="25" t="s">
        <v>56</v>
      </c>
      <c r="C30" s="97">
        <v>3.7322814416453E-2</v>
      </c>
    </row>
    <row r="31" spans="1:3" ht="14.25" customHeight="1" x14ac:dyDescent="0.25">
      <c r="B31" s="25" t="s">
        <v>57</v>
      </c>
      <c r="C31" s="97">
        <v>7.2887930619641203E-2</v>
      </c>
    </row>
    <row r="32" spans="1:3" ht="14.25" customHeight="1" x14ac:dyDescent="0.25">
      <c r="B32" s="25" t="s">
        <v>58</v>
      </c>
      <c r="C32" s="97">
        <v>0.649348244210881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30.93599</v>
      </c>
    </row>
    <row r="38" spans="1:5" ht="15" customHeight="1" x14ac:dyDescent="0.25">
      <c r="B38" s="11" t="s">
        <v>63</v>
      </c>
      <c r="C38" s="43">
        <v>78.254159999999999</v>
      </c>
      <c r="D38" s="12"/>
      <c r="E38" s="13"/>
    </row>
    <row r="39" spans="1:5" ht="15" customHeight="1" x14ac:dyDescent="0.25">
      <c r="B39" s="11" t="s">
        <v>64</v>
      </c>
      <c r="C39" s="43">
        <v>104.68697</v>
      </c>
      <c r="D39" s="12"/>
      <c r="E39" s="12"/>
    </row>
    <row r="40" spans="1:5" ht="15" customHeight="1" x14ac:dyDescent="0.25">
      <c r="B40" s="11" t="s">
        <v>65</v>
      </c>
      <c r="C40" s="98">
        <v>4.43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7.9579999999999998E-3</v>
      </c>
      <c r="D45" s="12"/>
    </row>
    <row r="46" spans="1:5" ht="15.75" customHeight="1" x14ac:dyDescent="0.25">
      <c r="B46" s="11" t="s">
        <v>70</v>
      </c>
      <c r="C46" s="45">
        <v>8.5507100000000003E-2</v>
      </c>
      <c r="D46" s="12"/>
    </row>
    <row r="47" spans="1:5" ht="15.75" customHeight="1" x14ac:dyDescent="0.25">
      <c r="B47" s="11" t="s">
        <v>71</v>
      </c>
      <c r="C47" s="45">
        <v>7.3432800000000006E-2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0.88400000000000012</v>
      </c>
      <c r="D51" s="12"/>
    </row>
    <row r="52" spans="1:4" ht="15" customHeight="1" x14ac:dyDescent="0.25">
      <c r="B52" s="11" t="s">
        <v>75</v>
      </c>
      <c r="C52" s="98">
        <v>0.88400000000000012</v>
      </c>
    </row>
    <row r="53" spans="1:4" ht="15.75" customHeight="1" x14ac:dyDescent="0.25">
      <c r="B53" s="11" t="s">
        <v>76</v>
      </c>
      <c r="C53" s="98">
        <v>2.3660000000000001</v>
      </c>
    </row>
    <row r="54" spans="1:4" ht="15.75" customHeight="1" x14ac:dyDescent="0.25">
      <c r="B54" s="11" t="s">
        <v>77</v>
      </c>
      <c r="C54" s="98">
        <v>2.6779999999999999</v>
      </c>
    </row>
    <row r="55" spans="1:4" ht="15.75" customHeight="1" x14ac:dyDescent="0.25">
      <c r="B55" s="11" t="s">
        <v>78</v>
      </c>
      <c r="C55" s="98">
        <v>1.6466666666666669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0.45287100000000008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0.144151</v>
      </c>
    </row>
    <row r="63" spans="1:4" ht="15.75" customHeight="1" x14ac:dyDescent="0.3">
      <c r="A63" s="4"/>
    </row>
  </sheetData>
  <sheetProtection algorithmName="SHA-512" hashValue="lchZLtdWcd9jZ8lJg/sTPqWgGF0+AIubiUpndN0DrEzPpcHzFhw3C9cJpUi0NFaQ3s53sGcmYjnF4N8gfAoMMA==" saltValue="L4jhsPGeMZIqQ0UfTm+m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260194.00000000003</v>
      </c>
      <c r="C2" s="49">
        <v>467957.5</v>
      </c>
      <c r="D2" s="49">
        <v>778865</v>
      </c>
      <c r="E2" s="49">
        <v>557475.5</v>
      </c>
      <c r="F2" s="49">
        <v>387890.5</v>
      </c>
      <c r="G2" s="17">
        <f t="shared" ref="G2:G13" si="0">C2+D2+E2+F2</f>
        <v>2192188.5</v>
      </c>
      <c r="H2" s="17">
        <f t="shared" ref="H2:H13" si="1">(B2 + stillbirth*B2/(1000-stillbirth))/(1-abortion)</f>
        <v>302676.15058421798</v>
      </c>
      <c r="I2" s="17">
        <f t="shared" ref="I2:I13" si="2">G2-H2</f>
        <v>1889512.3494157819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260288</v>
      </c>
      <c r="C3" s="50">
        <v>477787</v>
      </c>
      <c r="D3" s="50">
        <v>796849.5</v>
      </c>
      <c r="E3" s="50">
        <v>574766.5</v>
      </c>
      <c r="F3" s="50">
        <v>400411.50000000006</v>
      </c>
      <c r="G3" s="17">
        <f t="shared" si="0"/>
        <v>2249814.5</v>
      </c>
      <c r="H3" s="17">
        <f t="shared" si="1"/>
        <v>302785.49806400196</v>
      </c>
      <c r="I3" s="17">
        <f t="shared" si="2"/>
        <v>1947029.001935998</v>
      </c>
    </row>
    <row r="4" spans="1:9" ht="15.75" customHeight="1" x14ac:dyDescent="0.25">
      <c r="A4" s="5">
        <f t="shared" si="3"/>
        <v>2026</v>
      </c>
      <c r="B4" s="49">
        <v>261327.99999999997</v>
      </c>
      <c r="C4" s="50">
        <v>487171.5</v>
      </c>
      <c r="D4" s="50">
        <v>814623.5</v>
      </c>
      <c r="E4" s="50">
        <v>592562.5</v>
      </c>
      <c r="F4" s="50">
        <v>413379</v>
      </c>
      <c r="G4" s="17">
        <f t="shared" si="0"/>
        <v>2307736.5</v>
      </c>
      <c r="H4" s="17">
        <f t="shared" si="1"/>
        <v>303995.29996799503</v>
      </c>
      <c r="I4" s="17">
        <f t="shared" si="2"/>
        <v>2003741.2000320051</v>
      </c>
    </row>
    <row r="5" spans="1:9" ht="15.75" customHeight="1" x14ac:dyDescent="0.25">
      <c r="A5" s="5">
        <f t="shared" si="3"/>
        <v>2027</v>
      </c>
      <c r="B5" s="49">
        <v>262858</v>
      </c>
      <c r="C5" s="50">
        <v>495959</v>
      </c>
      <c r="D5" s="50">
        <v>832361</v>
      </c>
      <c r="E5" s="50">
        <v>610991.5</v>
      </c>
      <c r="F5" s="50">
        <v>426859.00000000006</v>
      </c>
      <c r="G5" s="17">
        <f t="shared" si="0"/>
        <v>2366170.5</v>
      </c>
      <c r="H5" s="17">
        <f t="shared" si="1"/>
        <v>305775.10469213879</v>
      </c>
      <c r="I5" s="17">
        <f t="shared" si="2"/>
        <v>2060395.3953078613</v>
      </c>
    </row>
    <row r="6" spans="1:9" ht="15.75" customHeight="1" x14ac:dyDescent="0.25">
      <c r="A6" s="5">
        <f t="shared" si="3"/>
        <v>2028</v>
      </c>
      <c r="B6" s="49">
        <v>262197</v>
      </c>
      <c r="C6" s="50">
        <v>503190</v>
      </c>
      <c r="D6" s="50">
        <v>849452.50000000012</v>
      </c>
      <c r="E6" s="50">
        <v>629699.00000000012</v>
      </c>
      <c r="F6" s="50">
        <v>440496.49999999994</v>
      </c>
      <c r="G6" s="17">
        <f t="shared" si="0"/>
        <v>2422838</v>
      </c>
      <c r="H6" s="17">
        <f t="shared" si="1"/>
        <v>305006.18252046622</v>
      </c>
      <c r="I6" s="17">
        <f t="shared" si="2"/>
        <v>2117831.8174795336</v>
      </c>
    </row>
    <row r="7" spans="1:9" ht="15.75" customHeight="1" x14ac:dyDescent="0.25">
      <c r="A7" s="5">
        <f t="shared" si="3"/>
        <v>2029</v>
      </c>
      <c r="B7" s="49">
        <v>262112.00000000003</v>
      </c>
      <c r="C7" s="50">
        <v>508476.5</v>
      </c>
      <c r="D7" s="50">
        <v>866208.00000000012</v>
      </c>
      <c r="E7" s="50">
        <v>648947.5</v>
      </c>
      <c r="F7" s="50">
        <v>454267</v>
      </c>
      <c r="G7" s="17">
        <f t="shared" si="0"/>
        <v>2477899</v>
      </c>
      <c r="H7" s="17">
        <f t="shared" si="1"/>
        <v>304907.30448023602</v>
      </c>
      <c r="I7" s="17">
        <f t="shared" si="2"/>
        <v>2172991.695519764</v>
      </c>
    </row>
    <row r="8" spans="1:9" ht="15.75" customHeight="1" x14ac:dyDescent="0.25">
      <c r="A8" s="5">
        <f t="shared" si="3"/>
        <v>2030</v>
      </c>
      <c r="B8" s="49">
        <v>262783</v>
      </c>
      <c r="C8" s="50">
        <v>512493.00000000006</v>
      </c>
      <c r="D8" s="50">
        <v>883101.5</v>
      </c>
      <c r="E8" s="50">
        <v>668781.5</v>
      </c>
      <c r="F8" s="50">
        <v>468548.5</v>
      </c>
      <c r="G8" s="17">
        <f t="shared" si="0"/>
        <v>2532924.5</v>
      </c>
      <c r="H8" s="17">
        <f t="shared" si="1"/>
        <v>305687.85936252389</v>
      </c>
      <c r="I8" s="17">
        <f t="shared" si="2"/>
        <v>2227236.640637476</v>
      </c>
    </row>
    <row r="9" spans="1:9" ht="15.75" customHeight="1" x14ac:dyDescent="0.25">
      <c r="A9" s="5">
        <f t="shared" si="3"/>
        <v>2031</v>
      </c>
      <c r="B9" s="49">
        <v>263544</v>
      </c>
      <c r="C9" s="50">
        <v>515836</v>
      </c>
      <c r="D9" s="50">
        <v>900168</v>
      </c>
      <c r="E9" s="50">
        <v>688684</v>
      </c>
      <c r="F9" s="50">
        <v>483404</v>
      </c>
      <c r="G9" s="17">
        <f t="shared" si="0"/>
        <v>2588092</v>
      </c>
      <c r="H9" s="17">
        <f t="shared" si="1"/>
        <v>306573.10864034964</v>
      </c>
      <c r="I9" s="17">
        <f t="shared" si="2"/>
        <v>2281518.8913596505</v>
      </c>
    </row>
    <row r="10" spans="1:9" ht="15.75" customHeight="1" x14ac:dyDescent="0.25">
      <c r="A10" s="5">
        <f t="shared" si="3"/>
        <v>2032</v>
      </c>
      <c r="B10" s="49">
        <v>264327</v>
      </c>
      <c r="C10" s="50">
        <v>519361.99999999994</v>
      </c>
      <c r="D10" s="50">
        <v>917090.5</v>
      </c>
      <c r="E10" s="50">
        <v>708803.00000000012</v>
      </c>
      <c r="F10" s="50">
        <v>498828</v>
      </c>
      <c r="G10" s="17">
        <f t="shared" si="0"/>
        <v>2644083.5</v>
      </c>
      <c r="H10" s="17">
        <f t="shared" si="1"/>
        <v>307483.94988152909</v>
      </c>
      <c r="I10" s="17">
        <f t="shared" si="2"/>
        <v>2336599.550118471</v>
      </c>
    </row>
    <row r="11" spans="1:9" ht="15.75" customHeight="1" x14ac:dyDescent="0.25">
      <c r="A11" s="5">
        <f t="shared" si="3"/>
        <v>2033</v>
      </c>
      <c r="B11" s="49">
        <v>264986</v>
      </c>
      <c r="C11" s="50">
        <v>523759</v>
      </c>
      <c r="D11" s="50">
        <v>932313.5</v>
      </c>
      <c r="E11" s="50">
        <v>728470</v>
      </c>
      <c r="F11" s="50">
        <v>514730.5</v>
      </c>
      <c r="G11" s="17">
        <f t="shared" si="0"/>
        <v>2699273</v>
      </c>
      <c r="H11" s="17">
        <f t="shared" si="1"/>
        <v>308250.54551107856</v>
      </c>
      <c r="I11" s="17">
        <f t="shared" si="2"/>
        <v>2391022.4544889214</v>
      </c>
    </row>
    <row r="12" spans="1:9" ht="15.75" customHeight="1" x14ac:dyDescent="0.25">
      <c r="A12" s="5">
        <f t="shared" si="3"/>
        <v>2034</v>
      </c>
      <c r="B12" s="49">
        <v>265313</v>
      </c>
      <c r="C12" s="50">
        <v>529285</v>
      </c>
      <c r="D12" s="50">
        <v>946295.5</v>
      </c>
      <c r="E12" s="50">
        <v>746735.5</v>
      </c>
      <c r="F12" s="50">
        <v>531027</v>
      </c>
      <c r="G12" s="17">
        <f t="shared" si="0"/>
        <v>2753343</v>
      </c>
      <c r="H12" s="17">
        <f t="shared" si="1"/>
        <v>308630.9351481995</v>
      </c>
      <c r="I12" s="17">
        <f t="shared" si="2"/>
        <v>2444712.0648518004</v>
      </c>
    </row>
    <row r="13" spans="1:9" ht="15.75" customHeight="1" x14ac:dyDescent="0.25">
      <c r="A13" s="5">
        <f t="shared" si="3"/>
        <v>2035</v>
      </c>
      <c r="B13" s="49">
        <v>265551</v>
      </c>
      <c r="C13" s="50">
        <v>535703.5</v>
      </c>
      <c r="D13" s="50">
        <v>959855.5</v>
      </c>
      <c r="E13" s="50">
        <v>764272.5</v>
      </c>
      <c r="F13" s="50">
        <v>547775</v>
      </c>
      <c r="G13" s="17">
        <f t="shared" si="0"/>
        <v>2807606.5</v>
      </c>
      <c r="H13" s="17">
        <f t="shared" si="1"/>
        <v>308907.79366084409</v>
      </c>
      <c r="I13" s="17">
        <f t="shared" si="2"/>
        <v>2498698.7063391558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kd3xRvCxRYRmI+TFzcVph4Z7pFYsw1jQODjRorlX9Coq7BOx/fScCL0y6JWGTOEtJjMQq5GDODK8xpVgQZqfQ==" saltValue="dK79GlZKigHj66Bho9rF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1.9270251420426689E-2</v>
      </c>
    </row>
    <row r="4" spans="1:8" ht="15.75" customHeight="1" x14ac:dyDescent="0.25">
      <c r="B4" s="19" t="s">
        <v>97</v>
      </c>
      <c r="C4" s="99">
        <v>5.5527335526750703E-2</v>
      </c>
    </row>
    <row r="5" spans="1:8" ht="15.75" customHeight="1" x14ac:dyDescent="0.25">
      <c r="B5" s="19" t="s">
        <v>98</v>
      </c>
      <c r="C5" s="99">
        <v>8.3290502540403655E-2</v>
      </c>
    </row>
    <row r="6" spans="1:8" ht="15.75" customHeight="1" x14ac:dyDescent="0.25">
      <c r="B6" s="19" t="s">
        <v>99</v>
      </c>
      <c r="C6" s="99">
        <v>0.247329601879935</v>
      </c>
    </row>
    <row r="7" spans="1:8" ht="15.75" customHeight="1" x14ac:dyDescent="0.25">
      <c r="B7" s="19" t="s">
        <v>100</v>
      </c>
      <c r="C7" s="99">
        <v>0.41542046752397621</v>
      </c>
    </row>
    <row r="8" spans="1:8" ht="15.75" customHeight="1" x14ac:dyDescent="0.25">
      <c r="B8" s="19" t="s">
        <v>101</v>
      </c>
      <c r="C8" s="99">
        <v>2.827032633258517E-3</v>
      </c>
    </row>
    <row r="9" spans="1:8" ht="15.75" customHeight="1" x14ac:dyDescent="0.25">
      <c r="B9" s="19" t="s">
        <v>102</v>
      </c>
      <c r="C9" s="99">
        <v>6.8686537483920895E-2</v>
      </c>
    </row>
    <row r="10" spans="1:8" ht="15.75" customHeight="1" x14ac:dyDescent="0.25">
      <c r="B10" s="19" t="s">
        <v>103</v>
      </c>
      <c r="C10" s="99">
        <v>0.1076482709913284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106</v>
      </c>
      <c r="C15" s="99">
        <v>0.20898917462724789</v>
      </c>
      <c r="D15" s="99">
        <v>0.20898917462724789</v>
      </c>
      <c r="E15" s="99">
        <v>0.20898917462724789</v>
      </c>
      <c r="F15" s="99">
        <v>0.20898917462724789</v>
      </c>
    </row>
    <row r="16" spans="1:8" ht="15.75" customHeight="1" x14ac:dyDescent="0.25">
      <c r="B16" s="19" t="s">
        <v>107</v>
      </c>
      <c r="C16" s="99">
        <v>2.0453097249142231E-2</v>
      </c>
      <c r="D16" s="99">
        <v>2.0453097249142231E-2</v>
      </c>
      <c r="E16" s="99">
        <v>2.0453097249142231E-2</v>
      </c>
      <c r="F16" s="99">
        <v>2.0453097249142231E-2</v>
      </c>
    </row>
    <row r="17" spans="1:8" ht="15.75" customHeight="1" x14ac:dyDescent="0.25">
      <c r="B17" s="19" t="s">
        <v>108</v>
      </c>
      <c r="C17" s="99">
        <v>1.78518465199384E-3</v>
      </c>
      <c r="D17" s="99">
        <v>1.78518465199384E-3</v>
      </c>
      <c r="E17" s="99">
        <v>1.78518465199384E-3</v>
      </c>
      <c r="F17" s="99">
        <v>1.78518465199384E-3</v>
      </c>
    </row>
    <row r="18" spans="1:8" ht="15.75" customHeight="1" x14ac:dyDescent="0.25">
      <c r="B18" s="19" t="s">
        <v>109</v>
      </c>
      <c r="C18" s="99">
        <v>0.35346795150880239</v>
      </c>
      <c r="D18" s="99">
        <v>0.35346795150880239</v>
      </c>
      <c r="E18" s="99">
        <v>0.35346795150880239</v>
      </c>
      <c r="F18" s="99">
        <v>0.35346795150880239</v>
      </c>
    </row>
    <row r="19" spans="1:8" ht="15.75" customHeight="1" x14ac:dyDescent="0.25">
      <c r="B19" s="19" t="s">
        <v>110</v>
      </c>
      <c r="C19" s="99">
        <v>8.3972450660439787E-3</v>
      </c>
      <c r="D19" s="99">
        <v>8.3972450660439787E-3</v>
      </c>
      <c r="E19" s="99">
        <v>8.3972450660439787E-3</v>
      </c>
      <c r="F19" s="99">
        <v>8.3972450660439787E-3</v>
      </c>
    </row>
    <row r="20" spans="1:8" ht="15.75" customHeight="1" x14ac:dyDescent="0.25">
      <c r="B20" s="19" t="s">
        <v>111</v>
      </c>
      <c r="C20" s="99">
        <v>5.2756167327518533E-2</v>
      </c>
      <c r="D20" s="99">
        <v>5.2756167327518533E-2</v>
      </c>
      <c r="E20" s="99">
        <v>5.2756167327518533E-2</v>
      </c>
      <c r="F20" s="99">
        <v>5.2756167327518533E-2</v>
      </c>
    </row>
    <row r="21" spans="1:8" ht="15.75" customHeight="1" x14ac:dyDescent="0.25">
      <c r="B21" s="19" t="s">
        <v>112</v>
      </c>
      <c r="C21" s="99">
        <v>6.5268173388815381E-2</v>
      </c>
      <c r="D21" s="99">
        <v>6.5268173388815381E-2</v>
      </c>
      <c r="E21" s="99">
        <v>6.5268173388815381E-2</v>
      </c>
      <c r="F21" s="99">
        <v>6.5268173388815381E-2</v>
      </c>
    </row>
    <row r="22" spans="1:8" ht="15.75" customHeight="1" x14ac:dyDescent="0.25">
      <c r="B22" s="19" t="s">
        <v>113</v>
      </c>
      <c r="C22" s="99">
        <v>0.13366402964733631</v>
      </c>
      <c r="D22" s="99">
        <v>0.13366402964733631</v>
      </c>
      <c r="E22" s="99">
        <v>0.13366402964733631</v>
      </c>
      <c r="F22" s="99">
        <v>0.13366402964733631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8.8541960999999988E-2</v>
      </c>
    </row>
    <row r="27" spans="1:8" ht="15.75" customHeight="1" x14ac:dyDescent="0.25">
      <c r="B27" s="19" t="s">
        <v>120</v>
      </c>
      <c r="C27" s="99">
        <v>8.4139049999999993E-3</v>
      </c>
    </row>
    <row r="28" spans="1:8" ht="15.75" customHeight="1" x14ac:dyDescent="0.25">
      <c r="B28" s="19" t="s">
        <v>121</v>
      </c>
      <c r="C28" s="99">
        <v>0.15592515700000001</v>
      </c>
    </row>
    <row r="29" spans="1:8" ht="15.75" customHeight="1" x14ac:dyDescent="0.25">
      <c r="B29" s="19" t="s">
        <v>122</v>
      </c>
      <c r="C29" s="99">
        <v>0.16923094399999999</v>
      </c>
    </row>
    <row r="30" spans="1:8" ht="15.75" customHeight="1" x14ac:dyDescent="0.25">
      <c r="B30" s="19" t="s">
        <v>2</v>
      </c>
      <c r="C30" s="99">
        <v>0.105940403</v>
      </c>
    </row>
    <row r="31" spans="1:8" ht="15.75" customHeight="1" x14ac:dyDescent="0.25">
      <c r="B31" s="19" t="s">
        <v>123</v>
      </c>
      <c r="C31" s="99">
        <v>0.11097119599999999</v>
      </c>
    </row>
    <row r="32" spans="1:8" ht="15.75" customHeight="1" x14ac:dyDescent="0.25">
      <c r="B32" s="19" t="s">
        <v>124</v>
      </c>
      <c r="C32" s="99">
        <v>1.8550027E-2</v>
      </c>
    </row>
    <row r="33" spans="2:3" ht="15.75" customHeight="1" x14ac:dyDescent="0.25">
      <c r="B33" s="19" t="s">
        <v>125</v>
      </c>
      <c r="C33" s="99">
        <v>8.4407093999999988E-2</v>
      </c>
    </row>
    <row r="34" spans="2:3" ht="15.75" customHeight="1" x14ac:dyDescent="0.25">
      <c r="B34" s="19" t="s">
        <v>126</v>
      </c>
      <c r="C34" s="99">
        <v>0.258019314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LsDoo/0Q97G/6KhNvnL0eVWNhgJTN1AHniAkWH9TKuPZuZ5ve/zaTKgPaB06OcjDy2NBp9ytkwn5n1hH33spAw==" saltValue="zJvYiXznac/J9EeLs0cI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132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133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137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138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pYSiIz5UQROG+V24+aujPPy5x/X0w7666lsZMtw+sPI4rWT/3HhsbOEay2nuQnfItscGM5x9WGSos4xosHFDA==" saltValue="wNut1JtTP0AXiJWlhPDe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3.2542099999999907E-2</v>
      </c>
      <c r="D5" s="52">
        <f t="shared" si="0"/>
        <v>1.893239999999996E-2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L+2fgP0gyqhc1/AvYwrxhAE9IX+beRnyvf6g9EjJ+HaocVRx8uO81rDPLWwDDbGVuJ/cZsvVIPAyyp5beRkCVQ==" saltValue="Uy9h//bI7euCC9X4derMv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B6JOTXd4RSldiCLKuSN2TPo+pfjsukMF2N97h/De7rTuXqdXD7aEe8PXTg/+cYzc0x7De3gcMUGQL7FSnzH6w==" saltValue="89VmVZEi3+wmzgnnnoeSR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475.79572784462198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0.40393000000000001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0.52807999999999999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1.55311085E-2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89083.913109999994</v>
      </c>
      <c r="C22" s="107">
        <v>87868.854290000003</v>
      </c>
      <c r="D22" s="107">
        <v>87166.786850000004</v>
      </c>
      <c r="E22" s="107">
        <v>86542.439870000002</v>
      </c>
      <c r="F22" s="107">
        <v>85678.934659999999</v>
      </c>
      <c r="G22" s="107">
        <v>84574.450549999994</v>
      </c>
      <c r="H22" s="107">
        <v>83148.448199999999</v>
      </c>
      <c r="I22" s="107">
        <v>81302.881840000002</v>
      </c>
      <c r="J22" s="107">
        <v>78843.271429999993</v>
      </c>
      <c r="K22" s="107">
        <v>75760.692999999999</v>
      </c>
      <c r="L22" s="107">
        <v>71528.901450000005</v>
      </c>
      <c r="M22" s="107">
        <v>66041.043470000004</v>
      </c>
      <c r="N22" s="107">
        <v>58497.340550000001</v>
      </c>
      <c r="O22" s="107">
        <v>49179.331469999997</v>
      </c>
    </row>
  </sheetData>
  <sheetProtection algorithmName="SHA-512" hashValue="PkW9Dr73D0v4oyfG4xC2uDREXhyYEA+2ldRuqW47t9041QvIb7zeslUvZ5Fk0d+NHtfMcPFliV9ZH59BYVaK/Q==" saltValue="3EZ2PLbwo/9iW2lU0K1i8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4bYuk6/9SRa6sHF4efdnYeRMHaXIla/VpBxBRtvL9dc7cShZYGB/79ahFIpO/jmgaq3hSMVS7Ca6PScVn/PxpA==" saltValue="SiLGiaaThNKG0zpYHkeX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SdNOTlGcIzhWRtJgfvNDL29jel+IhWgG/VEJVsgWhqOC5kXM9899DFltyIqTOHlub4jyIJ9iLSr2i83cMVVlg==" saltValue="0Z690LeZXKByb43RnapR5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20.202942681678611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20.202942681678611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5.053715455475948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0.77474411463664294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1.812651550310735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0.27672940000000001</v>
      </c>
      <c r="C10" s="96">
        <v>0.95</v>
      </c>
      <c r="D10" s="56">
        <v>15.022196845122521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15.022196845122521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15.022196845122521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15.022196845122521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0.27672940000000001</v>
      </c>
      <c r="C14" s="96">
        <v>0.95</v>
      </c>
      <c r="D14" s="56">
        <v>15.022196845122521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15.022196845122521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0.73015299999999994</v>
      </c>
      <c r="C16" s="96">
        <v>0.95</v>
      </c>
      <c r="D16" s="56">
        <v>6.2098720573183224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0.103311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0.49299999999999999</v>
      </c>
      <c r="C18" s="96">
        <v>0.95</v>
      </c>
      <c r="D18" s="56">
        <v>5.053715455475948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0.4961622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0.65555271238485169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5.053715455475948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0.65059860000000003</v>
      </c>
      <c r="C23" s="96">
        <v>0.95</v>
      </c>
      <c r="D23" s="56">
        <v>4.9145085291285842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0.73707815445430003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0.27672940000000001</v>
      </c>
      <c r="C26" s="96">
        <v>0.95</v>
      </c>
      <c r="D26" s="56">
        <v>24.315046059365404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6.1979529170931436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0.85267629999999994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0.25069370000000002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45.495358239508711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0.69</v>
      </c>
      <c r="C32" s="96">
        <v>0.95</v>
      </c>
      <c r="D32" s="56">
        <v>0.75090583418628465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0.17836582242680299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0.62068789999999996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6.3924000000000003E-3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0.20684730000000001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0.53400000000000003</v>
      </c>
      <c r="C38" s="96">
        <v>0.95</v>
      </c>
      <c r="D38" s="56">
        <v>3.5280655066530198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7.4375435005117723</v>
      </c>
      <c r="E39" s="56" t="s">
        <v>230</v>
      </c>
      <c r="F39" s="96">
        <v>1</v>
      </c>
      <c r="G39" s="96">
        <v>1</v>
      </c>
    </row>
  </sheetData>
  <sheetProtection algorithmName="SHA-512" hashValue="YCBSm1051KrrhvPVQ75crNWmzmYNRfdm1fka5QFeo5JNbilIfKroXyox2bA4AKt9AT9y0+jXf2tFa3uGJwAGgQ==" saltValue="Kh17d8E/FnD9crMLQubs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CHMrv+7kOyQw90EjvC+ztLhIc+RnMRQRWaUF0wrUav+ATHifLe8mAYmoAfHbRSKs/uMbtl7qXrkIHsyqQkUDw==" saltValue="LOV74RV/I8LPD+e0XpP9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qK7bTM7fzPPprrFKDtlYITeHDNE6YbmNjLwduYncp1B6mZSL/pc2cVHZPwA3mn13BmjvNfvi2OlGXYr8yVTvA==" saltValue="rhgvqfDOfr8aGcntnXaF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0.88400000000000012</v>
      </c>
      <c r="C2" s="21">
        <f>'Données pop de l''année de ref'!C52</f>
        <v>0.88400000000000012</v>
      </c>
      <c r="D2" s="21">
        <f>'Données pop de l''année de ref'!C53</f>
        <v>2.3660000000000001</v>
      </c>
      <c r="E2" s="21">
        <f>'Données pop de l''année de ref'!C54</f>
        <v>2.6779999999999999</v>
      </c>
      <c r="F2" s="21">
        <f>'Données pop de l''année de ref'!C55</f>
        <v>1.6466666666666669</v>
      </c>
    </row>
    <row r="3" spans="1:6" ht="15.75" customHeight="1" x14ac:dyDescent="0.25">
      <c r="A3" s="3" t="s">
        <v>238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237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sheetProtection algorithmName="SHA-512" hashValue="25yA5wC5bH9kGSMAUMwIsfYI3WfoUJ+ZPEYQUBN3w8+twalm5ZHisVauXdrwyF82y6Pm9GMXmjlJV0q0vz+MBg==" saltValue="rLgLkP3JNxQ7pps2z3dX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0.75800000000000001</v>
      </c>
      <c r="F2" s="60">
        <f>food_insecure</f>
        <v>0.75800000000000001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0.75800000000000001</v>
      </c>
      <c r="F5" s="60">
        <f>food_insecure</f>
        <v>0.75800000000000001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1.9287272727272733E-2</v>
      </c>
      <c r="D7" s="60">
        <f>diarrhoea_1_5mo*frac_diarrhea_severe</f>
        <v>1.9287272727272733E-2</v>
      </c>
      <c r="E7" s="60">
        <f>diarrhoea_6_11mo*frac_diarrhea_severe</f>
        <v>5.1621818181818185E-2</v>
      </c>
      <c r="F7" s="60">
        <f>diarrhoea_12_23mo*frac_diarrhea_severe</f>
        <v>5.842909090909091E-2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0.75800000000000001</v>
      </c>
      <c r="F8" s="60">
        <f>food_insecure</f>
        <v>0.75800000000000001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0.75800000000000001</v>
      </c>
      <c r="F9" s="60">
        <f>food_insecure</f>
        <v>0.75800000000000001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1.9287272727272733E-2</v>
      </c>
      <c r="D12" s="60">
        <f>diarrhoea_1_5mo*frac_diarrhea_severe</f>
        <v>1.9287272727272733E-2</v>
      </c>
      <c r="E12" s="60">
        <f>diarrhoea_6_11mo*frac_diarrhea_severe</f>
        <v>5.1621818181818185E-2</v>
      </c>
      <c r="F12" s="60">
        <f>diarrhoea_12_23mo*frac_diarrhea_severe</f>
        <v>5.842909090909091E-2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0.75800000000000001</v>
      </c>
      <c r="I15" s="60">
        <f t="shared" si="0"/>
        <v>0.75800000000000001</v>
      </c>
      <c r="J15" s="60">
        <f t="shared" si="0"/>
        <v>0.75800000000000001</v>
      </c>
      <c r="K15" s="60">
        <f t="shared" si="0"/>
        <v>0.75800000000000001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0.75800000000000001</v>
      </c>
      <c r="I16" s="60">
        <f t="shared" si="0"/>
        <v>0.75800000000000001</v>
      </c>
      <c r="J16" s="60">
        <f t="shared" si="0"/>
        <v>0.75800000000000001</v>
      </c>
      <c r="K16" s="60">
        <f t="shared" si="0"/>
        <v>0.75800000000000001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0.44570478604399993</v>
      </c>
      <c r="M25" s="60">
        <f>(1-food_insecure)*(0.49)+food_insecure*(0.7)</f>
        <v>0.64917999999999998</v>
      </c>
      <c r="N25" s="60">
        <f>(1-food_insecure)*(0.49)+food_insecure*(0.7)</f>
        <v>0.64917999999999998</v>
      </c>
      <c r="O25" s="60">
        <f>(1-food_insecure)*(0.49)+food_insecure*(0.7)</f>
        <v>0.64917999999999998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0.191016336876</v>
      </c>
      <c r="M26" s="60">
        <f>(1-food_insecure)*(0.21)+food_insecure*(0.3)</f>
        <v>0.27821999999999997</v>
      </c>
      <c r="N26" s="60">
        <f>(1-food_insecure)*(0.21)+food_insecure*(0.3)</f>
        <v>0.27821999999999997</v>
      </c>
      <c r="O26" s="60">
        <f>(1-food_insecure)*(0.21)+food_insecure*(0.3)</f>
        <v>0.27821999999999997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4.9844677079999997E-2</v>
      </c>
      <c r="M27" s="60">
        <f>(1-food_insecure)*(0.3)</f>
        <v>7.2599999999999998E-2</v>
      </c>
      <c r="N27" s="60">
        <f>(1-food_insecure)*(0.3)</f>
        <v>7.2599999999999998E-2</v>
      </c>
      <c r="O27" s="60">
        <f>(1-food_insecure)*(0.3)</f>
        <v>7.2599999999999998E-2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0.3134342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k/lVvU+iUOOf3OKedHXdvjQZ2si8VH6x5Tijo8GST1n2apD0d94yoN24uiTurebA61xCGVGq6S+R8vLoZNU2Q==" saltValue="g9t6gPQL+fgwWIUZ5AP+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TS5mAAmgMdoBKSkTeiZeDAuBe4B7GCGg3wgunDGQekTVxa7nYoJpeEsteZfG2NF0yU11GoEPsvE5H4/8Tbd6g==" saltValue="Va6USINu69V5XPKQGkFd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VGYq6ss/3J516gladf8FTOSRyt7pRJSrfNH1+lbfATdVVdDJ7FG7PRcrIR/Vn1jSqUDgWfdaulh4HnEOYUOOg==" saltValue="WN3IiBqW0AvTe650BC145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SK38RqFyeMI6fCK/mcjV2xE0o+dZ3bccxGw5jTI7JXaQ7rqNIrE6y/CDto5HorY5AsTCr3uw7MJNchFchU7Yg==" saltValue="uWji73kjNmPlJc305ezm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9egBI/YfnsGGdxrqokrZUAWsmZuXBKU0zda/OyQ8ZvPJSbxIatG0E0s3MecEDLWkmTlxNpcof+1KI6kTEFrGdA==" saltValue="HikcABHGTuevjg6O9jJoW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BJ4LxQYSqxbqvqApn/xkStgzc5zyKp1rPhWOn3FrsJDPib6B/VVJCq4xnQr57++vlO64X6fxeLdX9DScsJPMg==" saltValue="540zIuBeZ4CbyR56xwoMx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6VKl41N0kp+MjJsP9cENsO8D1+Tvbhr39J/mUjOXsm7rihoNDm3W4aXDZR3CkicOxWH5BtUYb/5g1yzOEO0+Q==" saltValue="U2i0JTDoAz2XK0LB+B71c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TCPnkirt40ZIQPdpQiaKo8MzYRm0x5FQL6iJUvmWmvKjYU2+WKE2gmBpf+TyjKEuW6YRdvm4uuoyY8sRt2XewA==" saltValue="HmnkGtLRJ5LrKomedBLJ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vhvUWx7Fz48LDdGC0u3kHBY0T66YUwL00Ovrwno1Abnm5W+GUqeQkoKSgoMB4Ne56CO7p6UWda3o5/gv+FiNw==" saltValue="Eo6SCvVQSmMiLTya4u6s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5+y8BDbn7ISukZXKd8kU9QIL60ZdNct9lCZVEwpQscz9VhVlwuVEZspoSd9XxoyQ9cwg4liZLa8FtujuqVGBQ==" saltValue="yGyTM0qD/0YDBoE3DD5b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FKMClksahNiBkkJ5XxrHh1bTeryxpB1KfDF56RojndQisDn/A35W2m+2YqTnuD5rxCGosPYi+kUbyDwKRRebg==" saltValue="QAQs85Xyr/m3mbRV3HwN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7v4Kos+IXQiEw+9np8KA2wDvuReyxpZT+zP3wfRnNYTr9PMupBlEPZvcyHSoed/HMNjint9lgUC5O4hQci0gQ==" saltValue="s5Z8GRxiy1uYxD3BoFex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f9jM6R2kEN/Jh0XCLTBkNprljTEpo0pJaW7KaHib2sFaveEuGAdr1nQbnlM5yK+Bu3ogdalAKiVlTFR8K5N8g==" saltValue="vuaVo2l2ghu8AlXOaXpi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ekx4yD5S1uzic7iJApFFCXaZ26Shrsts09oc0CDyT6Y7j1GuQt8fauW2NXJUniMSoNCum9cviqlkm7AqnfSCg==" saltValue="9nQ0MuyvSGzHeOJT7Qwl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LadXvcN5/fCBxpEMtWDGTXx3Ca3iEXXP7I1K13Og2IR/9m4EdPInloLWsXYPArW2045h7Z47zsd/pKRLW/uX+w==" saltValue="ZqWtaJcMUZKDua0S5B0V1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