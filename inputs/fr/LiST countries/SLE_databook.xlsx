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2FD4C9AC-0392-49D7-A721-AC8BED98C0A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36" i="2"/>
  <c r="I39" i="2"/>
  <c r="I6" i="2"/>
  <c r="I12" i="2"/>
  <c r="A35" i="2"/>
  <c r="I7" i="2"/>
  <c r="I13" i="2"/>
  <c r="A37" i="2"/>
  <c r="I38" i="2"/>
  <c r="A22" i="2"/>
  <c r="A2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<sst xmlns="http://schemas.openxmlformats.org/spreadsheetml/2006/main" count="2169" uniqueCount="369">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</sst>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1172897</v>
      </c>
    </row>
    <row r="8" spans="1:3" ht="15" customHeight="1" x14ac:dyDescent="0.25">
      <c r="B8" s="5" t="s">
        <v>37</v>
      </c>
      <c r="C8" s="44">
        <v>0.75800000000000001</v>
      </c>
    </row>
    <row r="9" spans="1:3" ht="15" customHeight="1" x14ac:dyDescent="0.25">
      <c r="B9" s="5" t="s">
        <v>38</v>
      </c>
      <c r="C9" s="45">
        <v>0.99900000000000011</v>
      </c>
    </row>
    <row r="10" spans="1:3" ht="15" customHeight="1" x14ac:dyDescent="0.25">
      <c r="B10" s="5" t="s">
        <v>39</v>
      </c>
      <c r="C10" s="45">
        <v>0.3134342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0.13070000000000001</v>
      </c>
    </row>
    <row r="24" spans="1:3" ht="15" customHeight="1" x14ac:dyDescent="0.25">
      <c r="B24" s="15" t="s">
        <v>51</v>
      </c>
      <c r="C24" s="45">
        <v>0.4617</v>
      </c>
    </row>
    <row r="25" spans="1:3" ht="15" customHeight="1" x14ac:dyDescent="0.25">
      <c r="B25" s="15" t="s">
        <v>52</v>
      </c>
      <c r="C25" s="45">
        <v>0.31919999999999998</v>
      </c>
    </row>
    <row r="26" spans="1:3" ht="15" customHeight="1" x14ac:dyDescent="0.25">
      <c r="B26" s="15" t="s">
        <v>53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0.24044101075302499</v>
      </c>
    </row>
    <row r="30" spans="1:3" ht="14.25" customHeight="1" x14ac:dyDescent="0.25">
      <c r="B30" s="25" t="s">
        <v>56</v>
      </c>
      <c r="C30" s="97">
        <v>3.7322814416453E-2</v>
      </c>
    </row>
    <row r="31" spans="1:3" ht="14.25" customHeight="1" x14ac:dyDescent="0.25">
      <c r="B31" s="25" t="s">
        <v>57</v>
      </c>
      <c r="C31" s="97">
        <v>7.2887930619641203E-2</v>
      </c>
    </row>
    <row r="32" spans="1:3" ht="14.25" customHeight="1" x14ac:dyDescent="0.25">
      <c r="B32" s="25" t="s">
        <v>58</v>
      </c>
      <c r="C32" s="97">
        <v>0.649348244210881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30.93599</v>
      </c>
    </row>
    <row r="38" spans="1:5" ht="15" customHeight="1" x14ac:dyDescent="0.25">
      <c r="B38" s="11" t="s">
        <v>63</v>
      </c>
      <c r="C38" s="43">
        <v>78.254159999999999</v>
      </c>
      <c r="D38" s="12"/>
      <c r="E38" s="13"/>
    </row>
    <row r="39" spans="1:5" ht="15" customHeight="1" x14ac:dyDescent="0.25">
      <c r="B39" s="11" t="s">
        <v>64</v>
      </c>
      <c r="C39" s="43">
        <v>104.68697</v>
      </c>
      <c r="D39" s="12"/>
      <c r="E39" s="12"/>
    </row>
    <row r="40" spans="1:5" ht="15" customHeight="1" x14ac:dyDescent="0.25">
      <c r="B40" s="11" t="s">
        <v>65</v>
      </c>
      <c r="C40" s="98">
        <v>4.43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7.9579999999999998E-3</v>
      </c>
      <c r="D45" s="12"/>
    </row>
    <row r="46" spans="1:5" ht="15.75" customHeight="1" x14ac:dyDescent="0.25">
      <c r="B46" s="11" t="s">
        <v>70</v>
      </c>
      <c r="C46" s="45">
        <v>8.5507100000000003E-2</v>
      </c>
      <c r="D46" s="12"/>
    </row>
    <row r="47" spans="1:5" ht="15.75" customHeight="1" x14ac:dyDescent="0.25">
      <c r="B47" s="11" t="s">
        <v>71</v>
      </c>
      <c r="C47" s="45">
        <v>7.3432800000000006E-2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0.88400000000000012</v>
      </c>
      <c r="D51" s="12"/>
    </row>
    <row r="52" spans="1:4" ht="15" customHeight="1" x14ac:dyDescent="0.25">
      <c r="B52" s="11" t="s">
        <v>75</v>
      </c>
      <c r="C52" s="98">
        <v>0.88400000000000012</v>
      </c>
    </row>
    <row r="53" spans="1:4" ht="15.75" customHeight="1" x14ac:dyDescent="0.25">
      <c r="B53" s="11" t="s">
        <v>76</v>
      </c>
      <c r="C53" s="98">
        <v>2.3660000000000001</v>
      </c>
    </row>
    <row r="54" spans="1:4" ht="15.75" customHeight="1" x14ac:dyDescent="0.25">
      <c r="B54" s="11" t="s">
        <v>77</v>
      </c>
      <c r="C54" s="98">
        <v>2.6779999999999999</v>
      </c>
    </row>
    <row r="55" spans="1:4" ht="15.75" customHeight="1" x14ac:dyDescent="0.25">
      <c r="B55" s="11" t="s">
        <v>78</v>
      </c>
      <c r="C55" s="98">
        <v>1.6466666666666669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0.45287100000000008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0.144151</v>
      </c>
    </row>
    <row r="63" spans="1:4" ht="15.75" customHeight="1" x14ac:dyDescent="0.3">
      <c r="A63" s="4"/>
    </row>
  </sheetData>
  <sheetProtection algorithmName="SHA-512" hashValue="t6JoqGUXbmQeBPwHwicXI5kyR+K3GuvOmFE+Z7bbuMa1vS5cn3+Pv34VV2rdlda0Zime+KCM4Oylal3UMgLiag==" saltValue="IiVj1FF3RvSubyPy2dk6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NXAfpNuK277l32Az3dNlA6WJSp4EWG8zW51tTF+VoN4uIf0Yjs2sw5NVl3PaBjYq9QNc+8x8rL7dkrFN2Lnvg==" saltValue="aBxb6vi0TME4YeU3jVVE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1.9270251420426689E-2</v>
      </c>
    </row>
    <row r="4" spans="1:8" ht="15.75" customHeight="1" x14ac:dyDescent="0.25">
      <c r="B4" s="19" t="s">
        <v>97</v>
      </c>
      <c r="C4" s="99">
        <v>5.5527335526750703E-2</v>
      </c>
    </row>
    <row r="5" spans="1:8" ht="15.75" customHeight="1" x14ac:dyDescent="0.25">
      <c r="B5" s="19" t="s">
        <v>98</v>
      </c>
      <c r="C5" s="99">
        <v>8.3290502540403655E-2</v>
      </c>
    </row>
    <row r="6" spans="1:8" ht="15.75" customHeight="1" x14ac:dyDescent="0.25">
      <c r="B6" s="19" t="s">
        <v>99</v>
      </c>
      <c r="C6" s="99">
        <v>0.247329601879935</v>
      </c>
    </row>
    <row r="7" spans="1:8" ht="15.75" customHeight="1" x14ac:dyDescent="0.25">
      <c r="B7" s="19" t="s">
        <v>100</v>
      </c>
      <c r="C7" s="99">
        <v>0.41542046752397621</v>
      </c>
    </row>
    <row r="8" spans="1:8" ht="15.75" customHeight="1" x14ac:dyDescent="0.25">
      <c r="B8" s="19" t="s">
        <v>101</v>
      </c>
      <c r="C8" s="99">
        <v>2.827032633258517E-3</v>
      </c>
    </row>
    <row r="9" spans="1:8" ht="15.75" customHeight="1" x14ac:dyDescent="0.25">
      <c r="B9" s="19" t="s">
        <v>102</v>
      </c>
      <c r="C9" s="99">
        <v>6.8686537483920895E-2</v>
      </c>
    </row>
    <row r="10" spans="1:8" ht="15.75" customHeight="1" x14ac:dyDescent="0.25">
      <c r="B10" s="19" t="s">
        <v>103</v>
      </c>
      <c r="C10" s="99">
        <v>0.1076482709913284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106</v>
      </c>
      <c r="C15" s="99">
        <v>0.20898917462724789</v>
      </c>
      <c r="D15" s="99">
        <v>0.20898917462724789</v>
      </c>
      <c r="E15" s="99">
        <v>0.20898917462724789</v>
      </c>
      <c r="F15" s="99">
        <v>0.20898917462724789</v>
      </c>
    </row>
    <row r="16" spans="1:8" ht="15.75" customHeight="1" x14ac:dyDescent="0.25">
      <c r="B16" s="19" t="s">
        <v>107</v>
      </c>
      <c r="C16" s="99">
        <v>2.0453097249142231E-2</v>
      </c>
      <c r="D16" s="99">
        <v>2.0453097249142231E-2</v>
      </c>
      <c r="E16" s="99">
        <v>2.0453097249142231E-2</v>
      </c>
      <c r="F16" s="99">
        <v>2.0453097249142231E-2</v>
      </c>
    </row>
    <row r="17" spans="1:8" ht="15.75" customHeight="1" x14ac:dyDescent="0.25">
      <c r="B17" s="19" t="s">
        <v>108</v>
      </c>
      <c r="C17" s="99">
        <v>1.78518465199384E-3</v>
      </c>
      <c r="D17" s="99">
        <v>1.78518465199384E-3</v>
      </c>
      <c r="E17" s="99">
        <v>1.78518465199384E-3</v>
      </c>
      <c r="F17" s="99">
        <v>1.78518465199384E-3</v>
      </c>
    </row>
    <row r="18" spans="1:8" ht="15.75" customHeight="1" x14ac:dyDescent="0.25">
      <c r="B18" s="19" t="s">
        <v>109</v>
      </c>
      <c r="C18" s="99">
        <v>0.35346795150880239</v>
      </c>
      <c r="D18" s="99">
        <v>0.35346795150880239</v>
      </c>
      <c r="E18" s="99">
        <v>0.35346795150880239</v>
      </c>
      <c r="F18" s="99">
        <v>0.35346795150880239</v>
      </c>
    </row>
    <row r="19" spans="1:8" ht="15.75" customHeight="1" x14ac:dyDescent="0.25">
      <c r="B19" s="19" t="s">
        <v>110</v>
      </c>
      <c r="C19" s="99">
        <v>8.3972450660439787E-3</v>
      </c>
      <c r="D19" s="99">
        <v>8.3972450660439787E-3</v>
      </c>
      <c r="E19" s="99">
        <v>8.3972450660439787E-3</v>
      </c>
      <c r="F19" s="99">
        <v>8.3972450660439787E-3</v>
      </c>
    </row>
    <row r="20" spans="1:8" ht="15.75" customHeight="1" x14ac:dyDescent="0.25">
      <c r="B20" s="19" t="s">
        <v>111</v>
      </c>
      <c r="C20" s="99">
        <v>5.2756167327518533E-2</v>
      </c>
      <c r="D20" s="99">
        <v>5.2756167327518533E-2</v>
      </c>
      <c r="E20" s="99">
        <v>5.2756167327518533E-2</v>
      </c>
      <c r="F20" s="99">
        <v>5.2756167327518533E-2</v>
      </c>
    </row>
    <row r="21" spans="1:8" ht="15.75" customHeight="1" x14ac:dyDescent="0.25">
      <c r="B21" s="19" t="s">
        <v>112</v>
      </c>
      <c r="C21" s="99">
        <v>6.5268173388815381E-2</v>
      </c>
      <c r="D21" s="99">
        <v>6.5268173388815381E-2</v>
      </c>
      <c r="E21" s="99">
        <v>6.5268173388815381E-2</v>
      </c>
      <c r="F21" s="99">
        <v>6.5268173388815381E-2</v>
      </c>
    </row>
    <row r="22" spans="1:8" ht="15.75" customHeight="1" x14ac:dyDescent="0.25">
      <c r="B22" s="19" t="s">
        <v>113</v>
      </c>
      <c r="C22" s="99">
        <v>0.13366402964733631</v>
      </c>
      <c r="D22" s="99">
        <v>0.13366402964733631</v>
      </c>
      <c r="E22" s="99">
        <v>0.13366402964733631</v>
      </c>
      <c r="F22" s="99">
        <v>0.13366402964733631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8.8541960999999988E-2</v>
      </c>
    </row>
    <row r="27" spans="1:8" ht="15.75" customHeight="1" x14ac:dyDescent="0.25">
      <c r="B27" s="19" t="s">
        <v>120</v>
      </c>
      <c r="C27" s="99">
        <v>8.4139049999999993E-3</v>
      </c>
    </row>
    <row r="28" spans="1:8" ht="15.75" customHeight="1" x14ac:dyDescent="0.25">
      <c r="B28" s="19" t="s">
        <v>121</v>
      </c>
      <c r="C28" s="99">
        <v>0.15592515700000001</v>
      </c>
    </row>
    <row r="29" spans="1:8" ht="15.75" customHeight="1" x14ac:dyDescent="0.25">
      <c r="B29" s="19" t="s">
        <v>122</v>
      </c>
      <c r="C29" s="99">
        <v>0.16923094399999999</v>
      </c>
    </row>
    <row r="30" spans="1:8" ht="15.75" customHeight="1" x14ac:dyDescent="0.25">
      <c r="B30" s="19" t="s">
        <v>2</v>
      </c>
      <c r="C30" s="99">
        <v>0.105940403</v>
      </c>
    </row>
    <row r="31" spans="1:8" ht="15.75" customHeight="1" x14ac:dyDescent="0.25">
      <c r="B31" s="19" t="s">
        <v>123</v>
      </c>
      <c r="C31" s="99">
        <v>0.11097119599999999</v>
      </c>
    </row>
    <row r="32" spans="1:8" ht="15.75" customHeight="1" x14ac:dyDescent="0.25">
      <c r="B32" s="19" t="s">
        <v>124</v>
      </c>
      <c r="C32" s="99">
        <v>1.8550027E-2</v>
      </c>
    </row>
    <row r="33" spans="2:3" ht="15.75" customHeight="1" x14ac:dyDescent="0.25">
      <c r="B33" s="19" t="s">
        <v>125</v>
      </c>
      <c r="C33" s="99">
        <v>8.4407093999999988E-2</v>
      </c>
    </row>
    <row r="34" spans="2:3" ht="15.75" customHeight="1" x14ac:dyDescent="0.25">
      <c r="B34" s="19" t="s">
        <v>126</v>
      </c>
      <c r="C34" s="99">
        <v>0.258019314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pyqXFxMUiHhKjitOl6PoTBLkpwUqh7TjmjAmpQP1EMCrEB3tj/Csl0YxmTeRagEHPzWRy4eZOtCJ+T7aqVeQhg==" saltValue="sEJue48Nl2/3yKKT+iDR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132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133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137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138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u6nQlZIjje1C+eHjbYyOeZ6BOk3izLjz5UWFguBlyOehTy77oc2CZu1S0X4Qf4VQVrtlXg7EHqSj78leFV9Tw==" saltValue="8O2CLJvuxeQ08hGJ3TVD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1lZZhjSNx9iVH8ZvhuP/VxeElGel5142Z7Hgz0YHSCIOYpbi7UQ2qNgkbMdrJWLaN4nUeqeydlsVEshkQZeeBg==" saltValue="p+30C2LS2/lb1FcQxHvn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qT39vQgYAgnRsBrFmlQXCyWQVq0JrOL+VQF2nXF9PQ618jdKfuqerLw+5raX8eJ3HFTpzlytvdK0bds4E3AOw==" saltValue="TrUoulT8n5H1RV7WyOR+Q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475.79572784462198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0.40393000000000001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0.52807999999999999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1.55311085E-2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89083.913109999994</v>
      </c>
      <c r="C22" s="107">
        <v>87868.854290000003</v>
      </c>
      <c r="D22" s="107">
        <v>87166.786850000004</v>
      </c>
      <c r="E22" s="107">
        <v>86542.439870000002</v>
      </c>
      <c r="F22" s="107">
        <v>85678.934659999999</v>
      </c>
      <c r="G22" s="107">
        <v>84574.450549999994</v>
      </c>
      <c r="H22" s="107">
        <v>83148.448199999999</v>
      </c>
      <c r="I22" s="107">
        <v>81302.881840000002</v>
      </c>
      <c r="J22" s="107">
        <v>78843.271429999993</v>
      </c>
      <c r="K22" s="107">
        <v>75760.692999999999</v>
      </c>
      <c r="L22" s="107">
        <v>71528.901450000005</v>
      </c>
      <c r="M22" s="107">
        <v>66041.043470000004</v>
      </c>
      <c r="N22" s="107">
        <v>58497.340550000001</v>
      </c>
      <c r="O22" s="107">
        <v>49179.331469999997</v>
      </c>
    </row>
  </sheetData>
  <sheetProtection algorithmName="SHA-512" hashValue="2m3xtpupQECdQAKxYyd0IgattZ5KII5tdS++xUOySdtfuqqQLV2/OP6BWU2TU76M9K3SeIA7gar1XbH1kM7/GQ==" saltValue="zONqhR+4iE9o8br97xIz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HBvX33DcFTAJ2jPHEGiqT1gNRQvDy894s6cUm7yFcBDyYuZ9W2L/DI/+ixnrzNLznR5mUrHkgywCIKB4FJsB7g==" saltValue="9vIiSHNE4PGNdK3dh1Yf4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fwSj+14aP7KTXjJkjkq8dn1apI3coFSmu4qe+zjQmjT9YpbDLUET7CHEWnGR1tdCGQo+I5AsvaocoaZ1uDPFA==" saltValue="qmq2XWOKZXB7o+1r4M0xG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20.202942681678611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20.202942681678611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5.053715455475948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0.77474411463664294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0.27672940000000001</v>
      </c>
      <c r="C10" s="96">
        <v>0.95</v>
      </c>
      <c r="D10" s="56">
        <v>15.022196845122521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15.022196845122521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15.022196845122521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15.022196845122521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0.27672940000000001</v>
      </c>
      <c r="C14" s="96">
        <v>0.95</v>
      </c>
      <c r="D14" s="56">
        <v>15.022196845122521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15.022196845122521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0.73015299999999994</v>
      </c>
      <c r="C16" s="96">
        <v>0.95</v>
      </c>
      <c r="D16" s="56">
        <v>6.2098720573183224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0.103311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0.49299999999999999</v>
      </c>
      <c r="C18" s="96">
        <v>0.95</v>
      </c>
      <c r="D18" s="56">
        <v>5.053715455475948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0.4961622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0.65555271238485169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5.053715455475948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0.65059860000000003</v>
      </c>
      <c r="C23" s="96">
        <v>0.95</v>
      </c>
      <c r="D23" s="56">
        <v>4.9145085291285842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0.73707815445430003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0.27672940000000001</v>
      </c>
      <c r="C26" s="96">
        <v>0.95</v>
      </c>
      <c r="D26" s="56">
        <v>24.315046059365404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6.1979529170931436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0.85267629999999994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0.25069370000000002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45.495358239508711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0.69</v>
      </c>
      <c r="C32" s="96">
        <v>0.95</v>
      </c>
      <c r="D32" s="56">
        <v>0.75090583418628465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0.17836582242680299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0.62068789999999996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6.3924000000000003E-3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0.20684730000000001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0.53400000000000003</v>
      </c>
      <c r="C38" s="96">
        <v>0.95</v>
      </c>
      <c r="D38" s="56">
        <v>3.5280655066530198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7.4375435005117723</v>
      </c>
      <c r="E39" s="56" t="s">
        <v>230</v>
      </c>
      <c r="F39" s="96">
        <v>1</v>
      </c>
      <c r="G39" s="96">
        <v>1</v>
      </c>
    </row>
  </sheetData>
  <sheetProtection algorithmName="SHA-512" hashValue="HNBUxV4Vm5xXLHwsUb1+sHRzoJQPGy7IctZ3QwD/7gzF0H5BoETorl9v3Lfep10CWrMI8rfHTv3GGYIAQkJtCg==" saltValue="Vijh8ihYbYGHL8reHIlt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mRlN9MZBLq41wkPAb44rvNp0WWrx5NmSJx6oz0n6+UKtMTtYuPhuAuzhCfj2WZ1JXGdhjH7fbZOGOosd9zS8Q==" saltValue="8RlIfcFbGmtGaayJV2oj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pZM4iUh/ZmcUk0c/Sp1gtwhVBhiyi0gNLbXsg775xhX+rFrhByuuqBVP76zN54xx1HumrbFzjSsXpYVCPlV4w==" saltValue="yUpg3cepeVmu/Yfwc4kx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0.88400000000000012</v>
      </c>
      <c r="C2" s="21">
        <f>'Données pop de l''année de ref'!C52</f>
        <v>0.88400000000000012</v>
      </c>
      <c r="D2" s="21">
        <f>'Données pop de l''année de ref'!C53</f>
        <v>2.3660000000000001</v>
      </c>
      <c r="E2" s="21">
        <f>'Données pop de l''année de ref'!C54</f>
        <v>2.6779999999999999</v>
      </c>
      <c r="F2" s="21">
        <f>'Données pop de l''année de ref'!C55</f>
        <v>1.6466666666666669</v>
      </c>
    </row>
    <row r="3" spans="1:6" ht="15.75" customHeight="1" x14ac:dyDescent="0.25">
      <c r="A3" s="3" t="s">
        <v>238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237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M+lA1rQO6nboHf8CMIknr6PlyefzRZU93rHneyqOSrvYbyx3Th5m3koTsJAwtNKqduv3AJgtFSoDUmRL/P3WNQ==" saltValue="XcNwQabdIsWjf/M+zpFQ1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zJnfd164VZGGZzVYI64CDpjgi3UHYj2aQGsnukqO26u+RvrkreHsrR2BXhqAOBE/4GN1Ik+FCo9Y41t5F13CA==" saltValue="1AHr0s1gltNYHbL2nWpP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iXfowoCKmlqnYvoA/517acO9x8fvacGVA2xB3S1MUpVzPqyBYQ5bWcwA6OfppndULbcZeiv7j1Wq63ArQmfcgA==" saltValue="ATuSvIEQbzEJxckKe5RU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CBXX1HmcE1ukDyHjBHPDiKupCP7SKxIFgYkJGGHhAmVi3iM9+45bzayEhoj6CNjLJ7pkrlnroH653uCyNaEww==" saltValue="7SlgkP+qdk+diE/nrP5D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M0Abc1scKMACCBhaeCDajokKRKHdIeFuNlNXUgYXcHpwOETPTAmDgxUFfwqU+SIQSs8if1bFmv/EeFRDklWFg==" saltValue="sIqDYRr8rKLJM8tpWvi6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5GoeYtiP4fxbVQY6TCFDX6Em8ZU0/n640IFB7cPgpgc2+X4imyV7myxsfluYi6a1lVpkyu7mSB9QFju6FQk3A==" saltValue="tD3td0DVlbkN/dixMRe32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mwJTumtghYPng0t7OO95ffMGhiVcNK9ovCcHv5gzaIqNvBVz+ldVqdYZj6SKjii3wk/OOofdczH0FdnWPpDDWA==" saltValue="pn/YOLqUAmDj2dztJPQI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gwfHlccNe0AFu33BFaAmuQ0iq1Kro2P3fRkVBIDIBeI1VjP/RkueVb2wijCJ5JZ2BZcn2uBpIRImOqsjn3b2A==" saltValue="EvPd5nrhpKbSEOzk4UaDl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xPBcsDqyAqgKiIggewzE6sjeAgLeAhU8HMuMYmXGcHJltE20cEbh2igM8w0bvDRAVSfMTSdzk/95RkazbmnrQ==" saltValue="kPUQ0luhqjVGruIytsJR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Ggz9IUSBZsGx99nsMIaMxXWUqV70SRRKi9A6ioLdR5wMIYt16X24uRVISg4cX6pjYRsPqpAUXMtWp2J+u+c7mg==" saltValue="KxDSzi/8luyurUo5ewvs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PKD1TsQ7xXhA3hdjHL9+TToAVBvOM/9JrLanBe1/ARh/lTNVjFrFjA6OYdE13Tveg0oQhkpY0X+M/0tT1wkzA==" saltValue="8EyiBGgxZOsniazn+/b+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a7W9XSvD9qqfCP+p+W05N/i56cTZ3MnkJXZOy6yDr8ElodeCy+3nhxjPV8I3djuU/2hhjVXKVMyuLt+S60cAA==" saltValue="uxMmtgcUQaYEyzD8Xwvi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+dnJCbFrCfB1jFKCtDueb8JO5RNdT8U1ZphpAcHudNz58YF6s0DOIwA946Wl2nXUHp39RSDgaXFSk3/idHRMg==" saltValue="I6dgWyigdDWQJv9g21Or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RaNQpQrCTR+O1LgF3Fcfnxt7EnH2N14nzlNdbwjNnXQ9l7N0qzEPT/SEPCPYVyBXohCTnro6zOn5D8ektfEbA==" saltValue="k/C4anEIOnl5HiDAPi5l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cTgKo4k5E59+bLxYfWtA0LPHDGtpRdhR7oAlzzLQPJf5ei9CN50gyHPwit+x4+Ib6x/+IP9xjO3grYvb1kgGA==" saltValue="r3eyV1EnR+4Agh0Ddls8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f10JhFW1vjhcgp+FBNKNb6ne/IL5Z+qXE6iZQcVjcS4P4z+sDvcxUWaRbH/FxpKojKyeGyRU5qls6kt1zEuiw==" saltValue="FeNUHg6ieFxb0yPNNerE/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