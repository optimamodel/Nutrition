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27E36847-077D-43F5-BC24-C429EA5B571B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I38" i="2" s="1"/>
  <c r="A29" i="2"/>
  <c r="I13" i="2"/>
  <c r="H13" i="2"/>
  <c r="G13" i="2"/>
  <c r="H12" i="2"/>
  <c r="G12" i="2"/>
  <c r="I12" i="2" s="1"/>
  <c r="H11" i="2"/>
  <c r="I11" i="2" s="1"/>
  <c r="G11" i="2"/>
  <c r="H10" i="2"/>
  <c r="G10" i="2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31" i="2" l="1"/>
  <c r="A17" i="2"/>
  <c r="A23" i="2"/>
  <c r="A33" i="2"/>
  <c r="A34" i="2"/>
  <c r="A3" i="2"/>
  <c r="A21" i="2"/>
  <c r="A37" i="2"/>
  <c r="A15" i="2"/>
  <c r="A18" i="2"/>
  <c r="A25" i="2"/>
  <c r="I10" i="2"/>
  <c r="A26" i="2"/>
  <c r="A39" i="2"/>
  <c r="A16" i="2"/>
  <c r="A24" i="2"/>
  <c r="A32" i="2"/>
  <c r="A19" i="2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<sst xmlns="http://schemas.openxmlformats.org/spreadsheetml/2006/main" count="2101" uniqueCount="337">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</sst>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30416861</v>
      </c>
    </row>
    <row r="8" spans="1:3" ht="15" customHeight="1" x14ac:dyDescent="0.25">
      <c r="B8" s="5" t="s">
        <v>19</v>
      </c>
      <c r="C8" s="44">
        <v>3.9E-2</v>
      </c>
    </row>
    <row r="9" spans="1:3" ht="15" customHeight="1" x14ac:dyDescent="0.25">
      <c r="B9" s="5" t="s">
        <v>20</v>
      </c>
      <c r="C9" s="45">
        <v>2.1600000000000001E-2</v>
      </c>
    </row>
    <row r="10" spans="1:3" ht="15" customHeight="1" x14ac:dyDescent="0.25">
      <c r="B10" s="5" t="s">
        <v>21</v>
      </c>
      <c r="C10" s="45">
        <v>0.89200000000000002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0.1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8.3599999999999994E-2</v>
      </c>
    </row>
    <row r="24" spans="1:3" ht="15" customHeight="1" x14ac:dyDescent="0.25">
      <c r="B24" s="15" t="s">
        <v>33</v>
      </c>
      <c r="C24" s="45">
        <v>0.50800000000000001</v>
      </c>
    </row>
    <row r="25" spans="1:3" ht="15" customHeight="1" x14ac:dyDescent="0.25">
      <c r="B25" s="15" t="s">
        <v>34</v>
      </c>
      <c r="C25" s="45">
        <v>0.35120000000000012</v>
      </c>
    </row>
    <row r="26" spans="1:3" ht="15" customHeight="1" x14ac:dyDescent="0.25">
      <c r="B26" s="15" t="s">
        <v>35</v>
      </c>
      <c r="C26" s="45">
        <v>5.7200000000000001E-2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0.24354971332209699</v>
      </c>
    </row>
    <row r="30" spans="1:3" ht="14.25" customHeight="1" x14ac:dyDescent="0.25">
      <c r="B30" s="25" t="s">
        <v>38</v>
      </c>
      <c r="C30" s="99">
        <v>0.13757511584770599</v>
      </c>
    </row>
    <row r="31" spans="1:3" ht="14.25" customHeight="1" x14ac:dyDescent="0.25">
      <c r="B31" s="25" t="s">
        <v>39</v>
      </c>
      <c r="C31" s="99">
        <v>0.13914799772598499</v>
      </c>
    </row>
    <row r="32" spans="1:3" ht="14.25" customHeight="1" x14ac:dyDescent="0.25">
      <c r="B32" s="25" t="s">
        <v>40</v>
      </c>
      <c r="C32" s="99">
        <v>0.47972717310421198</v>
      </c>
    </row>
    <row r="33" spans="1:5" ht="13" customHeight="1" x14ac:dyDescent="0.25">
      <c r="B33" s="27" t="s">
        <v>41</v>
      </c>
      <c r="C33" s="48">
        <f>SUM(C29:C32)</f>
        <v>0.99999999999999989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39.443519999999999</v>
      </c>
    </row>
    <row r="38" spans="1:5" ht="15" customHeight="1" x14ac:dyDescent="0.25">
      <c r="B38" s="11" t="s">
        <v>45</v>
      </c>
      <c r="C38" s="43">
        <v>52.780679999999997</v>
      </c>
      <c r="D38" s="12"/>
      <c r="E38" s="13"/>
    </row>
    <row r="39" spans="1:5" ht="15" customHeight="1" x14ac:dyDescent="0.25">
      <c r="B39" s="11" t="s">
        <v>46</v>
      </c>
      <c r="C39" s="43">
        <v>63.332549999999998</v>
      </c>
      <c r="D39" s="12"/>
      <c r="E39" s="12"/>
    </row>
    <row r="40" spans="1:5" ht="15" customHeight="1" x14ac:dyDescent="0.25">
      <c r="B40" s="11" t="s">
        <v>47</v>
      </c>
      <c r="C40" s="100">
        <v>1.54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30.916810000000002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2.2391600000000001E-2</v>
      </c>
      <c r="D45" s="12"/>
    </row>
    <row r="46" spans="1:5" ht="15.75" customHeight="1" x14ac:dyDescent="0.25">
      <c r="B46" s="11" t="s">
        <v>52</v>
      </c>
      <c r="C46" s="45">
        <v>0.12125619999999999</v>
      </c>
      <c r="D46" s="12"/>
    </row>
    <row r="47" spans="1:5" ht="15.75" customHeight="1" x14ac:dyDescent="0.25">
      <c r="B47" s="11" t="s">
        <v>53</v>
      </c>
      <c r="C47" s="45">
        <v>0.39803450000000001</v>
      </c>
      <c r="D47" s="12"/>
      <c r="E47" s="13"/>
    </row>
    <row r="48" spans="1:5" ht="15" customHeight="1" x14ac:dyDescent="0.25">
      <c r="B48" s="11" t="s">
        <v>54</v>
      </c>
      <c r="C48" s="46">
        <v>0.45831769999999999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2.2000000000000002</v>
      </c>
      <c r="D51" s="12"/>
    </row>
    <row r="52" spans="1:4" ht="15" customHeight="1" x14ac:dyDescent="0.25">
      <c r="B52" s="11" t="s">
        <v>57</v>
      </c>
      <c r="C52" s="100">
        <v>2.2000000000000002</v>
      </c>
    </row>
    <row r="53" spans="1:4" ht="15.75" customHeight="1" x14ac:dyDescent="0.25">
      <c r="B53" s="11" t="s">
        <v>58</v>
      </c>
      <c r="C53" s="100">
        <v>2.2000000000000002</v>
      </c>
    </row>
    <row r="54" spans="1:4" ht="15.75" customHeight="1" x14ac:dyDescent="0.25">
      <c r="B54" s="11" t="s">
        <v>59</v>
      </c>
      <c r="C54" s="100">
        <v>2.2000000000000002</v>
      </c>
    </row>
    <row r="55" spans="1:4" ht="15.75" customHeight="1" x14ac:dyDescent="0.25">
      <c r="B55" s="11" t="s">
        <v>60</v>
      </c>
      <c r="C55" s="100">
        <v>2.2000000000000002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2.1363636363636359E-2</v>
      </c>
    </row>
    <row r="59" spans="1:4" ht="15.75" customHeight="1" x14ac:dyDescent="0.25">
      <c r="B59" s="11" t="s">
        <v>63</v>
      </c>
      <c r="C59" s="45">
        <v>0.43655699999999997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Hdd3xitZ9gjPVMD/r5GJOCTLvwDvIMZk/FTS8cF7B8+JIQsCkDbmLaOs9I5JRVa4O9pbfnx/zC4EscgIT/wvMg==" saltValue="3QPo4xc5Wu6gcAqmHPHE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147537</v>
      </c>
      <c r="C2" s="49">
        <v>348597.00000000012</v>
      </c>
      <c r="D2" s="49">
        <v>479371.5</v>
      </c>
      <c r="E2" s="49">
        <v>379314</v>
      </c>
      <c r="F2" s="49">
        <v>218394</v>
      </c>
      <c r="G2" s="17">
        <f t="shared" ref="G2:G13" si="0">C2+D2+E2+F2</f>
        <v>1425676.5</v>
      </c>
      <c r="H2" s="17">
        <f t="shared" ref="H2:H13" si="1">(B2 + stillbirth*B2/(1000-stillbirth))/(1-abortion)</f>
        <v>173004.42681105822</v>
      </c>
      <c r="I2" s="17">
        <f t="shared" ref="I2:I13" si="2">G2-H2</f>
        <v>1252672.0731889417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148529</v>
      </c>
      <c r="C3" s="50">
        <v>357605.49999999988</v>
      </c>
      <c r="D3" s="50">
        <v>488191.5</v>
      </c>
      <c r="E3" s="50">
        <v>391871</v>
      </c>
      <c r="F3" s="50">
        <v>227253.5</v>
      </c>
      <c r="G3" s="17">
        <f t="shared" si="0"/>
        <v>1464921.5</v>
      </c>
      <c r="H3" s="17">
        <f t="shared" si="1"/>
        <v>174167.66309345904</v>
      </c>
      <c r="I3" s="17">
        <f t="shared" si="2"/>
        <v>1290753.8369065409</v>
      </c>
    </row>
    <row r="4" spans="1:9" ht="15.75" customHeight="1" x14ac:dyDescent="0.25">
      <c r="A4" s="5">
        <f t="shared" si="3"/>
        <v>2026</v>
      </c>
      <c r="B4" s="49">
        <v>149180</v>
      </c>
      <c r="C4" s="50">
        <v>366142.5</v>
      </c>
      <c r="D4" s="50">
        <v>498086</v>
      </c>
      <c r="E4" s="50">
        <v>403444.5</v>
      </c>
      <c r="F4" s="50">
        <v>236494</v>
      </c>
      <c r="G4" s="17">
        <f t="shared" si="0"/>
        <v>1504167</v>
      </c>
      <c r="H4" s="17">
        <f t="shared" si="1"/>
        <v>174931.03690378458</v>
      </c>
      <c r="I4" s="17">
        <f t="shared" si="2"/>
        <v>1329235.9630962154</v>
      </c>
    </row>
    <row r="5" spans="1:9" ht="15.75" customHeight="1" x14ac:dyDescent="0.25">
      <c r="A5" s="5">
        <f t="shared" si="3"/>
        <v>2027</v>
      </c>
      <c r="B5" s="49">
        <v>150745</v>
      </c>
      <c r="C5" s="50">
        <v>374461</v>
      </c>
      <c r="D5" s="50">
        <v>508810</v>
      </c>
      <c r="E5" s="50">
        <v>413758</v>
      </c>
      <c r="F5" s="50">
        <v>246139</v>
      </c>
      <c r="G5" s="17">
        <f t="shared" si="0"/>
        <v>1543168</v>
      </c>
      <c r="H5" s="17">
        <f t="shared" si="1"/>
        <v>176766.18285333828</v>
      </c>
      <c r="I5" s="17">
        <f t="shared" si="2"/>
        <v>1366401.8171466617</v>
      </c>
    </row>
    <row r="6" spans="1:9" ht="15.75" customHeight="1" x14ac:dyDescent="0.25">
      <c r="A6" s="5">
        <f t="shared" si="3"/>
        <v>2028</v>
      </c>
      <c r="B6" s="49">
        <v>151802</v>
      </c>
      <c r="C6" s="50">
        <v>382734.00000000012</v>
      </c>
      <c r="D6" s="50">
        <v>520209</v>
      </c>
      <c r="E6" s="50">
        <v>423109</v>
      </c>
      <c r="F6" s="50">
        <v>256364</v>
      </c>
      <c r="G6" s="17">
        <f t="shared" si="0"/>
        <v>1582416</v>
      </c>
      <c r="H6" s="17">
        <f t="shared" si="1"/>
        <v>178005.63925504961</v>
      </c>
      <c r="I6" s="17">
        <f t="shared" si="2"/>
        <v>1404410.3607449504</v>
      </c>
    </row>
    <row r="7" spans="1:9" ht="15.75" customHeight="1" x14ac:dyDescent="0.25">
      <c r="A7" s="5">
        <f t="shared" si="3"/>
        <v>2029</v>
      </c>
      <c r="B7" s="49">
        <v>152525</v>
      </c>
      <c r="C7" s="50">
        <v>391153.5</v>
      </c>
      <c r="D7" s="50">
        <v>532388.5</v>
      </c>
      <c r="E7" s="50">
        <v>431802.5</v>
      </c>
      <c r="F7" s="50">
        <v>267182.5</v>
      </c>
      <c r="G7" s="17">
        <f t="shared" si="0"/>
        <v>1622527</v>
      </c>
      <c r="H7" s="17">
        <f t="shared" si="1"/>
        <v>178853.44150522683</v>
      </c>
      <c r="I7" s="17">
        <f t="shared" si="2"/>
        <v>1443673.5584947732</v>
      </c>
    </row>
    <row r="8" spans="1:9" ht="15.75" customHeight="1" x14ac:dyDescent="0.25">
      <c r="A8" s="5">
        <f t="shared" si="3"/>
        <v>2030</v>
      </c>
      <c r="B8" s="49">
        <v>153811</v>
      </c>
      <c r="C8" s="50">
        <v>398525</v>
      </c>
      <c r="D8" s="50">
        <v>545781.5</v>
      </c>
      <c r="E8" s="50">
        <v>439693.5</v>
      </c>
      <c r="F8" s="50">
        <v>278566.5</v>
      </c>
      <c r="G8" s="17">
        <f t="shared" si="0"/>
        <v>1662566.5</v>
      </c>
      <c r="H8" s="17">
        <f t="shared" si="1"/>
        <v>180361.42725035534</v>
      </c>
      <c r="I8" s="17">
        <f t="shared" si="2"/>
        <v>1482205.0727496448</v>
      </c>
    </row>
    <row r="9" spans="1:9" ht="15.75" customHeight="1" x14ac:dyDescent="0.25">
      <c r="A9" s="5">
        <f t="shared" si="3"/>
        <v>2031</v>
      </c>
      <c r="B9" s="49">
        <v>154824</v>
      </c>
      <c r="C9" s="50">
        <v>403877</v>
      </c>
      <c r="D9" s="50">
        <v>559878.5</v>
      </c>
      <c r="E9" s="50">
        <v>446997.5</v>
      </c>
      <c r="F9" s="50">
        <v>290555</v>
      </c>
      <c r="G9" s="17">
        <f t="shared" si="0"/>
        <v>1701308</v>
      </c>
      <c r="H9" s="17">
        <f t="shared" si="1"/>
        <v>181549.28849437955</v>
      </c>
      <c r="I9" s="17">
        <f t="shared" si="2"/>
        <v>1519758.7115056205</v>
      </c>
    </row>
    <row r="10" spans="1:9" ht="15.75" customHeight="1" x14ac:dyDescent="0.25">
      <c r="A10" s="5">
        <f t="shared" si="3"/>
        <v>2032</v>
      </c>
      <c r="B10" s="49">
        <v>155906</v>
      </c>
      <c r="C10" s="50">
        <v>407999.99999999988</v>
      </c>
      <c r="D10" s="50">
        <v>573595.5</v>
      </c>
      <c r="E10" s="50">
        <v>454100.5</v>
      </c>
      <c r="F10" s="50">
        <v>303039.5</v>
      </c>
      <c r="G10" s="17">
        <f t="shared" si="0"/>
        <v>1738735.5</v>
      </c>
      <c r="H10" s="17">
        <f t="shared" si="1"/>
        <v>182818.06032659495</v>
      </c>
      <c r="I10" s="17">
        <f t="shared" si="2"/>
        <v>1555917.4396734051</v>
      </c>
    </row>
    <row r="11" spans="1:9" ht="15.75" customHeight="1" x14ac:dyDescent="0.25">
      <c r="A11" s="5">
        <f t="shared" si="3"/>
        <v>2033</v>
      </c>
      <c r="B11" s="49">
        <v>157184</v>
      </c>
      <c r="C11" s="50">
        <v>411270.5</v>
      </c>
      <c r="D11" s="50">
        <v>587039</v>
      </c>
      <c r="E11" s="50">
        <v>461179.5</v>
      </c>
      <c r="F11" s="50">
        <v>315820</v>
      </c>
      <c r="G11" s="17">
        <f t="shared" si="0"/>
        <v>1775309</v>
      </c>
      <c r="H11" s="17">
        <f t="shared" si="1"/>
        <v>184316.66513396215</v>
      </c>
      <c r="I11" s="17">
        <f t="shared" si="2"/>
        <v>1590992.3348660378</v>
      </c>
    </row>
    <row r="12" spans="1:9" ht="15.75" customHeight="1" x14ac:dyDescent="0.25">
      <c r="A12" s="5">
        <f t="shared" si="3"/>
        <v>2034</v>
      </c>
      <c r="B12" s="49">
        <v>158273</v>
      </c>
      <c r="C12" s="50">
        <v>413457.99999999988</v>
      </c>
      <c r="D12" s="50">
        <v>600417.5</v>
      </c>
      <c r="E12" s="50">
        <v>468852.5</v>
      </c>
      <c r="F12" s="50">
        <v>328448</v>
      </c>
      <c r="G12" s="17">
        <f t="shared" si="0"/>
        <v>1811176</v>
      </c>
      <c r="H12" s="17">
        <f t="shared" si="1"/>
        <v>185593.6452867187</v>
      </c>
      <c r="I12" s="17">
        <f t="shared" si="2"/>
        <v>1625582.3547132814</v>
      </c>
    </row>
    <row r="13" spans="1:9" ht="15.75" customHeight="1" x14ac:dyDescent="0.25">
      <c r="A13" s="5">
        <f t="shared" si="3"/>
        <v>2035</v>
      </c>
      <c r="B13" s="49">
        <v>159827</v>
      </c>
      <c r="C13" s="50">
        <v>413984.00000000012</v>
      </c>
      <c r="D13" s="50">
        <v>614031</v>
      </c>
      <c r="E13" s="50">
        <v>477666.5</v>
      </c>
      <c r="F13" s="50">
        <v>340488.5</v>
      </c>
      <c r="G13" s="17">
        <f t="shared" si="0"/>
        <v>1846170</v>
      </c>
      <c r="H13" s="17">
        <f t="shared" si="1"/>
        <v>187415.89244685063</v>
      </c>
      <c r="I13" s="17">
        <f t="shared" si="2"/>
        <v>1658754.1075531493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Pw8asT+wNuqzrUNTd2ixPlt2OygGDkcaDVCznkIRz6CSMSCFAavUAwDpe7mHVvdFuNIETT7t3yP8ZERt45faw==" saltValue="RrMGv5rtvBEzG1niYzg13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1.944252351986717E-2</v>
      </c>
    </row>
    <row r="4" spans="1:8" ht="15.75" customHeight="1" x14ac:dyDescent="0.25">
      <c r="B4" s="19" t="s">
        <v>79</v>
      </c>
      <c r="C4" s="101">
        <v>7.3235278675737148E-2</v>
      </c>
    </row>
    <row r="5" spans="1:8" ht="15.75" customHeight="1" x14ac:dyDescent="0.25">
      <c r="B5" s="19" t="s">
        <v>80</v>
      </c>
      <c r="C5" s="101">
        <v>6.0525674969561093E-2</v>
      </c>
    </row>
    <row r="6" spans="1:8" ht="15.75" customHeight="1" x14ac:dyDescent="0.25">
      <c r="B6" s="19" t="s">
        <v>81</v>
      </c>
      <c r="C6" s="101">
        <v>0.3183471214882706</v>
      </c>
    </row>
    <row r="7" spans="1:8" ht="15.75" customHeight="1" x14ac:dyDescent="0.25">
      <c r="B7" s="19" t="s">
        <v>82</v>
      </c>
      <c r="C7" s="101">
        <v>0.3406088789217484</v>
      </c>
    </row>
    <row r="8" spans="1:8" ht="15.75" customHeight="1" x14ac:dyDescent="0.25">
      <c r="B8" s="19" t="s">
        <v>83</v>
      </c>
      <c r="C8" s="101">
        <v>2.8573357234468609E-3</v>
      </c>
    </row>
    <row r="9" spans="1:8" ht="15.75" customHeight="1" x14ac:dyDescent="0.25">
      <c r="B9" s="19" t="s">
        <v>84</v>
      </c>
      <c r="C9" s="101">
        <v>9.1026223745628063E-2</v>
      </c>
    </row>
    <row r="10" spans="1:8" ht="15.75" customHeight="1" x14ac:dyDescent="0.25">
      <c r="B10" s="19" t="s">
        <v>85</v>
      </c>
      <c r="C10" s="101">
        <v>9.3956962955740589E-2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0.21278952881859881</v>
      </c>
      <c r="D14" s="55">
        <v>0.21278952881859881</v>
      </c>
      <c r="E14" s="55">
        <v>0.21278952881859881</v>
      </c>
      <c r="F14" s="55">
        <v>0.21278952881859881</v>
      </c>
    </row>
    <row r="15" spans="1:8" ht="15.75" customHeight="1" x14ac:dyDescent="0.25">
      <c r="B15" s="19" t="s">
        <v>88</v>
      </c>
      <c r="C15" s="101">
        <v>0.25469599219282613</v>
      </c>
      <c r="D15" s="101">
        <v>0.25469599219282613</v>
      </c>
      <c r="E15" s="101">
        <v>0.25469599219282613</v>
      </c>
      <c r="F15" s="101">
        <v>0.25469599219282613</v>
      </c>
    </row>
    <row r="16" spans="1:8" ht="15.75" customHeight="1" x14ac:dyDescent="0.25">
      <c r="B16" s="19" t="s">
        <v>89</v>
      </c>
      <c r="C16" s="101">
        <v>4.4329835998382708E-2</v>
      </c>
      <c r="D16" s="101">
        <v>4.4329835998382708E-2</v>
      </c>
      <c r="E16" s="101">
        <v>4.4329835998382708E-2</v>
      </c>
      <c r="F16" s="101">
        <v>4.4329835998382708E-2</v>
      </c>
    </row>
    <row r="17" spans="1:8" ht="15.75" customHeight="1" x14ac:dyDescent="0.25">
      <c r="B17" s="19" t="s">
        <v>90</v>
      </c>
      <c r="C17" s="101">
        <v>1.624506748778283E-2</v>
      </c>
      <c r="D17" s="101">
        <v>1.624506748778283E-2</v>
      </c>
      <c r="E17" s="101">
        <v>1.624506748778283E-2</v>
      </c>
      <c r="F17" s="101">
        <v>1.624506748778283E-2</v>
      </c>
    </row>
    <row r="18" spans="1:8" ht="15.75" customHeight="1" x14ac:dyDescent="0.25">
      <c r="B18" s="19" t="s">
        <v>91</v>
      </c>
      <c r="C18" s="101">
        <v>1.0885857198653019E-3</v>
      </c>
      <c r="D18" s="101">
        <v>1.0885857198653019E-3</v>
      </c>
      <c r="E18" s="101">
        <v>1.0885857198653019E-3</v>
      </c>
      <c r="F18" s="101">
        <v>1.0885857198653019E-3</v>
      </c>
    </row>
    <row r="19" spans="1:8" ht="15.75" customHeight="1" x14ac:dyDescent="0.25">
      <c r="B19" s="19" t="s">
        <v>92</v>
      </c>
      <c r="C19" s="101">
        <v>5.4722176235299548E-2</v>
      </c>
      <c r="D19" s="101">
        <v>5.4722176235299548E-2</v>
      </c>
      <c r="E19" s="101">
        <v>5.4722176235299548E-2</v>
      </c>
      <c r="F19" s="101">
        <v>5.4722176235299548E-2</v>
      </c>
    </row>
    <row r="20" spans="1:8" ht="15.75" customHeight="1" x14ac:dyDescent="0.25">
      <c r="B20" s="19" t="s">
        <v>93</v>
      </c>
      <c r="C20" s="101">
        <v>5.8387503878920381E-3</v>
      </c>
      <c r="D20" s="101">
        <v>5.8387503878920381E-3</v>
      </c>
      <c r="E20" s="101">
        <v>5.8387503878920381E-3</v>
      </c>
      <c r="F20" s="101">
        <v>5.8387503878920381E-3</v>
      </c>
    </row>
    <row r="21" spans="1:8" ht="15.75" customHeight="1" x14ac:dyDescent="0.25">
      <c r="B21" s="19" t="s">
        <v>94</v>
      </c>
      <c r="C21" s="101">
        <v>0.17162996652247201</v>
      </c>
      <c r="D21" s="101">
        <v>0.17162996652247201</v>
      </c>
      <c r="E21" s="101">
        <v>0.17162996652247201</v>
      </c>
      <c r="F21" s="101">
        <v>0.17162996652247201</v>
      </c>
    </row>
    <row r="22" spans="1:8" ht="15.75" customHeight="1" x14ac:dyDescent="0.25">
      <c r="B22" s="19" t="s">
        <v>95</v>
      </c>
      <c r="C22" s="101">
        <v>0.23866009663688079</v>
      </c>
      <c r="D22" s="101">
        <v>0.23866009663688079</v>
      </c>
      <c r="E22" s="101">
        <v>0.23866009663688079</v>
      </c>
      <c r="F22" s="101">
        <v>0.23866009663688079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5.2819977999999997E-2</v>
      </c>
    </row>
    <row r="27" spans="1:8" ht="15.75" customHeight="1" x14ac:dyDescent="0.25">
      <c r="B27" s="19" t="s">
        <v>102</v>
      </c>
      <c r="C27" s="101">
        <v>7.1861679999999997E-3</v>
      </c>
    </row>
    <row r="28" spans="1:8" ht="15.75" customHeight="1" x14ac:dyDescent="0.25">
      <c r="B28" s="19" t="s">
        <v>103</v>
      </c>
      <c r="C28" s="101">
        <v>0.250016285</v>
      </c>
    </row>
    <row r="29" spans="1:8" ht="15.75" customHeight="1" x14ac:dyDescent="0.25">
      <c r="B29" s="19" t="s">
        <v>104</v>
      </c>
      <c r="C29" s="101">
        <v>9.3256678999999995E-2</v>
      </c>
    </row>
    <row r="30" spans="1:8" ht="15.75" customHeight="1" x14ac:dyDescent="0.25">
      <c r="B30" s="19" t="s">
        <v>2</v>
      </c>
      <c r="C30" s="101">
        <v>0.12997281799999999</v>
      </c>
    </row>
    <row r="31" spans="1:8" ht="15.75" customHeight="1" x14ac:dyDescent="0.25">
      <c r="B31" s="19" t="s">
        <v>105</v>
      </c>
      <c r="C31" s="101">
        <v>6.0292912999999997E-2</v>
      </c>
    </row>
    <row r="32" spans="1:8" ht="15.75" customHeight="1" x14ac:dyDescent="0.25">
      <c r="B32" s="19" t="s">
        <v>106</v>
      </c>
      <c r="C32" s="101">
        <v>6.2887368999999999E-2</v>
      </c>
    </row>
    <row r="33" spans="2:3" ht="15.75" customHeight="1" x14ac:dyDescent="0.25">
      <c r="B33" s="19" t="s">
        <v>107</v>
      </c>
      <c r="C33" s="101">
        <v>0.164273895</v>
      </c>
    </row>
    <row r="34" spans="2:3" ht="15.75" customHeight="1" x14ac:dyDescent="0.25">
      <c r="B34" s="19" t="s">
        <v>108</v>
      </c>
      <c r="C34" s="101">
        <v>0.17929389600000001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eQ9jxXNN2pxKva9FXDiC1w2983z4DJb09trCk/LLXtvDutoC1UOryoGVBOxrG1h/MU58lq2Hw+dxHqRFvGhpFw==" saltValue="EhmTaqLHQUOchOoUFdf4R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0.41705131269026019</v>
      </c>
      <c r="D2" s="52">
        <f>IFERROR(1-_xlfn.NORM.DIST(_xlfn.NORM.INV(SUM(D4:D5), 0, 1) + 1, 0, 1, TRUE), "")</f>
        <v>0.41705131269026019</v>
      </c>
      <c r="E2" s="52">
        <f>IFERROR(1-_xlfn.NORM.DIST(_xlfn.NORM.INV(SUM(E4:E5), 0, 1) + 1, 0, 1, TRUE), "")</f>
        <v>0.44075973747061548</v>
      </c>
      <c r="F2" s="52">
        <f>IFERROR(1-_xlfn.NORM.DIST(_xlfn.NORM.INV(SUM(F4:F5), 0, 1) + 1, 0, 1, TRUE), "")</f>
        <v>0.28837293990705826</v>
      </c>
      <c r="G2" s="52">
        <f>IFERROR(1-_xlfn.NORM.DIST(_xlfn.NORM.INV(SUM(G4:G5), 0, 1) + 1, 0, 1, TRUE), "")</f>
        <v>0.19299323818434622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0.36834748730973982</v>
      </c>
      <c r="D3" s="52">
        <f>IFERROR(_xlfn.NORM.DIST(_xlfn.NORM.INV(SUM(D4:D5), 0, 1) + 1, 0, 1, TRUE) - SUM(D4:D5), "")</f>
        <v>0.36834748730973982</v>
      </c>
      <c r="E3" s="52">
        <f>IFERROR(_xlfn.NORM.DIST(_xlfn.NORM.INV(SUM(E4:E5), 0, 1) + 1, 0, 1, TRUE) - SUM(E4:E5), "")</f>
        <v>0.36184356252938454</v>
      </c>
      <c r="F3" s="52">
        <f>IFERROR(_xlfn.NORM.DIST(_xlfn.NORM.INV(SUM(F4:F5), 0, 1) + 1, 0, 1, TRUE) - SUM(F4:F5), "")</f>
        <v>0.38233026009294174</v>
      </c>
      <c r="G3" s="52">
        <f>IFERROR(_xlfn.NORM.DIST(_xlfn.NORM.INV(SUM(G4:G5), 0, 1) + 1, 0, 1, TRUE) - SUM(G4:G5), "")</f>
        <v>0.35994216181565375</v>
      </c>
    </row>
    <row r="4" spans="1:15" ht="15.75" customHeight="1" x14ac:dyDescent="0.25">
      <c r="B4" s="5" t="s">
        <v>114</v>
      </c>
      <c r="C4" s="45">
        <v>0.12829170000000001</v>
      </c>
      <c r="D4" s="53">
        <v>0.12829170000000001</v>
      </c>
      <c r="E4" s="53">
        <v>0.1032455</v>
      </c>
      <c r="F4" s="53">
        <v>0.2108437</v>
      </c>
      <c r="G4" s="53">
        <v>0.22724630000000001</v>
      </c>
    </row>
    <row r="5" spans="1:15" ht="15.75" customHeight="1" x14ac:dyDescent="0.25">
      <c r="B5" s="5" t="s">
        <v>115</v>
      </c>
      <c r="C5" s="45">
        <v>8.6309499999999997E-2</v>
      </c>
      <c r="D5" s="53">
        <v>8.6309499999999997E-2</v>
      </c>
      <c r="E5" s="53">
        <v>9.4151200000000004E-2</v>
      </c>
      <c r="F5" s="53">
        <v>0.11845310000000001</v>
      </c>
      <c r="G5" s="53">
        <v>0.21981829999999999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0.5134015973375885</v>
      </c>
      <c r="D8" s="52">
        <f>IFERROR(1-_xlfn.NORM.DIST(_xlfn.NORM.INV(SUM(D10:D11), 0, 1) + 1, 0, 1, TRUE), "")</f>
        <v>0.5134015973375885</v>
      </c>
      <c r="E8" s="52">
        <f>IFERROR(1-_xlfn.NORM.DIST(_xlfn.NORM.INV(SUM(E10:E11), 0, 1) + 1, 0, 1, TRUE), "")</f>
        <v>0.55643170273416376</v>
      </c>
      <c r="F8" s="52">
        <f>IFERROR(1-_xlfn.NORM.DIST(_xlfn.NORM.INV(SUM(F10:F11), 0, 1) + 1, 0, 1, TRUE), "")</f>
        <v>0.67909007608984928</v>
      </c>
      <c r="G8" s="52">
        <f>IFERROR(1-_xlfn.NORM.DIST(_xlfn.NORM.INV(SUM(G10:G11), 0, 1) + 1, 0, 1, TRUE), "")</f>
        <v>0.74648615272006946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0.33593660266241143</v>
      </c>
      <c r="D9" s="52">
        <f>IFERROR(_xlfn.NORM.DIST(_xlfn.NORM.INV(SUM(D10:D11), 0, 1) + 1, 0, 1, TRUE) - SUM(D10:D11), "")</f>
        <v>0.33593660266241143</v>
      </c>
      <c r="E9" s="52">
        <f>IFERROR(_xlfn.NORM.DIST(_xlfn.NORM.INV(SUM(E10:E11), 0, 1) + 1, 0, 1, TRUE) - SUM(E10:E11), "")</f>
        <v>0.31682639726583628</v>
      </c>
      <c r="F9" s="52">
        <f>IFERROR(_xlfn.NORM.DIST(_xlfn.NORM.INV(SUM(F10:F11), 0, 1) + 1, 0, 1, TRUE) - SUM(F10:F11), "")</f>
        <v>0.24947072391015079</v>
      </c>
      <c r="G9" s="52">
        <f>IFERROR(_xlfn.NORM.DIST(_xlfn.NORM.INV(SUM(G10:G11), 0, 1) + 1, 0, 1, TRUE) - SUM(G10:G11), "")</f>
        <v>0.20540494727993053</v>
      </c>
    </row>
    <row r="10" spans="1:15" ht="15.75" customHeight="1" x14ac:dyDescent="0.25">
      <c r="B10" s="5" t="s">
        <v>119</v>
      </c>
      <c r="C10" s="45">
        <v>7.5895299999999999E-2</v>
      </c>
      <c r="D10" s="53">
        <v>7.5895299999999999E-2</v>
      </c>
      <c r="E10" s="53">
        <v>8.0317399999999997E-2</v>
      </c>
      <c r="F10" s="53">
        <v>5.0868499999999997E-2</v>
      </c>
      <c r="G10" s="53">
        <v>3.5111900000000001E-2</v>
      </c>
    </row>
    <row r="11" spans="1:15" ht="15.75" customHeight="1" x14ac:dyDescent="0.25">
      <c r="B11" s="5" t="s">
        <v>120</v>
      </c>
      <c r="C11" s="45">
        <v>7.47665E-2</v>
      </c>
      <c r="D11" s="53">
        <v>7.47665E-2</v>
      </c>
      <c r="E11" s="53">
        <v>4.64245E-2</v>
      </c>
      <c r="F11" s="53">
        <v>2.0570700000000001E-2</v>
      </c>
      <c r="G11" s="53">
        <v>1.2997E-2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0.38510173949999998</v>
      </c>
      <c r="D14" s="54">
        <v>0.38329127910900002</v>
      </c>
      <c r="E14" s="54">
        <v>0.38329127910900002</v>
      </c>
      <c r="F14" s="54">
        <v>0.26921571210599998</v>
      </c>
      <c r="G14" s="54">
        <v>0.26921571210599998</v>
      </c>
      <c r="H14" s="45">
        <v>0.51300000000000001</v>
      </c>
      <c r="I14" s="55">
        <v>0.51300000000000001</v>
      </c>
      <c r="J14" s="55">
        <v>0.51300000000000001</v>
      </c>
      <c r="K14" s="55">
        <v>0.51300000000000001</v>
      </c>
      <c r="L14" s="45">
        <v>0.52200000000000002</v>
      </c>
      <c r="M14" s="55">
        <v>0.52200000000000002</v>
      </c>
      <c r="N14" s="55">
        <v>0.52200000000000002</v>
      </c>
      <c r="O14" s="55">
        <v>0.52200000000000002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0.16811886009090149</v>
      </c>
      <c r="D15" s="52">
        <f t="shared" si="0"/>
        <v>0.16732849093398772</v>
      </c>
      <c r="E15" s="52">
        <f t="shared" si="0"/>
        <v>0.16732849093398772</v>
      </c>
      <c r="F15" s="52">
        <f t="shared" si="0"/>
        <v>0.11752800362985903</v>
      </c>
      <c r="G15" s="52">
        <f t="shared" si="0"/>
        <v>0.11752800362985903</v>
      </c>
      <c r="H15" s="52">
        <f t="shared" si="0"/>
        <v>0.22395374099999998</v>
      </c>
      <c r="I15" s="52">
        <f t="shared" si="0"/>
        <v>0.22395374099999998</v>
      </c>
      <c r="J15" s="52">
        <f t="shared" si="0"/>
        <v>0.22395374099999998</v>
      </c>
      <c r="K15" s="52">
        <f t="shared" si="0"/>
        <v>0.22395374099999998</v>
      </c>
      <c r="L15" s="52">
        <f t="shared" si="0"/>
        <v>0.22788275399999999</v>
      </c>
      <c r="M15" s="52">
        <f t="shared" si="0"/>
        <v>0.22788275399999999</v>
      </c>
      <c r="N15" s="52">
        <f t="shared" si="0"/>
        <v>0.22788275399999999</v>
      </c>
      <c r="O15" s="52">
        <f t="shared" si="0"/>
        <v>0.22788275399999999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pA6N4aQpqCwEMOIkSQncPIM8S92COEKoD6N1dWRjI5R3tsTmi8pnIpk+R/c6FfBtmmVL1TN9FX++HW+kMrdgw==" saltValue="lrPGMoicgmP22mYhAoeI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0.5593456</v>
      </c>
      <c r="D2" s="53">
        <v>0.46563719999999997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7.8223000000000001E-2</v>
      </c>
      <c r="D3" s="53">
        <v>0.1007064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0.32265949999999999</v>
      </c>
      <c r="D4" s="53">
        <v>0.35786780000000001</v>
      </c>
      <c r="E4" s="53">
        <v>0.78967549999999997</v>
      </c>
      <c r="F4" s="53">
        <v>0.63183219999999995</v>
      </c>
      <c r="G4" s="53">
        <v>0</v>
      </c>
    </row>
    <row r="5" spans="1:7" x14ac:dyDescent="0.25">
      <c r="B5" s="3" t="s">
        <v>132</v>
      </c>
      <c r="C5" s="52">
        <v>3.9772000000000002E-2</v>
      </c>
      <c r="D5" s="52">
        <v>7.5788599999999998E-2</v>
      </c>
      <c r="E5" s="52">
        <f>1-SUM(E2:E4)</f>
        <v>0.21032450000000003</v>
      </c>
      <c r="F5" s="52">
        <f>1-SUM(F2:F4)</f>
        <v>0.36816780000000005</v>
      </c>
      <c r="G5" s="52">
        <f>1-SUM(G2:G4)</f>
        <v>1</v>
      </c>
    </row>
  </sheetData>
  <sheetProtection algorithmName="SHA-512" hashValue="i2ypvVJWb9H+I4llyuYXqDY6Kv6y0eSvo3qnBfM+yJKa4D70ibHCz1EiiaYU7LSSWSiOml1/3q0fDEj9A6pdhg==" saltValue="wXdQRt4yh7K6yTZhlYGQ+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4E3Gm8MoHOHqOITub05dV1U09XGQeEwMJ1vh5XNohzgh0Qcqt05xFqOlG5Gstd+IyDRowuQ9dWUZhAXAGmmotQ==" saltValue="MLDDRXGhxMfrWjrovjztV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AggwmvarM4Mu4VsXKYIyP5Tb1UJIwLbkNZWV112IWCyASPtrZhDDbwFn75XM9O45cuI8Ll0PcBycM9ee9v2mzw==" saltValue="wIRS8QT57XUx9QCfryzYb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TAD9ZCj7ABpOHh28SiWYO/J29H2JLyK9CWNvUXhea8YDgtqLoFegtyDb36PJ77EMs6cl6CQ2Kx4UeFd1YJ3P2Q==" saltValue="skkiQ8/FrHrNbZ+yCToLt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ryIpqex8AjkwMqpXT2hcRZHvzksluNj1LclcdIN5j+0+QvJdxcOO+XVDDKKkDCC85CZM/WKvooV/eSw9sJaBeQ==" saltValue="W5YDACbBkfXL+ryeuuqLw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50.371303540921957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39.708482859157797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294.34045337363011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1.2966630747405239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0.29442049999999997</v>
      </c>
      <c r="C10" s="98">
        <v>0.95</v>
      </c>
      <c r="D10" s="56">
        <v>12.84078230295372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12.84078230295372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12.84078230295372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12.84078230295372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0.29442049999999997</v>
      </c>
      <c r="C14" s="98">
        <v>0.95</v>
      </c>
      <c r="D14" s="56">
        <v>12.84078230295372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12.84078230295372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3.6473E-3</v>
      </c>
      <c r="C16" s="98">
        <v>0.95</v>
      </c>
      <c r="D16" s="56">
        <v>0.54754810284906963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0.46563719999999997</v>
      </c>
      <c r="C18" s="98">
        <v>0.95</v>
      </c>
      <c r="D18" s="56">
        <v>6.8217383658846993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0.46563719999999997</v>
      </c>
      <c r="C19" s="98">
        <v>0.95</v>
      </c>
      <c r="D19" s="56">
        <v>6.8217383658846993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12.15441108429366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22.06922301210663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3.5702999999999999E-2</v>
      </c>
      <c r="C23" s="98">
        <v>0.95</v>
      </c>
      <c r="D23" s="56">
        <v>4.1722144491998137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0.47122926211659999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0.29442049999999997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18.399477267230779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0.37447279999999999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0.1497243</v>
      </c>
      <c r="C29" s="98">
        <v>0.95</v>
      </c>
      <c r="D29" s="56">
        <v>96.169549000750962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0.34386987590081408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0.92</v>
      </c>
      <c r="C32" s="98">
        <v>0.95</v>
      </c>
      <c r="D32" s="56">
        <v>1.1580402463781181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0.84691320000000003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0.35662080000000002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1.1231400000000001E-2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0.25330259999999999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0.1247952</v>
      </c>
      <c r="C38" s="98">
        <v>0.95</v>
      </c>
      <c r="D38" s="56">
        <v>3.7067724725609019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o2WH22tLYOsYr8S6ixYc2lho4jXpNmrUxnUO8efpNxtOR6IVmQ+YEqlDMb49+GHq6rIIdALRyoCLmsxJCEzIvA==" saltValue="VshVUWmTQ01zhgHXNyU6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WPS4dFaEo3CriNzBY4E6Xu9dONA3LcDrcABIz7urRUNxp/NXqd4VghuuE3XUWjkYXT7ZyE9cOCgdO8EQ+nbnPA==" saltValue="DKAPKTdKwZ0ZM23Bit9e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UDOpJVbdFMlmPa8IBwFFem9rLi/TGgtZh8W/wj12RpnyOfRGo2OLx5ivb42TBgMUJkVFU7nuj5WE8XJrSBbSWA==" saltValue="fWoX/J2gF2rESjR9rjTD4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209</v>
      </c>
      <c r="B3" s="21">
        <f>frac_mam_1month * 2.6</f>
        <v>0.19732778000000001</v>
      </c>
      <c r="C3" s="21">
        <f>frac_mam_1_5months * 2.6</f>
        <v>0.19732778000000001</v>
      </c>
      <c r="D3" s="21">
        <f>frac_mam_6_11months * 2.6</f>
        <v>0.20882524</v>
      </c>
      <c r="E3" s="21">
        <f>frac_mam_12_23months * 2.6</f>
        <v>0.13225809999999999</v>
      </c>
      <c r="F3" s="21">
        <f>frac_mam_24_59months * 2.6</f>
        <v>9.1290940000000001E-2</v>
      </c>
    </row>
    <row r="4" spans="1:6" ht="15.75" customHeight="1" x14ac:dyDescent="0.25">
      <c r="A4" s="3" t="s">
        <v>208</v>
      </c>
      <c r="B4" s="21">
        <f>frac_sam_1month * 2.6</f>
        <v>0.19439290000000001</v>
      </c>
      <c r="C4" s="21">
        <f>frac_sam_1_5months * 2.6</f>
        <v>0.19439290000000001</v>
      </c>
      <c r="D4" s="21">
        <f>frac_sam_6_11months * 2.6</f>
        <v>0.12070370000000001</v>
      </c>
      <c r="E4" s="21">
        <f>frac_sam_12_23months * 2.6</f>
        <v>5.3483820000000001E-2</v>
      </c>
      <c r="F4" s="21">
        <f>frac_sam_24_59months * 2.6</f>
        <v>3.3792200000000001E-2</v>
      </c>
    </row>
  </sheetData>
  <sheetProtection algorithmName="SHA-512" hashValue="7OFElIFelEOtB0zjklFAm5HR02Ji3Ch1LGIbdm6yqhaoYn6g5nxcLt10ke6m6kHyIn+xQm4ITMAGWw8NseuQMA==" saltValue="PLfsnL3zUqyBnhvqSToSl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3.9E-2</v>
      </c>
      <c r="E2" s="60">
        <f>food_insecure</f>
        <v>3.9E-2</v>
      </c>
      <c r="F2" s="60">
        <f>food_insecure</f>
        <v>3.9E-2</v>
      </c>
      <c r="G2" s="60">
        <f>food_insecure</f>
        <v>3.9E-2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3.9E-2</v>
      </c>
      <c r="F5" s="60">
        <f>food_insecure</f>
        <v>3.9E-2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3.9E-2</v>
      </c>
      <c r="F8" s="60">
        <f>food_insecure</f>
        <v>3.9E-2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3.9E-2</v>
      </c>
      <c r="F9" s="60">
        <f>food_insecure</f>
        <v>3.9E-2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3.9E-2</v>
      </c>
      <c r="I15" s="60">
        <f>food_insecure</f>
        <v>3.9E-2</v>
      </c>
      <c r="J15" s="60">
        <f>food_insecure</f>
        <v>3.9E-2</v>
      </c>
      <c r="K15" s="60">
        <f>food_insecure</f>
        <v>3.9E-2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2.1600000000000001E-2</v>
      </c>
      <c r="I19" s="60">
        <f>frac_malaria_risk</f>
        <v>2.1600000000000001E-2</v>
      </c>
      <c r="J19" s="60">
        <f>frac_malaria_risk</f>
        <v>2.1600000000000001E-2</v>
      </c>
      <c r="K19" s="60">
        <f>frac_malaria_risk</f>
        <v>2.1600000000000001E-2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</v>
      </c>
      <c r="M24" s="60">
        <f>famplan_unmet_need</f>
        <v>0.1</v>
      </c>
      <c r="N24" s="60">
        <f>famplan_unmet_need</f>
        <v>0.1</v>
      </c>
      <c r="O24" s="60">
        <f>famplan_unmet_need</f>
        <v>0.1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5.3804519999999988E-2</v>
      </c>
      <c r="M25" s="60">
        <f>(1-food_insecure)*(0.49)+food_insecure*(0.7)</f>
        <v>0.49818999999999997</v>
      </c>
      <c r="N25" s="60">
        <f>(1-food_insecure)*(0.49)+food_insecure*(0.7)</f>
        <v>0.49818999999999997</v>
      </c>
      <c r="O25" s="60">
        <f>(1-food_insecure)*(0.49)+food_insecure*(0.7)</f>
        <v>0.49818999999999997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2.3059079999999996E-2</v>
      </c>
      <c r="M26" s="60">
        <f>(1-food_insecure)*(0.21)+food_insecure*(0.3)</f>
        <v>0.21350999999999998</v>
      </c>
      <c r="N26" s="60">
        <f>(1-food_insecure)*(0.21)+food_insecure*(0.3)</f>
        <v>0.21350999999999998</v>
      </c>
      <c r="O26" s="60">
        <f>(1-food_insecure)*(0.21)+food_insecure*(0.3)</f>
        <v>0.21350999999999998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3.1136399999999995E-2</v>
      </c>
      <c r="M27" s="60">
        <f>(1-food_insecure)*(0.3)</f>
        <v>0.2883</v>
      </c>
      <c r="N27" s="60">
        <f>(1-food_insecure)*(0.3)</f>
        <v>0.2883</v>
      </c>
      <c r="O27" s="60">
        <f>(1-food_insecure)*(0.3)</f>
        <v>0.2883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0.89200000000000002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2.1600000000000001E-2</v>
      </c>
      <c r="D34" s="60">
        <f t="shared" si="3"/>
        <v>2.1600000000000001E-2</v>
      </c>
      <c r="E34" s="60">
        <f t="shared" si="3"/>
        <v>2.1600000000000001E-2</v>
      </c>
      <c r="F34" s="60">
        <f t="shared" si="3"/>
        <v>2.1600000000000001E-2</v>
      </c>
      <c r="G34" s="60">
        <f t="shared" si="3"/>
        <v>2.1600000000000001E-2</v>
      </c>
      <c r="H34" s="60">
        <f t="shared" si="3"/>
        <v>2.1600000000000001E-2</v>
      </c>
      <c r="I34" s="60">
        <f t="shared" si="3"/>
        <v>2.1600000000000001E-2</v>
      </c>
      <c r="J34" s="60">
        <f t="shared" si="3"/>
        <v>2.1600000000000001E-2</v>
      </c>
      <c r="K34" s="60">
        <f t="shared" si="3"/>
        <v>2.1600000000000001E-2</v>
      </c>
      <c r="L34" s="60">
        <f t="shared" si="3"/>
        <v>2.1600000000000001E-2</v>
      </c>
      <c r="M34" s="60">
        <f t="shared" si="3"/>
        <v>2.1600000000000001E-2</v>
      </c>
      <c r="N34" s="60">
        <f t="shared" si="3"/>
        <v>2.1600000000000001E-2</v>
      </c>
      <c r="O34" s="60">
        <f t="shared" si="3"/>
        <v>2.1600000000000001E-2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A7FQC4ZOevxfOSEhE8UIYbHHWnWFKKce2TqLMdUgN5hyuQSKZDE4BCtU6rJvlYEHrUJUkos0fJmm34gf71CLA==" saltValue="jp3D6JHkTpkrSB6Ow7AR7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rk+8ofMxTGpROFfLqiJmTga8eXsmS0SIzuBmnrlNU97z1LPUgjdQ7XfaDnrI62qDotD8+qd5XdJFqTTThFW1rQ==" saltValue="jGpI1QxW9LdvdVmT0Ydai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mgmAzKdJoqDwG5KM7kQpCiw8EuSX5gMyZxU8pW2dUnl0R3S5Gr5Qo8XayLHH4K/sGEc8roJZJT+RV6Cj287suA==" saltValue="AHMvViQaUhyjPtdxpz5oh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PsH2bqkEcVUgTlAo0YQPU0pzMZF9UTEmrLbHdwwPZiyaJoQSnFb3Ny9JPiIqMbKzuGzvrHHQVsby3BnZjbAuA==" saltValue="chDtC455Ao70XxgZMwwL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8N8i/kTht4Y2xCCNEpxjTC7YadiS30LxIvMnbR0XMcIdfEXSiSplvoL+nimEMk+l8iukMKlqMdHsVW9SD5nk5w==" saltValue="tUfwcwVywc98B52VZgLHN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QNSdeeG36GMVDivCp6CfFDIK9paRkPEf3sddjXwCcYEUh4bgzwrS8Flo53uSo9Dk4joLgDQabWsuLKUd1Sax6Q==" saltValue="6fJ9KTRTCSZD+FD/Cz/Vz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8OIWfUy15lX/F6A35mlbw8bB8EEUlrhA/E8EsnxcRECVUHA/4bhtEjEE0A4So0Q5bZlPZ+/pHUS3ZrWW9KVURQ==" saltValue="ZypXfQx0+5dVWpwDZyGma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r02DipZEaddFJgWMrbkeFGXnDBRYZe8UwogmQaL6rU8jbB2GWYvhYtHRQIqQtdernniLMVm9GDN/4Vsac+8Lg==" saltValue="DY7L34NprlOo8u0AtCui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orACwY1ypFO3FaVgByjcwk/YwEQLU76XWmNb0tuslT6vIate0WKaGbnzqcfj96hwEISiBgtXQ75U9ysKenBPA==" saltValue="EYqGIRzqlHyuDOB4crqf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sVVNF8/VBKxe43POWQysEWvs56oAdG/IP2PKVek5XIfbaeFDCCnPgoER9/U3qibJerVDZoPuHPJUxStwneWJlg==" saltValue="igEFFMytXwBkaNNKooBc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RL905cB6Q4DEpwW1qkjNoJVdkN21hzfGPZ0VweQ41u3PVIm7ht4bwJTcYcxZ1YA4tPJLy8b2giT3oJPpY2CnA==" saltValue="kw/7c+J40eFCOL4rKCf6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lXoj6L1fykYl13GYqT85m6lU08JJ/lywk36Kse4Rf1g2wvYEwzpah0AdfoCQgv4hF/il7/PwEUuomEgQTjvfig==" saltValue="zHmlVHn0dkjcirFQwYOz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BeoA9snaq172UhMdKw6elStG69h5pCqvqYzxkQxEhn27bT+8CGchFdCH7h8pXHZ7moi9elFcyixXKC0KvOWCBA==" saltValue="XDcUUmnDuvi+ELJTS45y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0.10543171259957373</v>
      </c>
      <c r="G18" s="90">
        <f>MIN(MAX(1-0.89/(1-frac_sam_12_23months+(frac_sam_12_23months*0.89)),0),1)</f>
        <v>0.10798156119309177</v>
      </c>
      <c r="H18" s="90">
        <f>MIN(MAX(1-0.89/(1-frac_sam_24_59months+(frac_sam_24_59months*0.89)),0),1)</f>
        <v>0.10872577197441857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0.10206683773362857</v>
      </c>
      <c r="G20" s="90">
        <f>MIN(MAX(1-0.89/(1-frac_mam_12_23months+(frac_mam_12_23months*0.89)),0),1)</f>
        <v>0.10499195113730708</v>
      </c>
      <c r="H20" s="90">
        <f>MIN(MAX(1-0.89/(1-frac_mam_24_59months+(frac_mam_24_59months*0.89)),0),1)</f>
        <v>0.10654921699976116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9.5401839827130575E-3</v>
      </c>
      <c r="G73" s="90">
        <f>MIN(MAX(1-0.99/(1-frac_sam_12_23months+(frac_sam_12_23months*0.99)),0),1)</f>
        <v>9.7963081691645471E-3</v>
      </c>
      <c r="H73" s="90">
        <f>MIN(MAX(1-0.99/(1-frac_sam_24_59months+(frac_sam_24_59months*0.99)),0),1)</f>
        <v>9.8713129745472417E-3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9.2042185890610639E-3</v>
      </c>
      <c r="G75" s="90">
        <f>MIN(MAX(1-0.99/(1-frac_mam_12_23months+(frac_mam_12_23months*0.99)),0),1)</f>
        <v>9.496145546797452E-3</v>
      </c>
      <c r="H75" s="90">
        <f>MIN(MAX(1-0.99/(1-frac_mam_24_59months+(frac_mam_24_59months*0.99)),0),1)</f>
        <v>9.6522700954236873E-3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0.19250246614793698</v>
      </c>
      <c r="G128" s="90">
        <f>MIN(MAX(1-0.8/(1-frac_sam_12_23months+(frac_sam_12_23months*0.8)),0),1)</f>
        <v>0.19669509114227191</v>
      </c>
      <c r="H128" s="90">
        <f>MIN(MAX(1-0.8/(1-frac_sam_24_59months+(frac_sam_24_59months*0.8)),0),1)</f>
        <v>0.19791506040802453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0.18693941759576105</v>
      </c>
      <c r="G130" s="90">
        <f>MIN(MAX(1-0.8/(1-frac_mam_12_23months+(frac_mam_12_23months*0.8)),0),1)</f>
        <v>0.19177738558775415</v>
      </c>
      <c r="H130" s="90">
        <f>MIN(MAX(1-0.8/(1-frac_mam_24_59months+(frac_mam_24_59months*0.8)),0),1)</f>
        <v>0.19434236594375609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43oD+biZLmk20IFjm7cJFJlWOW+59MdWZIdNtoakJ+ssNV4Ky9JRXfTp+SZ2oUnvLL4X9bBY06qFHHCbALXCA==" saltValue="L2G84YVdy4zCHBVYl1Kl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RjzzDKfbDFUvnT6TNjfEVNhWRGCPQec965Z7Y/N4pYkz0ak5/Z6mBz7XPP29xidklhyigbBdTq+T1IcojzdIJg==" saltValue="x82VkzulbgkI80Qj4ybYU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2024-08-06T09:39:13Z</dcterms:modified>
</cp:coreProperties>
</file>