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7CE338B4-7D56-4129-89E4-0325EA9AC736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<sst xmlns="http://schemas.openxmlformats.org/spreadsheetml/2006/main" count="2102" uniqueCount="337">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</sst>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4307000.125</v>
      </c>
    </row>
    <row r="8" spans="1:3" ht="15" customHeight="1" x14ac:dyDescent="0.25">
      <c r="B8" s="5" t="s">
        <v>19</v>
      </c>
      <c r="C8" s="44">
        <v>0.49700000000000011</v>
      </c>
    </row>
    <row r="9" spans="1:3" ht="15" customHeight="1" x14ac:dyDescent="0.25">
      <c r="B9" s="5" t="s">
        <v>20</v>
      </c>
      <c r="C9" s="45">
        <v>0.9</v>
      </c>
    </row>
    <row r="10" spans="1:3" ht="15" customHeight="1" x14ac:dyDescent="0.25">
      <c r="B10" s="5" t="s">
        <v>21</v>
      </c>
      <c r="C10" s="45">
        <v>0.58430000000000004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8.1000000000000003E-2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3.4700000000000002E-2</v>
      </c>
    </row>
    <row r="24" spans="1:3" ht="15" customHeight="1" x14ac:dyDescent="0.25">
      <c r="B24" s="15" t="s">
        <v>33</v>
      </c>
      <c r="C24" s="45">
        <v>0.47039999999999998</v>
      </c>
    </row>
    <row r="25" spans="1:3" ht="15" customHeight="1" x14ac:dyDescent="0.25">
      <c r="B25" s="15" t="s">
        <v>34</v>
      </c>
      <c r="C25" s="45">
        <v>0.44009999999999999</v>
      </c>
    </row>
    <row r="26" spans="1:3" ht="15" customHeight="1" x14ac:dyDescent="0.25">
      <c r="B26" s="15" t="s">
        <v>35</v>
      </c>
      <c r="C26" s="45">
        <v>5.4799999999999988E-2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0.18152033947509999</v>
      </c>
    </row>
    <row r="30" spans="1:3" ht="14.25" customHeight="1" x14ac:dyDescent="0.25">
      <c r="B30" s="25" t="s">
        <v>38</v>
      </c>
      <c r="C30" s="99">
        <v>6.3697307314517504E-2</v>
      </c>
    </row>
    <row r="31" spans="1:3" ht="14.25" customHeight="1" x14ac:dyDescent="0.25">
      <c r="B31" s="25" t="s">
        <v>39</v>
      </c>
      <c r="C31" s="99">
        <v>0.122289508790448</v>
      </c>
    </row>
    <row r="32" spans="1:3" ht="14.25" customHeight="1" x14ac:dyDescent="0.25">
      <c r="B32" s="25" t="s">
        <v>40</v>
      </c>
      <c r="C32" s="99">
        <v>0.63249284441993503</v>
      </c>
    </row>
    <row r="33" spans="1:5" ht="13" customHeight="1" x14ac:dyDescent="0.25">
      <c r="B33" s="27" t="s">
        <v>41</v>
      </c>
      <c r="C33" s="48">
        <f>SUM(C29:C32)</f>
        <v>1.0000000000000004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33.42812</v>
      </c>
    </row>
    <row r="38" spans="1:5" ht="15" customHeight="1" x14ac:dyDescent="0.25">
      <c r="B38" s="11" t="s">
        <v>45</v>
      </c>
      <c r="C38" s="43">
        <v>61.631399999999999</v>
      </c>
      <c r="D38" s="12"/>
      <c r="E38" s="13"/>
    </row>
    <row r="39" spans="1:5" ht="15" customHeight="1" x14ac:dyDescent="0.25">
      <c r="B39" s="11" t="s">
        <v>46</v>
      </c>
      <c r="C39" s="43">
        <v>97.066919999999996</v>
      </c>
      <c r="D39" s="12"/>
      <c r="E39" s="12"/>
    </row>
    <row r="40" spans="1:5" ht="15" customHeight="1" x14ac:dyDescent="0.25">
      <c r="B40" s="11" t="s">
        <v>47</v>
      </c>
      <c r="C40" s="100">
        <v>4.4000000000000004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23.383109999999999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5.2124000000000007E-3</v>
      </c>
      <c r="D45" s="12"/>
    </row>
    <row r="46" spans="1:5" ht="15.75" customHeight="1" x14ac:dyDescent="0.25">
      <c r="B46" s="11" t="s">
        <v>52</v>
      </c>
      <c r="C46" s="45">
        <v>5.6006399999999998E-2</v>
      </c>
      <c r="D46" s="12"/>
    </row>
    <row r="47" spans="1:5" ht="15.75" customHeight="1" x14ac:dyDescent="0.25">
      <c r="B47" s="11" t="s">
        <v>53</v>
      </c>
      <c r="C47" s="45">
        <v>7.6044899999999999E-2</v>
      </c>
      <c r="D47" s="12"/>
      <c r="E47" s="13"/>
    </row>
    <row r="48" spans="1:5" ht="15" customHeight="1" x14ac:dyDescent="0.25">
      <c r="B48" s="11" t="s">
        <v>54</v>
      </c>
      <c r="C48" s="46">
        <v>0.86273630000000001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3.3</v>
      </c>
      <c r="D51" s="12"/>
    </row>
    <row r="52" spans="1:4" ht="15" customHeight="1" x14ac:dyDescent="0.25">
      <c r="B52" s="11" t="s">
        <v>57</v>
      </c>
      <c r="C52" s="100">
        <v>3.3</v>
      </c>
    </row>
    <row r="53" spans="1:4" ht="15.75" customHeight="1" x14ac:dyDescent="0.25">
      <c r="B53" s="11" t="s">
        <v>58</v>
      </c>
      <c r="C53" s="100">
        <v>3.3</v>
      </c>
    </row>
    <row r="54" spans="1:4" ht="15.75" customHeight="1" x14ac:dyDescent="0.25">
      <c r="B54" s="11" t="s">
        <v>59</v>
      </c>
      <c r="C54" s="100">
        <v>3.3</v>
      </c>
    </row>
    <row r="55" spans="1:4" ht="15.75" customHeight="1" x14ac:dyDescent="0.25">
      <c r="B55" s="11" t="s">
        <v>60</v>
      </c>
      <c r="C55" s="100">
        <v>3.3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2.181818181818182E-2</v>
      </c>
    </row>
    <row r="59" spans="1:4" ht="15.75" customHeight="1" x14ac:dyDescent="0.25">
      <c r="B59" s="11" t="s">
        <v>63</v>
      </c>
      <c r="C59" s="45">
        <v>0.40586299999999997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DyiUJJ109VD1IE8SISfSLNavLlCZ5Za5gty4VtrkryllkDL4rM0siwp7D3bGd7r1C2tHiZkHZY8L/wYKAi4BaQ==" saltValue="9lR7dA3kEIp47DTCYz2PA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756</v>
      </c>
      <c r="C2" s="49">
        <v>2380</v>
      </c>
      <c r="D2" s="49">
        <v>2766</v>
      </c>
      <c r="E2" s="49">
        <v>2982.5</v>
      </c>
      <c r="F2" s="49">
        <v>2682.5</v>
      </c>
      <c r="G2" s="17">
        <f t="shared" ref="G2:G13" si="0">C2+D2+E2+F2</f>
        <v>10811</v>
      </c>
      <c r="H2" s="17">
        <f t="shared" ref="H2:H13" si="1">(B2 + stillbirth*B2/(1000-stillbirth))/(1-abortion)</f>
        <v>879.66009792325951</v>
      </c>
      <c r="I2" s="17">
        <f t="shared" ref="I2:I13" si="2">G2-H2</f>
        <v>9931.3399020767411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751</v>
      </c>
      <c r="C3" s="50">
        <v>2482</v>
      </c>
      <c r="D3" s="50">
        <v>2880.5</v>
      </c>
      <c r="E3" s="50">
        <v>2871</v>
      </c>
      <c r="F3" s="50">
        <v>2753.5</v>
      </c>
      <c r="G3" s="17">
        <f t="shared" si="0"/>
        <v>10987</v>
      </c>
      <c r="H3" s="17">
        <f t="shared" si="1"/>
        <v>873.84224013276173</v>
      </c>
      <c r="I3" s="17">
        <f t="shared" si="2"/>
        <v>10113.157759867237</v>
      </c>
    </row>
    <row r="4" spans="1:9" ht="15.75" customHeight="1" x14ac:dyDescent="0.25">
      <c r="A4" s="5">
        <f t="shared" si="3"/>
        <v>2026</v>
      </c>
      <c r="B4" s="49">
        <v>751</v>
      </c>
      <c r="C4" s="50">
        <v>2569.5</v>
      </c>
      <c r="D4" s="50">
        <v>2997</v>
      </c>
      <c r="E4" s="50">
        <v>2758</v>
      </c>
      <c r="F4" s="50">
        <v>2812.5</v>
      </c>
      <c r="G4" s="17">
        <f t="shared" si="0"/>
        <v>11137</v>
      </c>
      <c r="H4" s="17">
        <f t="shared" si="1"/>
        <v>873.84224013276173</v>
      </c>
      <c r="I4" s="17">
        <f t="shared" si="2"/>
        <v>10263.157759867237</v>
      </c>
    </row>
    <row r="5" spans="1:9" ht="15.75" customHeight="1" x14ac:dyDescent="0.25">
      <c r="A5" s="5">
        <f t="shared" si="3"/>
        <v>2027</v>
      </c>
      <c r="B5" s="49">
        <v>758</v>
      </c>
      <c r="C5" s="50">
        <v>2646</v>
      </c>
      <c r="D5" s="50">
        <v>3108</v>
      </c>
      <c r="E5" s="50">
        <v>2657.5</v>
      </c>
      <c r="F5" s="50">
        <v>2879</v>
      </c>
      <c r="G5" s="17">
        <f t="shared" si="0"/>
        <v>11290.5</v>
      </c>
      <c r="H5" s="17">
        <f t="shared" si="1"/>
        <v>881.98724103945858</v>
      </c>
      <c r="I5" s="17">
        <f t="shared" si="2"/>
        <v>10408.512758960542</v>
      </c>
    </row>
    <row r="6" spans="1:9" ht="15.75" customHeight="1" x14ac:dyDescent="0.25">
      <c r="A6" s="5">
        <f t="shared" si="3"/>
        <v>2028</v>
      </c>
      <c r="B6" s="49">
        <v>764</v>
      </c>
      <c r="C6" s="50">
        <v>2701.5</v>
      </c>
      <c r="D6" s="50">
        <v>3217.5</v>
      </c>
      <c r="E6" s="50">
        <v>2590.5</v>
      </c>
      <c r="F6" s="50">
        <v>2942.5</v>
      </c>
      <c r="G6" s="17">
        <f t="shared" si="0"/>
        <v>11452</v>
      </c>
      <c r="H6" s="17">
        <f t="shared" si="1"/>
        <v>888.96867038805578</v>
      </c>
      <c r="I6" s="17">
        <f t="shared" si="2"/>
        <v>10563.031329611944</v>
      </c>
    </row>
    <row r="7" spans="1:9" ht="15.75" customHeight="1" x14ac:dyDescent="0.25">
      <c r="A7" s="5">
        <f t="shared" si="3"/>
        <v>2029</v>
      </c>
      <c r="B7" s="49">
        <v>772</v>
      </c>
      <c r="C7" s="50">
        <v>2722</v>
      </c>
      <c r="D7" s="50">
        <v>3330.5</v>
      </c>
      <c r="E7" s="50">
        <v>2560</v>
      </c>
      <c r="F7" s="50">
        <v>2969.5</v>
      </c>
      <c r="G7" s="17">
        <f t="shared" si="0"/>
        <v>11582</v>
      </c>
      <c r="H7" s="17">
        <f t="shared" si="1"/>
        <v>898.27724285285228</v>
      </c>
      <c r="I7" s="17">
        <f t="shared" si="2"/>
        <v>10683.722757147149</v>
      </c>
    </row>
    <row r="8" spans="1:9" ht="15.75" customHeight="1" x14ac:dyDescent="0.25">
      <c r="A8" s="5">
        <f t="shared" si="3"/>
        <v>2030</v>
      </c>
      <c r="B8" s="49">
        <v>780</v>
      </c>
      <c r="C8" s="50">
        <v>2709.5</v>
      </c>
      <c r="D8" s="50">
        <v>3462</v>
      </c>
      <c r="E8" s="50">
        <v>2553</v>
      </c>
      <c r="F8" s="50">
        <v>2958</v>
      </c>
      <c r="G8" s="17">
        <f t="shared" si="0"/>
        <v>11682.5</v>
      </c>
      <c r="H8" s="17">
        <f t="shared" si="1"/>
        <v>907.58581531764855</v>
      </c>
      <c r="I8" s="17">
        <f t="shared" si="2"/>
        <v>10774.914184682351</v>
      </c>
    </row>
    <row r="9" spans="1:9" ht="15.75" customHeight="1" x14ac:dyDescent="0.25">
      <c r="A9" s="5">
        <f t="shared" si="3"/>
        <v>2031</v>
      </c>
      <c r="B9" s="49">
        <v>790</v>
      </c>
      <c r="C9" s="50">
        <v>2680</v>
      </c>
      <c r="D9" s="50">
        <v>3629.5</v>
      </c>
      <c r="E9" s="50">
        <v>2553</v>
      </c>
      <c r="F9" s="50">
        <v>2918.5</v>
      </c>
      <c r="G9" s="17">
        <f t="shared" si="0"/>
        <v>11781</v>
      </c>
      <c r="H9" s="17">
        <f t="shared" si="1"/>
        <v>919.22153089864412</v>
      </c>
      <c r="I9" s="17">
        <f t="shared" si="2"/>
        <v>10861.778469101357</v>
      </c>
    </row>
    <row r="10" spans="1:9" ht="15.75" customHeight="1" x14ac:dyDescent="0.25">
      <c r="A10" s="5">
        <f t="shared" si="3"/>
        <v>2032</v>
      </c>
      <c r="B10" s="49">
        <v>802</v>
      </c>
      <c r="C10" s="50">
        <v>2644</v>
      </c>
      <c r="D10" s="50">
        <v>3825.5</v>
      </c>
      <c r="E10" s="50">
        <v>2561.5</v>
      </c>
      <c r="F10" s="50">
        <v>2848</v>
      </c>
      <c r="G10" s="17">
        <f t="shared" si="0"/>
        <v>11879</v>
      </c>
      <c r="H10" s="17">
        <f t="shared" si="1"/>
        <v>933.18438959583875</v>
      </c>
      <c r="I10" s="17">
        <f t="shared" si="2"/>
        <v>10945.815610404161</v>
      </c>
    </row>
    <row r="11" spans="1:9" ht="15.75" customHeight="1" x14ac:dyDescent="0.25">
      <c r="A11" s="5">
        <f t="shared" si="3"/>
        <v>2033</v>
      </c>
      <c r="B11" s="49">
        <v>813</v>
      </c>
      <c r="C11" s="50">
        <v>2604</v>
      </c>
      <c r="D11" s="50">
        <v>4008.5</v>
      </c>
      <c r="E11" s="50">
        <v>2601.5</v>
      </c>
      <c r="F11" s="50">
        <v>2748</v>
      </c>
      <c r="G11" s="17">
        <f t="shared" si="0"/>
        <v>11962</v>
      </c>
      <c r="H11" s="17">
        <f t="shared" si="1"/>
        <v>945.98367673493374</v>
      </c>
      <c r="I11" s="17">
        <f t="shared" si="2"/>
        <v>11016.016323265067</v>
      </c>
    </row>
    <row r="12" spans="1:9" ht="15.75" customHeight="1" x14ac:dyDescent="0.25">
      <c r="A12" s="5">
        <f t="shared" si="3"/>
        <v>2034</v>
      </c>
      <c r="B12" s="49">
        <v>818</v>
      </c>
      <c r="C12" s="50">
        <v>2557</v>
      </c>
      <c r="D12" s="50">
        <v>4139</v>
      </c>
      <c r="E12" s="50">
        <v>2684</v>
      </c>
      <c r="F12" s="50">
        <v>2629</v>
      </c>
      <c r="G12" s="17">
        <f t="shared" si="0"/>
        <v>12009</v>
      </c>
      <c r="H12" s="17">
        <f t="shared" si="1"/>
        <v>951.80153452543152</v>
      </c>
      <c r="I12" s="17">
        <f t="shared" si="2"/>
        <v>11057.198465474568</v>
      </c>
    </row>
    <row r="13" spans="1:9" ht="15.75" customHeight="1" x14ac:dyDescent="0.25">
      <c r="A13" s="5">
        <f t="shared" si="3"/>
        <v>2035</v>
      </c>
      <c r="B13" s="49">
        <v>827</v>
      </c>
      <c r="C13" s="50">
        <v>2501.5</v>
      </c>
      <c r="D13" s="50">
        <v>4221.5</v>
      </c>
      <c r="E13" s="50">
        <v>2797</v>
      </c>
      <c r="F13" s="50">
        <v>2511</v>
      </c>
      <c r="G13" s="17">
        <f t="shared" si="0"/>
        <v>12031</v>
      </c>
      <c r="H13" s="17">
        <f t="shared" si="1"/>
        <v>962.27367854832744</v>
      </c>
      <c r="I13" s="17">
        <f t="shared" si="2"/>
        <v>11068.726321451673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bggpDMZ6qNtQ7d6Ew67GmO2rFVwV4l5/rPHCOTF4pywdKkL/7YEIaP3ZT9bq/DI4fwfuMKM92iZ3I8skPcsMtw==" saltValue="ri0TzvQbcU8J7j8pQfJIJ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2.5390799999999981E-2</v>
      </c>
    </row>
    <row r="4" spans="1:8" ht="15.75" customHeight="1" x14ac:dyDescent="0.25">
      <c r="B4" s="19" t="s">
        <v>79</v>
      </c>
      <c r="C4" s="101">
        <v>6.3736599999999907E-2</v>
      </c>
    </row>
    <row r="5" spans="1:8" ht="15.75" customHeight="1" x14ac:dyDescent="0.25">
      <c r="B5" s="19" t="s">
        <v>80</v>
      </c>
      <c r="C5" s="101">
        <v>0.1035504000000001</v>
      </c>
    </row>
    <row r="6" spans="1:8" ht="15.75" customHeight="1" x14ac:dyDescent="0.25">
      <c r="B6" s="19" t="s">
        <v>81</v>
      </c>
      <c r="C6" s="101">
        <v>0.24952009999999991</v>
      </c>
    </row>
    <row r="7" spans="1:8" ht="15.75" customHeight="1" x14ac:dyDescent="0.25">
      <c r="B7" s="19" t="s">
        <v>82</v>
      </c>
      <c r="C7" s="101">
        <v>0.38443950000000021</v>
      </c>
    </row>
    <row r="8" spans="1:8" ht="15.75" customHeight="1" x14ac:dyDescent="0.25">
      <c r="B8" s="19" t="s">
        <v>83</v>
      </c>
      <c r="C8" s="101">
        <v>6.0205000000000067E-3</v>
      </c>
    </row>
    <row r="9" spans="1:8" ht="15.75" customHeight="1" x14ac:dyDescent="0.25">
      <c r="B9" s="19" t="s">
        <v>84</v>
      </c>
      <c r="C9" s="101">
        <v>5.4902399999999983E-2</v>
      </c>
    </row>
    <row r="10" spans="1:8" ht="15.75" customHeight="1" x14ac:dyDescent="0.25">
      <c r="B10" s="19" t="s">
        <v>85</v>
      </c>
      <c r="C10" s="101">
        <v>0.11243969999999991</v>
      </c>
    </row>
    <row r="11" spans="1:8" ht="15.75" customHeight="1" x14ac:dyDescent="0.25">
      <c r="B11" s="27" t="s">
        <v>41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0.1974429952143161</v>
      </c>
      <c r="D14" s="55">
        <v>0.1974429952143161</v>
      </c>
      <c r="E14" s="55">
        <v>0.1974429952143161</v>
      </c>
      <c r="F14" s="55">
        <v>0.1974429952143161</v>
      </c>
    </row>
    <row r="15" spans="1:8" ht="15.75" customHeight="1" x14ac:dyDescent="0.25">
      <c r="B15" s="19" t="s">
        <v>88</v>
      </c>
      <c r="C15" s="101">
        <v>0.2947634005842989</v>
      </c>
      <c r="D15" s="101">
        <v>0.2947634005842989</v>
      </c>
      <c r="E15" s="101">
        <v>0.2947634005842989</v>
      </c>
      <c r="F15" s="101">
        <v>0.2947634005842989</v>
      </c>
    </row>
    <row r="16" spans="1:8" ht="15.75" customHeight="1" x14ac:dyDescent="0.25">
      <c r="B16" s="19" t="s">
        <v>89</v>
      </c>
      <c r="C16" s="101">
        <v>3.2142176249219757E-2</v>
      </c>
      <c r="D16" s="101">
        <v>3.2142176249219757E-2</v>
      </c>
      <c r="E16" s="101">
        <v>3.2142176249219757E-2</v>
      </c>
      <c r="F16" s="101">
        <v>3.2142176249219757E-2</v>
      </c>
    </row>
    <row r="17" spans="1:8" ht="15.75" customHeight="1" x14ac:dyDescent="0.25">
      <c r="B17" s="19" t="s">
        <v>90</v>
      </c>
      <c r="C17" s="101">
        <v>3.1880501168348979E-2</v>
      </c>
      <c r="D17" s="101">
        <v>3.1880501168348979E-2</v>
      </c>
      <c r="E17" s="101">
        <v>3.1880501168348979E-2</v>
      </c>
      <c r="F17" s="101">
        <v>3.1880501168348979E-2</v>
      </c>
    </row>
    <row r="18" spans="1:8" ht="15.75" customHeight="1" x14ac:dyDescent="0.25">
      <c r="B18" s="19" t="s">
        <v>91</v>
      </c>
      <c r="C18" s="101">
        <v>0.16534944985290101</v>
      </c>
      <c r="D18" s="101">
        <v>0.16534944985290101</v>
      </c>
      <c r="E18" s="101">
        <v>0.16534944985290101</v>
      </c>
      <c r="F18" s="101">
        <v>0.16534944985290101</v>
      </c>
    </row>
    <row r="19" spans="1:8" ht="15.75" customHeight="1" x14ac:dyDescent="0.25">
      <c r="B19" s="19" t="s">
        <v>92</v>
      </c>
      <c r="C19" s="101">
        <v>1.8349752001866389E-2</v>
      </c>
      <c r="D19" s="101">
        <v>1.8349752001866389E-2</v>
      </c>
      <c r="E19" s="101">
        <v>1.8349752001866389E-2</v>
      </c>
      <c r="F19" s="101">
        <v>1.8349752001866389E-2</v>
      </c>
    </row>
    <row r="20" spans="1:8" ht="15.75" customHeight="1" x14ac:dyDescent="0.25">
      <c r="B20" s="19" t="s">
        <v>93</v>
      </c>
      <c r="C20" s="101">
        <v>1.5672880574274729E-2</v>
      </c>
      <c r="D20" s="101">
        <v>1.5672880574274729E-2</v>
      </c>
      <c r="E20" s="101">
        <v>1.5672880574274729E-2</v>
      </c>
      <c r="F20" s="101">
        <v>1.5672880574274729E-2</v>
      </c>
    </row>
    <row r="21" spans="1:8" ht="15.75" customHeight="1" x14ac:dyDescent="0.25">
      <c r="B21" s="19" t="s">
        <v>94</v>
      </c>
      <c r="C21" s="101">
        <v>7.5533540386639578E-2</v>
      </c>
      <c r="D21" s="101">
        <v>7.5533540386639578E-2</v>
      </c>
      <c r="E21" s="101">
        <v>7.5533540386639578E-2</v>
      </c>
      <c r="F21" s="101">
        <v>7.5533540386639578E-2</v>
      </c>
    </row>
    <row r="22" spans="1:8" ht="15.75" customHeight="1" x14ac:dyDescent="0.25">
      <c r="B22" s="19" t="s">
        <v>95</v>
      </c>
      <c r="C22" s="101">
        <v>0.16886530396813459</v>
      </c>
      <c r="D22" s="101">
        <v>0.16886530396813459</v>
      </c>
      <c r="E22" s="101">
        <v>0.16886530396813459</v>
      </c>
      <c r="F22" s="101">
        <v>0.16886530396813459</v>
      </c>
    </row>
    <row r="23" spans="1:8" ht="15.75" customHeight="1" x14ac:dyDescent="0.25">
      <c r="B23" s="27" t="s">
        <v>41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8.8798472000000003E-2</v>
      </c>
    </row>
    <row r="27" spans="1:8" ht="15.75" customHeight="1" x14ac:dyDescent="0.25">
      <c r="B27" s="19" t="s">
        <v>102</v>
      </c>
      <c r="C27" s="101">
        <v>8.9405939999999996E-3</v>
      </c>
    </row>
    <row r="28" spans="1:8" ht="15.75" customHeight="1" x14ac:dyDescent="0.25">
      <c r="B28" s="19" t="s">
        <v>103</v>
      </c>
      <c r="C28" s="101">
        <v>0.15585153099999999</v>
      </c>
    </row>
    <row r="29" spans="1:8" ht="15.75" customHeight="1" x14ac:dyDescent="0.25">
      <c r="B29" s="19" t="s">
        <v>104</v>
      </c>
      <c r="C29" s="101">
        <v>0.170199079</v>
      </c>
    </row>
    <row r="30" spans="1:8" ht="15.75" customHeight="1" x14ac:dyDescent="0.25">
      <c r="B30" s="19" t="s">
        <v>2</v>
      </c>
      <c r="C30" s="101">
        <v>0.10628299300000001</v>
      </c>
    </row>
    <row r="31" spans="1:8" ht="15.75" customHeight="1" x14ac:dyDescent="0.25">
      <c r="B31" s="19" t="s">
        <v>105</v>
      </c>
      <c r="C31" s="101">
        <v>0.108972139</v>
      </c>
    </row>
    <row r="32" spans="1:8" ht="15.75" customHeight="1" x14ac:dyDescent="0.25">
      <c r="B32" s="19" t="s">
        <v>106</v>
      </c>
      <c r="C32" s="101">
        <v>1.8807035E-2</v>
      </c>
    </row>
    <row r="33" spans="2:3" ht="15.75" customHeight="1" x14ac:dyDescent="0.25">
      <c r="B33" s="19" t="s">
        <v>107</v>
      </c>
      <c r="C33" s="101">
        <v>8.4353397999999996E-2</v>
      </c>
    </row>
    <row r="34" spans="2:3" ht="15.75" customHeight="1" x14ac:dyDescent="0.25">
      <c r="B34" s="19" t="s">
        <v>108</v>
      </c>
      <c r="C34" s="101">
        <v>0.25779475800000001</v>
      </c>
    </row>
    <row r="35" spans="2:3" ht="15.75" customHeight="1" x14ac:dyDescent="0.25">
      <c r="B35" s="27" t="s">
        <v>41</v>
      </c>
      <c r="C35" s="48">
        <f>SUM(C26:C34)</f>
        <v>0.99999999899999992</v>
      </c>
    </row>
  </sheetData>
  <sheetProtection algorithmName="SHA-512" hashValue="b/Zcr0cN16blDXw1oBvHMA2R8R6O3107MYmLr8EvFg0y08UCXPCpr5ILdvABPX1H8CV4f/xBtAHWHJ6YsVHDfw==" saltValue="Av7QxfsoYV2IOWmvT9VC1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0.54739346550137002</v>
      </c>
      <c r="D2" s="52">
        <f>IFERROR(1-_xlfn.NORM.DIST(_xlfn.NORM.INV(SUM(D4:D5), 0, 1) + 1, 0, 1, TRUE), "")</f>
        <v>0.54739346550137002</v>
      </c>
      <c r="E2" s="52">
        <f>IFERROR(1-_xlfn.NORM.DIST(_xlfn.NORM.INV(SUM(E4:E5), 0, 1) + 1, 0, 1, TRUE), "")</f>
        <v>0.50953998493748198</v>
      </c>
      <c r="F2" s="52">
        <f>IFERROR(1-_xlfn.NORM.DIST(_xlfn.NORM.INV(SUM(F4:F5), 0, 1) + 1, 0, 1, TRUE), "")</f>
        <v>0.3111778409419268</v>
      </c>
      <c r="G2" s="52">
        <f>IFERROR(1-_xlfn.NORM.DIST(_xlfn.NORM.INV(SUM(G4:G5), 0, 1) + 1, 0, 1, TRUE), "")</f>
        <v>0.30991657300384834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0.32105323449862999</v>
      </c>
      <c r="D3" s="52">
        <f>IFERROR(_xlfn.NORM.DIST(_xlfn.NORM.INV(SUM(D4:D5), 0, 1) + 1, 0, 1, TRUE) - SUM(D4:D5), "")</f>
        <v>0.32105323449862999</v>
      </c>
      <c r="E3" s="52">
        <f>IFERROR(_xlfn.NORM.DIST(_xlfn.NORM.INV(SUM(E4:E5), 0, 1) + 1, 0, 1, TRUE) - SUM(E4:E5), "")</f>
        <v>0.33752241506251796</v>
      </c>
      <c r="F3" s="52">
        <f>IFERROR(_xlfn.NORM.DIST(_xlfn.NORM.INV(SUM(F4:F5), 0, 1) + 1, 0, 1, TRUE) - SUM(F4:F5), "")</f>
        <v>0.38291505905807321</v>
      </c>
      <c r="G3" s="52">
        <f>IFERROR(_xlfn.NORM.DIST(_xlfn.NORM.INV(SUM(G4:G5), 0, 1) + 1, 0, 1, TRUE) - SUM(G4:G5), "")</f>
        <v>0.38292222699615164</v>
      </c>
    </row>
    <row r="4" spans="1:15" ht="15.75" customHeight="1" x14ac:dyDescent="0.25">
      <c r="B4" s="5" t="s">
        <v>114</v>
      </c>
      <c r="C4" s="45">
        <v>7.3878100000000002E-2</v>
      </c>
      <c r="D4" s="53">
        <v>7.3878100000000002E-2</v>
      </c>
      <c r="E4" s="53">
        <v>0.1012653</v>
      </c>
      <c r="F4" s="53">
        <v>0.1960865</v>
      </c>
      <c r="G4" s="53">
        <v>0.18582750000000001</v>
      </c>
    </row>
    <row r="5" spans="1:15" ht="15.75" customHeight="1" x14ac:dyDescent="0.25">
      <c r="B5" s="5" t="s">
        <v>115</v>
      </c>
      <c r="C5" s="45">
        <v>5.7675200000000003E-2</v>
      </c>
      <c r="D5" s="53">
        <v>5.7675200000000003E-2</v>
      </c>
      <c r="E5" s="53">
        <v>5.1672299999999997E-2</v>
      </c>
      <c r="F5" s="53">
        <v>0.1098206</v>
      </c>
      <c r="G5" s="53">
        <v>0.1213337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0.61419750247711358</v>
      </c>
      <c r="D8" s="52">
        <f>IFERROR(1-_xlfn.NORM.DIST(_xlfn.NORM.INV(SUM(D10:D11), 0, 1) + 1, 0, 1, TRUE), "")</f>
        <v>0.61419750247711358</v>
      </c>
      <c r="E8" s="52">
        <f>IFERROR(1-_xlfn.NORM.DIST(_xlfn.NORM.INV(SUM(E10:E11), 0, 1) + 1, 0, 1, TRUE), "")</f>
        <v>0.49055498576664736</v>
      </c>
      <c r="F8" s="52">
        <f>IFERROR(1-_xlfn.NORM.DIST(_xlfn.NORM.INV(SUM(F10:F11), 0, 1) + 1, 0, 1, TRUE), "")</f>
        <v>0.5397151751639403</v>
      </c>
      <c r="G8" s="52">
        <f>IFERROR(1-_xlfn.NORM.DIST(_xlfn.NORM.INV(SUM(G10:G11), 0, 1) + 1, 0, 1, TRUE), "")</f>
        <v>0.71132217529866593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0.28732509752288643</v>
      </c>
      <c r="D9" s="52">
        <f>IFERROR(_xlfn.NORM.DIST(_xlfn.NORM.INV(SUM(D10:D11), 0, 1) + 1, 0, 1, TRUE) - SUM(D10:D11), "")</f>
        <v>0.28732509752288643</v>
      </c>
      <c r="E9" s="52">
        <f>IFERROR(_xlfn.NORM.DIST(_xlfn.NORM.INV(SUM(E10:E11), 0, 1) + 1, 0, 1, TRUE) - SUM(E10:E11), "")</f>
        <v>0.34499271423335265</v>
      </c>
      <c r="F9" s="52">
        <f>IFERROR(_xlfn.NORM.DIST(_xlfn.NORM.INV(SUM(F10:F11), 0, 1) + 1, 0, 1, TRUE) - SUM(F10:F11), "")</f>
        <v>0.32455692483605969</v>
      </c>
      <c r="G9" s="52">
        <f>IFERROR(_xlfn.NORM.DIST(_xlfn.NORM.INV(SUM(G10:G11), 0, 1) + 1, 0, 1, TRUE) - SUM(G10:G11), "")</f>
        <v>0.22897242470133408</v>
      </c>
    </row>
    <row r="10" spans="1:15" ht="15.75" customHeight="1" x14ac:dyDescent="0.25">
      <c r="B10" s="5" t="s">
        <v>119</v>
      </c>
      <c r="C10" s="45">
        <v>6.5348699999999996E-2</v>
      </c>
      <c r="D10" s="53">
        <v>6.5348699999999996E-2</v>
      </c>
      <c r="E10" s="53">
        <v>0.1254721</v>
      </c>
      <c r="F10" s="53">
        <v>9.1041399999999995E-2</v>
      </c>
      <c r="G10" s="53">
        <v>4.4466099999999988E-2</v>
      </c>
    </row>
    <row r="11" spans="1:15" ht="15.75" customHeight="1" x14ac:dyDescent="0.25">
      <c r="B11" s="5" t="s">
        <v>120</v>
      </c>
      <c r="C11" s="45">
        <v>3.3128699999999997E-2</v>
      </c>
      <c r="D11" s="53">
        <v>3.3128699999999997E-2</v>
      </c>
      <c r="E11" s="53">
        <v>3.89802E-2</v>
      </c>
      <c r="F11" s="53">
        <v>4.4686499999999997E-2</v>
      </c>
      <c r="G11" s="53">
        <v>1.5239300000000001E-2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0.55150138500000001</v>
      </c>
      <c r="D14" s="54">
        <v>0.53403163124999997</v>
      </c>
      <c r="E14" s="54">
        <v>0.53403163124999997</v>
      </c>
      <c r="F14" s="54">
        <v>0.32995192879599999</v>
      </c>
      <c r="G14" s="54">
        <v>0.32995192879599999</v>
      </c>
      <c r="H14" s="45">
        <v>0.58399999999999996</v>
      </c>
      <c r="I14" s="55">
        <v>0.58399999999999996</v>
      </c>
      <c r="J14" s="55">
        <v>0.58399999999999996</v>
      </c>
      <c r="K14" s="55">
        <v>0.58399999999999996</v>
      </c>
      <c r="L14" s="45">
        <v>0.503</v>
      </c>
      <c r="M14" s="55">
        <v>0.503</v>
      </c>
      <c r="N14" s="55">
        <v>0.503</v>
      </c>
      <c r="O14" s="55">
        <v>0.503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0.22383400662025499</v>
      </c>
      <c r="D15" s="52">
        <f t="shared" si="0"/>
        <v>0.21674367995401872</v>
      </c>
      <c r="E15" s="52">
        <f t="shared" si="0"/>
        <v>0.21674367995401872</v>
      </c>
      <c r="F15" s="52">
        <f t="shared" si="0"/>
        <v>0.13391527967693093</v>
      </c>
      <c r="G15" s="52">
        <f t="shared" si="0"/>
        <v>0.13391527967693093</v>
      </c>
      <c r="H15" s="52">
        <f t="shared" si="0"/>
        <v>0.23702399199999996</v>
      </c>
      <c r="I15" s="52">
        <f t="shared" si="0"/>
        <v>0.23702399199999996</v>
      </c>
      <c r="J15" s="52">
        <f t="shared" si="0"/>
        <v>0.23702399199999996</v>
      </c>
      <c r="K15" s="52">
        <f t="shared" si="0"/>
        <v>0.23702399199999996</v>
      </c>
      <c r="L15" s="52">
        <f t="shared" si="0"/>
        <v>0.20414908899999998</v>
      </c>
      <c r="M15" s="52">
        <f t="shared" si="0"/>
        <v>0.20414908899999998</v>
      </c>
      <c r="N15" s="52">
        <f t="shared" si="0"/>
        <v>0.20414908899999998</v>
      </c>
      <c r="O15" s="52">
        <f t="shared" si="0"/>
        <v>0.20414908899999998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7Z/PJiRMC6LIvOeoGPZw3ZVeNJwlQU17KFPUq93WDbuYzHKp2Zbtuet+f2Np7Pgf0LLRTCM+73kIQB9Obj/zyw==" saltValue="ashZjO3+WtszgsWaVaRnL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0.62072270000000007</v>
      </c>
      <c r="D2" s="53">
        <v>0.34721740000000001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0.26756039999999998</v>
      </c>
      <c r="D3" s="53">
        <v>0.48751299999999997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8.3577600000000002E-2</v>
      </c>
      <c r="D4" s="53">
        <v>0.1371406</v>
      </c>
      <c r="E4" s="53">
        <v>0.96463899999999991</v>
      </c>
      <c r="F4" s="53">
        <v>0.78567120000000001</v>
      </c>
      <c r="G4" s="53">
        <v>0</v>
      </c>
    </row>
    <row r="5" spans="1:7" x14ac:dyDescent="0.25">
      <c r="B5" s="3" t="s">
        <v>132</v>
      </c>
      <c r="C5" s="52">
        <v>2.8139399999999998E-2</v>
      </c>
      <c r="D5" s="52">
        <v>2.8129100000000001E-2</v>
      </c>
      <c r="E5" s="52">
        <f>1-SUM(E2:E4)</f>
        <v>3.5361000000000087E-2</v>
      </c>
      <c r="F5" s="52">
        <f>1-SUM(F2:F4)</f>
        <v>0.21432879999999999</v>
      </c>
      <c r="G5" s="52">
        <f>1-SUM(G2:G4)</f>
        <v>1</v>
      </c>
    </row>
  </sheetData>
  <sheetProtection algorithmName="SHA-512" hashValue="KRy1/efsE4iHUS3nouF1U4SL6eAUpTpFkwAci8e03AJh4IXLXDPmH+55gp4nlbRcceC7Tzv3d89/IrRPGB4RBA==" saltValue="WJ2c01NeRAkVshUR4KAIu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MqKVsFAOCoZRS5VkJejCoQ3en2w9N2o0dO26eOTkqpMf3d86tWrUgECvopdA9Q0U4o/Y3EG5Y3x7GwtoI0U8rA==" saltValue="EaPfgWA84WNQ6eThmHLDv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x14ac:dyDescent="0.25">
      <c r="A2" s="8" t="s">
        <v>145</v>
      </c>
      <c r="B2" s="41">
        <v>10</v>
      </c>
    </row>
    <row r="3" spans="1:2" x14ac:dyDescent="0.25">
      <c r="A3" s="8" t="s">
        <v>150</v>
      </c>
      <c r="B3" s="41">
        <v>10</v>
      </c>
    </row>
    <row r="4" spans="1:2" x14ac:dyDescent="0.25">
      <c r="A4" s="8" t="s">
        <v>146</v>
      </c>
      <c r="B4" s="41">
        <v>10</v>
      </c>
    </row>
    <row r="5" spans="1:2" x14ac:dyDescent="0.25">
      <c r="A5" s="8" t="s">
        <v>147</v>
      </c>
      <c r="B5" s="41">
        <v>10</v>
      </c>
    </row>
    <row r="6" spans="1:2" x14ac:dyDescent="0.25">
      <c r="A6" s="8" t="s">
        <v>148</v>
      </c>
      <c r="B6" s="41">
        <v>10</v>
      </c>
    </row>
    <row r="7" spans="1:2" x14ac:dyDescent="0.25">
      <c r="A7" s="8" t="s">
        <v>149</v>
      </c>
      <c r="B7" s="41">
        <v>10</v>
      </c>
    </row>
  </sheetData>
  <sheetProtection algorithmName="SHA-512" hashValue="n7UWuy1+v78HmQrXbsdKSEXy67qTbSzUYHfq6+wMFZgP5YN2b13+GvdVL1cVidfLkbTHxZtPZndc77fRGIQBXg==" saltValue="HGcyFfYV6rRiw00SAe9CP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x14ac:dyDescent="0.25">
      <c r="B10" s="32" t="s">
        <v>109</v>
      </c>
      <c r="C10" s="47"/>
      <c r="D10" s="47"/>
      <c r="E10" s="38" t="str">
        <f>IF(E$7="","",E$7)</f>
        <v/>
      </c>
    </row>
    <row r="11" spans="1:5" x14ac:dyDescent="0.25">
      <c r="B11" s="32" t="s">
        <v>96</v>
      </c>
      <c r="C11" s="47"/>
      <c r="D11" s="47"/>
      <c r="E11" s="38" t="str">
        <f>IF(E$7="","",E$7)</f>
        <v/>
      </c>
    </row>
    <row r="12" spans="1:5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whaxc+BKd3nWi6vzWTcF4ft1C96/td4AFnzU6yQI3VOqNpsvdvMFTOdbta0/RsYszm6JQ5nRJ8Vp1z+24mmcfA==" saltValue="mSzYchDO2Tp4Ja19ct/NP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RjxByhW0I/aO1wZdUQqSw2IL5E/qazGysn9/pC8ej3vX7zst0dAHXVnif8ca7nQBRoprWpguUe0i1YjjsFMBvw==" saltValue="U94l3bYTQvCRUGDi5axQW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70.349999999999994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0.19641786778459999</v>
      </c>
      <c r="C3" s="98">
        <v>0.95</v>
      </c>
      <c r="D3" s="56">
        <v>13.1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200.54836433279559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1.1645825935762411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99.99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99.99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</v>
      </c>
      <c r="C9" s="98">
        <v>0.95</v>
      </c>
      <c r="D9" s="56">
        <v>99.99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0.28031230000000001</v>
      </c>
      <c r="C10" s="98">
        <v>0.95</v>
      </c>
      <c r="D10" s="56">
        <v>12.99613066460511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0.28031230000000001</v>
      </c>
      <c r="C11" s="98">
        <v>0.95</v>
      </c>
      <c r="D11" s="56">
        <v>12.99613066460511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0.28031230000000001</v>
      </c>
      <c r="C12" s="98">
        <v>0.95</v>
      </c>
      <c r="D12" s="56">
        <v>12.99613066460511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0.28031230000000001</v>
      </c>
      <c r="C13" s="98">
        <v>0.95</v>
      </c>
      <c r="D13" s="56">
        <v>12.99613066460511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0.28031230000000001</v>
      </c>
      <c r="C14" s="98">
        <v>0.95</v>
      </c>
      <c r="D14" s="56">
        <v>12.99613066460511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0.28031230000000001</v>
      </c>
      <c r="C15" s="98">
        <v>0.95</v>
      </c>
      <c r="D15" s="56">
        <v>12.99613066460511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0.83</v>
      </c>
      <c r="C16" s="98">
        <v>0.95</v>
      </c>
      <c r="D16" s="56">
        <v>2.5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0.12279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8.414515719577001E-2</v>
      </c>
      <c r="C18" s="98">
        <v>0.95</v>
      </c>
      <c r="D18" s="56">
        <v>3.11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0.50208550000000007</v>
      </c>
      <c r="C19" s="98">
        <v>0.95</v>
      </c>
      <c r="D19" s="56">
        <v>3.11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0.52630830000000006</v>
      </c>
      <c r="C21" s="98">
        <v>0.95</v>
      </c>
      <c r="D21" s="56">
        <v>10.73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22.41875682582225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</v>
      </c>
      <c r="C23" s="98">
        <v>0.95</v>
      </c>
      <c r="D23" s="56">
        <v>4.2693071752319298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0.63762425791924005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0.28031230000000001</v>
      </c>
      <c r="C26" s="98">
        <v>0.95</v>
      </c>
      <c r="D26" s="56">
        <v>99.99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13.77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0.50002352472347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</v>
      </c>
      <c r="C29" s="98">
        <v>0.95</v>
      </c>
      <c r="D29" s="56">
        <v>20.36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0.85</v>
      </c>
      <c r="C31" s="98">
        <v>0.95</v>
      </c>
      <c r="D31" s="56">
        <v>56.73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3.16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0.85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0.2174344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0.21443380000000001</v>
      </c>
      <c r="C38" s="98">
        <v>0.95</v>
      </c>
      <c r="D38" s="56">
        <v>2.4500000000000002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201</v>
      </c>
      <c r="F39" s="98">
        <v>1</v>
      </c>
      <c r="G39" s="98">
        <v>1</v>
      </c>
    </row>
  </sheetData>
  <sheetProtection algorithmName="SHA-512" hashValue="n9qT3ih9D6HJr65Vsr3tLlsVqBFEY4E7PrO+d20PwSj+vUxx4uab/lDWgym+UxmUvcbzphJdoyt02Abl7N+ylQ==" saltValue="0PQvdSsve8ZUfBsr4ML02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x14ac:dyDescent="0.25">
      <c r="A2" s="57" t="s">
        <v>180</v>
      </c>
      <c r="B2" s="47" t="s">
        <v>190</v>
      </c>
      <c r="C2" s="47"/>
    </row>
    <row r="3" spans="1:3" x14ac:dyDescent="0.25">
      <c r="A3" s="57" t="s">
        <v>181</v>
      </c>
      <c r="B3" s="47" t="s">
        <v>190</v>
      </c>
      <c r="C3" s="47"/>
    </row>
    <row r="4" spans="1:3" x14ac:dyDescent="0.25">
      <c r="A4" s="57" t="s">
        <v>192</v>
      </c>
      <c r="B4" s="47" t="s">
        <v>185</v>
      </c>
      <c r="C4" s="47"/>
    </row>
    <row r="5" spans="1:3" x14ac:dyDescent="0.25">
      <c r="A5" s="57" t="s">
        <v>189</v>
      </c>
      <c r="B5" s="47" t="s">
        <v>185</v>
      </c>
      <c r="C5" s="47"/>
    </row>
    <row r="6" spans="1:3" x14ac:dyDescent="0.25">
      <c r="A6" s="57" t="s">
        <v>192</v>
      </c>
      <c r="B6" s="58" t="s">
        <v>205</v>
      </c>
      <c r="C6" s="58"/>
    </row>
    <row r="7" spans="1:3" x14ac:dyDescent="0.25">
      <c r="A7" s="57" t="s">
        <v>189</v>
      </c>
      <c r="B7" s="58" t="s">
        <v>205</v>
      </c>
      <c r="C7" s="58"/>
    </row>
    <row r="8" spans="1:3" x14ac:dyDescent="0.25">
      <c r="A8" s="57" t="s">
        <v>200</v>
      </c>
      <c r="B8" s="58" t="s">
        <v>205</v>
      </c>
      <c r="C8" s="58"/>
    </row>
    <row r="9" spans="1:3" x14ac:dyDescent="0.25">
      <c r="A9" s="57" t="s">
        <v>193</v>
      </c>
      <c r="B9" s="58" t="s">
        <v>205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gBqS/J7lptwn3eIjjODw3z2UHhSh+X5HGh4+jw5xdvjK4xEIeCCaWC+yI7gqpLZZodvBujZuNEdqa4Wf3fxJ1w==" saltValue="SB51hDGXU6iRUAU6uEEZI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x14ac:dyDescent="0.25">
      <c r="A2" s="33" t="s">
        <v>172</v>
      </c>
    </row>
    <row r="3" spans="1:1" x14ac:dyDescent="0.25">
      <c r="A3" s="33" t="s">
        <v>182</v>
      </c>
    </row>
    <row r="4" spans="1:1" x14ac:dyDescent="0.25">
      <c r="A4" s="33" t="s">
        <v>186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LgIb3e4Qsprux24Ml/y1x3Q0KnPdlpVBiQY6kwfgRjsNxhjICfLsmL6XFMLrOakUIzK8U6M6c5O1qQrNVfncOQ==" saltValue="jxzdlLoh5mr3TkfHTWH0O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3.3</v>
      </c>
      <c r="C2" s="21">
        <f>'Données pop de l''année de ref'!C52</f>
        <v>3.3</v>
      </c>
      <c r="D2" s="21">
        <f>'Données pop de l''année de ref'!C53</f>
        <v>3.3</v>
      </c>
      <c r="E2" s="21">
        <f>'Données pop de l''année de ref'!C54</f>
        <v>3.3</v>
      </c>
      <c r="F2" s="21">
        <f>'Données pop de l''année de ref'!C55</f>
        <v>3.3</v>
      </c>
    </row>
    <row r="3" spans="1:6" ht="15.75" customHeight="1" x14ac:dyDescent="0.25">
      <c r="A3" s="3" t="s">
        <v>209</v>
      </c>
      <c r="B3" s="21">
        <f>frac_mam_1month * 2.6</f>
        <v>0.16990662000000001</v>
      </c>
      <c r="C3" s="21">
        <f>frac_mam_1_5months * 2.6</f>
        <v>0.16990662000000001</v>
      </c>
      <c r="D3" s="21">
        <f>frac_mam_6_11months * 2.6</f>
        <v>0.32622746000000002</v>
      </c>
      <c r="E3" s="21">
        <f>frac_mam_12_23months * 2.6</f>
        <v>0.23670764</v>
      </c>
      <c r="F3" s="21">
        <f>frac_mam_24_59months * 2.6</f>
        <v>0.11561185999999997</v>
      </c>
    </row>
    <row r="4" spans="1:6" ht="15.75" customHeight="1" x14ac:dyDescent="0.25">
      <c r="A4" s="3" t="s">
        <v>208</v>
      </c>
      <c r="B4" s="21">
        <f>frac_sam_1month * 2.6</f>
        <v>8.6134619999999995E-2</v>
      </c>
      <c r="C4" s="21">
        <f>frac_sam_1_5months * 2.6</f>
        <v>8.6134619999999995E-2</v>
      </c>
      <c r="D4" s="21">
        <f>frac_sam_6_11months * 2.6</f>
        <v>0.10134852</v>
      </c>
      <c r="E4" s="21">
        <f>frac_sam_12_23months * 2.6</f>
        <v>0.11618489999999999</v>
      </c>
      <c r="F4" s="21">
        <f>frac_sam_24_59months * 2.6</f>
        <v>3.962218E-2</v>
      </c>
    </row>
  </sheetData>
  <sheetProtection algorithmName="SHA-512" hashValue="aewNrlif12rg73swWXUy+ouEIIyIct2TPuXO6MkISU9ai4rle6SN0N5TokHUW8EKbIm1TvMCVGv4y7cqdF4Hgw==" saltValue="atDnLlUaKqWVco1OfzF55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0.49700000000000011</v>
      </c>
      <c r="E2" s="60">
        <f>food_insecure</f>
        <v>0.49700000000000011</v>
      </c>
      <c r="F2" s="60">
        <f>food_insecure</f>
        <v>0.49700000000000011</v>
      </c>
      <c r="G2" s="60">
        <f>food_insecure</f>
        <v>0.49700000000000011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0.49700000000000011</v>
      </c>
      <c r="F5" s="60">
        <f>food_insecure</f>
        <v>0.49700000000000011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0.49700000000000011</v>
      </c>
      <c r="F8" s="60">
        <f>food_insecure</f>
        <v>0.49700000000000011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0.49700000000000011</v>
      </c>
      <c r="F9" s="60">
        <f>food_insecure</f>
        <v>0.49700000000000011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0.49700000000000011</v>
      </c>
      <c r="I15" s="60">
        <f>food_insecure</f>
        <v>0.49700000000000011</v>
      </c>
      <c r="J15" s="60">
        <f>food_insecure</f>
        <v>0.49700000000000011</v>
      </c>
      <c r="K15" s="60">
        <f>food_insecure</f>
        <v>0.49700000000000011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</v>
      </c>
      <c r="I19" s="60">
        <f>frac_malaria_risk</f>
        <v>0.9</v>
      </c>
      <c r="J19" s="60">
        <f>frac_malaria_risk</f>
        <v>0.9</v>
      </c>
      <c r="K19" s="60">
        <f>frac_malaria_risk</f>
        <v>0.9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8.1000000000000003E-2</v>
      </c>
      <c r="M24" s="60">
        <f>famplan_unmet_need</f>
        <v>8.1000000000000003E-2</v>
      </c>
      <c r="N24" s="60">
        <f>famplan_unmet_need</f>
        <v>8.1000000000000003E-2</v>
      </c>
      <c r="O24" s="60">
        <f>famplan_unmet_need</f>
        <v>8.1000000000000003E-2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0.24707960899999998</v>
      </c>
      <c r="M25" s="60">
        <f>(1-food_insecure)*(0.49)+food_insecure*(0.7)</f>
        <v>0.59436999999999995</v>
      </c>
      <c r="N25" s="60">
        <f>(1-food_insecure)*(0.49)+food_insecure*(0.7)</f>
        <v>0.59436999999999995</v>
      </c>
      <c r="O25" s="60">
        <f>(1-food_insecure)*(0.49)+food_insecure*(0.7)</f>
        <v>0.59436999999999995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0.10589126099999999</v>
      </c>
      <c r="M26" s="60">
        <f>(1-food_insecure)*(0.21)+food_insecure*(0.3)</f>
        <v>0.25473000000000001</v>
      </c>
      <c r="N26" s="60">
        <f>(1-food_insecure)*(0.21)+food_insecure*(0.3)</f>
        <v>0.25473000000000001</v>
      </c>
      <c r="O26" s="60">
        <f>(1-food_insecure)*(0.21)+food_insecure*(0.3)</f>
        <v>0.25473000000000001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6.272912999999998E-2</v>
      </c>
      <c r="M27" s="60">
        <f>(1-food_insecure)*(0.3)</f>
        <v>0.15089999999999995</v>
      </c>
      <c r="N27" s="60">
        <f>(1-food_insecure)*(0.3)</f>
        <v>0.15089999999999995</v>
      </c>
      <c r="O27" s="60">
        <f>(1-food_insecure)*(0.3)</f>
        <v>0.15089999999999995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0.58430000000000004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0.9</v>
      </c>
      <c r="D34" s="60">
        <f t="shared" si="3"/>
        <v>0.9</v>
      </c>
      <c r="E34" s="60">
        <f t="shared" si="3"/>
        <v>0.9</v>
      </c>
      <c r="F34" s="60">
        <f t="shared" si="3"/>
        <v>0.9</v>
      </c>
      <c r="G34" s="60">
        <f t="shared" si="3"/>
        <v>0.9</v>
      </c>
      <c r="H34" s="60">
        <f t="shared" si="3"/>
        <v>0.9</v>
      </c>
      <c r="I34" s="60">
        <f t="shared" si="3"/>
        <v>0.9</v>
      </c>
      <c r="J34" s="60">
        <f t="shared" si="3"/>
        <v>0.9</v>
      </c>
      <c r="K34" s="60">
        <f t="shared" si="3"/>
        <v>0.9</v>
      </c>
      <c r="L34" s="60">
        <f t="shared" si="3"/>
        <v>0.9</v>
      </c>
      <c r="M34" s="60">
        <f t="shared" si="3"/>
        <v>0.9</v>
      </c>
      <c r="N34" s="60">
        <f t="shared" si="3"/>
        <v>0.9</v>
      </c>
      <c r="O34" s="60">
        <f t="shared" si="3"/>
        <v>0.9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g3UtB+7JLKHDCkFGiygGUZRqbWJikWXQM3iEGUP6U807Lg6wr/tAsLPUe/krXVhZ/tkOLthYolz5qGA2TvI+MA==" saltValue="kRRj3c5a2d4nHxVdQbHJt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XnjKaUFRjmvuxsdXMOTh0gT9mLG0P7uqYpdMxaRq15HplM8cd2vMaZpmgW/8ioA3mbGGIL9UPH1lUovUXF735w==" saltValue="ePaNKCcnwjzknte9pmaHd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8YRjmN7CRzzvC4JVr4GdQp1vwaji4mYt2gPJHNESS6S0TqyCIbl3GTGlKSDSpSa6Ch5bJ1EFXLx8xUif57npiQ==" saltValue="AsTR2T71OIkuUylvmugHd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YWx4u8mo/U5zXztC+9iPWZjaPVBvZiWC2FrVhL17JPSkqLlqxLd7G0kVou62NSlNYpuzOjArVPyL8BrF4N93YQ==" saltValue="HFI7GggEA4CAI8D0gU28F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ETbP1Vz/njQqLbW4bnlLCfPLSbDNF5GnyFSv8GytfbbivgbfrHP2Jlp5dz0diiSpir5qyEkyicmLyHfHo4eRtg==" saltValue="FdxNyRm53OhOVqp7VBTfe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vHJnw06bzUyWzwVAkp9A5ZcwWJj89upeDXPUUpBrE97RvhA2gVr0PAdRJVGvhpkrMC0UNbGc2RweGGb1xhYGxg==" saltValue="HVZo291yqDymikDWpU41b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109</v>
      </c>
      <c r="C5" s="8" t="s">
        <v>153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154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96</v>
      </c>
      <c r="C8" s="8" t="s">
        <v>153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154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154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109</v>
      </c>
      <c r="C58" s="8" t="s">
        <v>153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154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96</v>
      </c>
      <c r="C61" s="8" t="s">
        <v>153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154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109</v>
      </c>
      <c r="C111" s="8" t="s">
        <v>153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154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96</v>
      </c>
      <c r="C114" s="8" t="s">
        <v>153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154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97</v>
      </c>
      <c r="C117" s="8" t="s">
        <v>153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154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98</v>
      </c>
      <c r="C120" s="8" t="s">
        <v>153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154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154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109</v>
      </c>
      <c r="C128" s="8" t="s">
        <v>153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154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96</v>
      </c>
      <c r="C131" s="8" t="s">
        <v>153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154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97</v>
      </c>
      <c r="C134" s="8" t="s">
        <v>153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154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98</v>
      </c>
      <c r="C137" s="8" t="s">
        <v>153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154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154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109</v>
      </c>
      <c r="C145" s="8" t="s">
        <v>153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154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96</v>
      </c>
      <c r="C148" s="8" t="s">
        <v>153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154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97</v>
      </c>
      <c r="C151" s="8" t="s">
        <v>153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154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98</v>
      </c>
      <c r="C154" s="8" t="s">
        <v>153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154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2AkgMANUqq/ty0e8bENwWZbVHAqdqq6p3R4ONOJxOF9AmjswlynC60kE47oC1nwlgyiV6nTdqGXWG5s3oPH/gA==" saltValue="oS3Nyx0mqgnDFJa4CoIhBQ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6jGpZkFL8AqADmYgxUFr5dkHkRdDNlnfP2ojQJ58ajVQZbWt1iywhyjDCMnoEBAYrCagK/UmU++GSgzVDBqfvQ==" saltValue="0KB6HG5qpUHTkS6EJkunM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jHMqjGmtMCKfVMa4wNgrizWdPxwEBMZBl1tWRowEh0/m/+i8YPnmSnkHcR2Tj6N5k9ZN/koGOcOKStSD5E+q+Q==" saltValue="EW13qczqS3KfF6BJ/eWQ5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287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298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121</v>
      </c>
      <c r="B40" s="11" t="s">
        <v>299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303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311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121</v>
      </c>
      <c r="B63" s="11" t="s">
        <v>312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XpJOTGpq2k37VfEXzDqRDxArNk9lMoywVhemsDE0llwn0WTdXhnc6+I2ocwpsMMcF2D8BkB8qyQLOS1dRykGTw==" saltValue="Ym7uCpCLLO0PT1iKx5Lt6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j0SU8P21koOnOZKscyYIeoJwzrng2a6UGMXVCzaskdA052WiN1ySBCplLBed46qBM1FZEEJyyjV4zTRMOt1giA==" saltValue="s0COdEMovGE7vmDCh2FxX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176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177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178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179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180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190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174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183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176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177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178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179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180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190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174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183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OPFoVxxjLRuhVKGQYttmMF3NkVgAOolqsL2CCSk6+g6gIiw2xeiRa9ZsPeHkk8AGJf3JO5K7nSbEMJJJlShScw==" saltValue="aHDsYJAV0xeVBe/Ja612K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2rZLcjF/aPy1HKxTHk9KRCaOhokNO/xiUEX52eAx/pWrI1d6dLfxNy40Xqzr/0ROC2SNq4nEUsa2ehKYKKwV+A==" saltValue="CnRrTEGnA0ukKCp9KkPOY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336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336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335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7/Qx1s1CKce4YuuNaq2Hwh5bWZGDtN8Kmvb8pIKnWat0tJy78MOsVWEJQORW5M4OxzVh+vDo2u9S5YyZCcq3yg==" saltValue="R+7MHn49aMlr90Q8Q/GdK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335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335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qHK9LMKEZYcP1D8ekMDSzdwnYE60lKlEP9/DUvKdMu0Be4FWScnBRSaxU//zeJ1I8Mr7PRmqHohVaL0ZXYx+ig==" saltValue="CM+r/oxUvszg9wYlZJOuLw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2024-05-17T00:39:33Z</dcterms:modified>
</cp:coreProperties>
</file>