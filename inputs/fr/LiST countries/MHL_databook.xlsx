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Modelling projects\Nutrition\inputs\fr\LiST countries\"/>
    </mc:Choice>
  </mc:AlternateContent>
  <xr:revisionPtr revIDLastSave="0" documentId="8_{EA6103F2-85D7-455C-BA83-6BF381F3C184}" xr6:coauthVersionLast="47" xr6:coauthVersionMax="47" xr10:uidLastSave="{00000000-0000-0000-0000-000000000000}"/>
  <bookViews>
    <workbookView xWindow="-110" yWindow="-110" windowWidth="19420" windowHeight="1030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M60" i="25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I39" i="2" s="1"/>
  <c r="H38" i="2"/>
  <c r="G38" i="2"/>
  <c r="A37" i="2"/>
  <c r="A36" i="2"/>
  <c r="A34" i="2"/>
  <c r="H13" i="2"/>
  <c r="G13" i="2"/>
  <c r="I13" i="2" s="1"/>
  <c r="H12" i="2"/>
  <c r="G12" i="2"/>
  <c r="H11" i="2"/>
  <c r="G11" i="2"/>
  <c r="H10" i="2"/>
  <c r="G10" i="2"/>
  <c r="H9" i="2"/>
  <c r="G9" i="2"/>
  <c r="H8" i="2"/>
  <c r="G8" i="2"/>
  <c r="H7" i="2"/>
  <c r="G7" i="2"/>
  <c r="I7" i="2" s="1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I2" i="2" l="1"/>
  <c r="I8" i="2"/>
  <c r="A19" i="2"/>
  <c r="A24" i="2"/>
  <c r="A26" i="2"/>
  <c r="A40" i="2"/>
  <c r="A31" i="2"/>
  <c r="I6" i="2"/>
  <c r="I12" i="2"/>
  <c r="A35" i="2"/>
  <c r="I38" i="2"/>
  <c r="A22" i="2"/>
  <c r="I3" i="2"/>
  <c r="I9" i="2"/>
  <c r="A23" i="2"/>
  <c r="I4" i="2"/>
  <c r="A25" i="2"/>
  <c r="I11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<sst xmlns="http://schemas.openxmlformats.org/spreadsheetml/2006/main" count="2169" uniqueCount="369">
  <si>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</si>
  <si>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</si>
  <si>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</si>
  <si>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</si>
  <si>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</si>
  <si>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</si>
  <si>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</si>
  <si>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</si>
  <si>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</si>
  <si>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</si>
  <si>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</si>
  <si>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</si>
  <si>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</si>
  <si>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</si>
  <si>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</si>
  <si>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</si>
  <si>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</si>
  <si>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</si>
  <si>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</si>
  <si>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</si>
  <si>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</si>
  <si>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</si>
  <si>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</si>
  <si>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</si>
  <si>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</si>
  <si>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</si>
  <si>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</si>
  <si>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</si>
  <si>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</si>
  <si>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</si>
  <si>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</si>
  <si>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</si>
  <si>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</si>
  <si>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</si>
  <si>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</si>
  <si>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</si>
  <si>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</si>
  <si>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</si>
  <si>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</si>
  <si>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</si>
  <si>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</si>
  <si>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</si>
  <si>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</si>
  <si>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</si>
  <si>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</si>
  <si>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</si>
  <si>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</si>
  <si>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</si>
  <si>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</si>
  <si>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</si>
  <si>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</si>
  <si>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</si>
  <si>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</si>
  <si>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</si>
  <si>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</si>
  <si>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</si>
  <si>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</si>
  <si>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</si>
  <si>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</si>
  <si>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</si>
  <si>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</si>
  <si>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</si>
  <si>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</si>
  <si>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</si>
  <si>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</si>
  <si>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</si>
  <si>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</si>
  <si>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</si>
  <si>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</si>
  <si>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</si>
  <si>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</si>
  <si>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</si>
  <si>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</si>
  <si>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</si>
  <si>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</si>
  <si>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</si>
  <si>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</si>
  <si>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</si>
  <si>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</si>
  <si>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</si>
  <si>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</si>
  <si>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</si>
  <si>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</si>
  <si>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</si>
  <si>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</si>
  <si>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</si>
  <si>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</si>
  <si>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</si>
  <si>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</si>
  <si>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</si>
  <si>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</si>
  <si>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</si>
  <si>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</si>
  <si>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</si>
  <si>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</si>
  <si>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</si>
  <si>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</si>
  <si>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</si>
  <si>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</si>
  <si>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</si>
  <si>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</si>
  <si>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</si>
  <si>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</si>
  <si>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</si>
  <si>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</si>
  <si>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</si>
  <si>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</si>
  <si>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</si>
  <si>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</si>
  <si>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</si>
  <si>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</si>
  <si>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</si>
  <si>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</si>
  <si>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</si>
  <si>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</si>
  <si>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</si>
  <si>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</si>
  <si>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</si>
  <si>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</si>
  <si>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</si>
  <si>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</si>
  <si>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</si>
  <si>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</si>
  <si>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</si>
  <si>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</si>
  <si>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</si>
  <si>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</si>
  <si>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</si>
  <si>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</si>
  <si>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</si>
  <si>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</si>
  <si>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</si>
  <si>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</si>
  <si>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</si>
  <si>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</si>
  <si>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</si>
  <si>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</si>
  <si>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</si>
  <si>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</si>
  <si>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</si>
  <si>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</si>
  <si>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</si>
  <si>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</si>
  <si>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</si>
  <si>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</si>
  <si>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</si>
  <si>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</si>
  <si>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</si>
  <si>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</si>
  <si>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</si>
  <si>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</si>
  <si>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</si>
  <si>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</si>
  <si>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</si>
  <si>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</si>
  <si>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</si>
  <si>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</si>
  <si>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</si>
  <si>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</si>
  <si>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</si>
  <si>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</si>
  <si>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</si>
  <si>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</si>
  <si>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</si>
  <si>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</si>
  <si>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</si>
  <si>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</si>
  <si>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</si>
  <si>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</si>
  <si>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</si>
  <si>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</si>
  <si>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</si>
  <si>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</si>
  <si>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</si>
  <si>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</si>
  <si>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</si>
  <si>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</si>
  <si>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</si>
  <si>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</si>
  <si>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</si>
  <si>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</si>
  <si>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</si>
  <si>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</si>
  <si>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</si>
  <si>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</si>
  <si>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</si>
  <si>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</si>
  <si>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</si>
  <si>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</si>
  <si>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</si>
  <si>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</si>
  <si>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</si>
  <si>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</si>
  <si>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</si>
  <si>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</si>
  <si>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</si>
  <si>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</si>
  <si>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</si>
  <si>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</si>
  <si>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</si>
  <si>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</si>
  <si>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</si>
  <si>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</si>
  <si>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</si>
  <si>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</si>
  <si>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</si>
  <si>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</si>
  <si>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</si>
  <si>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</si>
  <si>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</si>
  <si>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</si>
  <si>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</si>
  <si>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</si>
  <si>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</si>
  <si>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</si>
  <si>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</si>
  <si>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</si>
  <si>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</si>
  <si>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</si>
  <si>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</si>
  <si>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</si>
  <si>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</si>
  <si>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</si>
  <si>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</si>
  <si>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</si>
  <si>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</si>
  <si>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</si>
  <si>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</si>
  <si>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</si>
  <si>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</si>
  <si>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</si>
  <si>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</si>
  <si>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</si>
  <si>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</si>
  <si>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</si>
  <si>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</si>
  <si>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</si>
  <si>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</si>
  <si>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</si>
  <si>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</si>
  <si>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</si>
  <si>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</si>
  <si>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</si>
  <si>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</si>
  <si>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</si>
  <si>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</si>
  <si>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</si>
  <si>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</si>
  <si>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</si>
  <si>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</si>
  <si>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</si>
  <si>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</si>
  <si>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</si>
  <si>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</si>
  <si>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</si>
  <si>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</si>
  <si>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</si>
  <si>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</si>
  <si>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</si>
  <si>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</si>
  <si>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</si>
  <si>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</si>
  <si>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</si>
  <si>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</si>
  <si>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</si>
  <si>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</si>
  <si>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</si>
  <si>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</si>
  <si>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</si>
  <si>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</si>
  <si>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</si>
  <si>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</si>
  <si>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</si>
  <si>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</si>
  <si>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</si>
  <si>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</si>
  <si>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</si>
  <si>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</si>
  <si>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</si>
  <si>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</si>
  <si>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</si>
  <si>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</si>
  <si>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</si>
  <si>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</si>
  <si>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</si>
  <si>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</si>
  <si>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</si>
  <si>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</si>
  <si>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</si>
  <si>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</si>
  <si>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</si>
  <si>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</si>
  <si>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</si>
  <si>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</si>
  <si>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</si>
  <si>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</si>
  <si>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</si>
  <si>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</si>
  <si>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</si>
  <si>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</si>
  <si>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</si>
  <si>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</si>
  <si>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</si>
  <si>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</si>
  <si>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</si>
  <si>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</si>
  <si>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</si>
  <si>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</si>
  <si>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</si>
  <si>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</si>
  <si>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</si>
  <si>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</si>
  <si>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</si>
  <si>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</si>
  <si>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</si>
  <si>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</si>
  <si>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</si>
  <si>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</si>
  <si>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</si>
  <si>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</si>
  <si>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</si>
  <si>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</si>
  <si>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</si>
  <si>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</si>
  <si>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</si>
  <si>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</si>
  <si>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</si>
  <si>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</si>
  <si>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</si>
  <si>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</si>
  <si>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</si>
  <si>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</si>
  <si>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</si>
  <si>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</si>
  <si>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</si>
  <si>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</si>
  <si>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</si>
  <si>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</si>
  <si>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</si>
  <si>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</si>
  <si>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</si>
  <si>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</si>
  <si>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</si>
  <si>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</si>
  <si>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</si>
  <si>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</si>
  <si>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</si>
  <si>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</si>
  <si>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</si>
  <si>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</si>
  <si>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</si>
  <si>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</si>
  <si>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</si>
  <si>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</si>
  <si>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</si>
  <si>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</si>
  <si>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</si>
  <si>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</si>
  <si>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</si>
  <si>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</si>
  <si>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</si>
  <si>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</si>
  <si>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</si>
  <si>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</si>
  <si>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</si>
  <si>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</si>
  <si>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</si>
  <si>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</si>
  <si>
    <t>Toutes les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</si>
</sst>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3702</v>
      </c>
    </row>
    <row r="8" spans="1:3" ht="15" customHeight="1" x14ac:dyDescent="0.25">
      <c r="B8" s="5" t="s">
        <v>37</v>
      </c>
      <c r="C8" s="44">
        <v>7.2000000000000008E-2</v>
      </c>
    </row>
    <row r="9" spans="1:3" ht="15" customHeight="1" x14ac:dyDescent="0.25">
      <c r="B9" s="5" t="s">
        <v>38</v>
      </c>
      <c r="C9" s="45">
        <v>0.9</v>
      </c>
    </row>
    <row r="10" spans="1:3" ht="15" customHeight="1" x14ac:dyDescent="0.25">
      <c r="B10" s="5" t="s">
        <v>39</v>
      </c>
      <c r="C10" s="45">
        <v>0.5842967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8.1000000000000003E-2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3.4700000000000002E-2</v>
      </c>
    </row>
    <row r="24" spans="1:3" ht="15" customHeight="1" x14ac:dyDescent="0.25">
      <c r="B24" s="15" t="s">
        <v>51</v>
      </c>
      <c r="C24" s="45">
        <v>0.47039999999999998</v>
      </c>
    </row>
    <row r="25" spans="1:3" ht="15" customHeight="1" x14ac:dyDescent="0.25">
      <c r="B25" s="15" t="s">
        <v>52</v>
      </c>
      <c r="C25" s="45">
        <v>0.44009999999999999</v>
      </c>
    </row>
    <row r="26" spans="1:3" ht="15" customHeight="1" x14ac:dyDescent="0.25">
      <c r="B26" s="15" t="s">
        <v>53</v>
      </c>
      <c r="C26" s="45">
        <v>5.4799999999999988E-2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0.18152033947509999</v>
      </c>
    </row>
    <row r="30" spans="1:3" ht="14.25" customHeight="1" x14ac:dyDescent="0.25">
      <c r="B30" s="25" t="s">
        <v>56</v>
      </c>
      <c r="C30" s="97">
        <v>6.3697307314517504E-2</v>
      </c>
    </row>
    <row r="31" spans="1:3" ht="14.25" customHeight="1" x14ac:dyDescent="0.25">
      <c r="B31" s="25" t="s">
        <v>57</v>
      </c>
      <c r="C31" s="97">
        <v>0.122289508790448</v>
      </c>
    </row>
    <row r="32" spans="1:3" ht="14.25" customHeight="1" x14ac:dyDescent="0.25">
      <c r="B32" s="25" t="s">
        <v>58</v>
      </c>
      <c r="C32" s="97">
        <v>0.63249284441993503</v>
      </c>
    </row>
    <row r="33" spans="1:5" ht="13.25" customHeight="1" x14ac:dyDescent="0.25">
      <c r="B33" s="27" t="s">
        <v>59</v>
      </c>
      <c r="C33" s="48">
        <f>SUM(C29:C32)</f>
        <v>1.0000000000000004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33.42812</v>
      </c>
    </row>
    <row r="38" spans="1:5" ht="15" customHeight="1" x14ac:dyDescent="0.25">
      <c r="B38" s="11" t="s">
        <v>63</v>
      </c>
      <c r="C38" s="43">
        <v>61.631399999999999</v>
      </c>
      <c r="D38" s="12"/>
      <c r="E38" s="13"/>
    </row>
    <row r="39" spans="1:5" ht="15" customHeight="1" x14ac:dyDescent="0.25">
      <c r="B39" s="11" t="s">
        <v>64</v>
      </c>
      <c r="C39" s="43">
        <v>97.066919999999996</v>
      </c>
      <c r="D39" s="12"/>
      <c r="E39" s="12"/>
    </row>
    <row r="40" spans="1:5" ht="15" customHeight="1" x14ac:dyDescent="0.25">
      <c r="B40" s="11" t="s">
        <v>65</v>
      </c>
      <c r="C40" s="98">
        <v>4.4000000000000004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23.383109999999999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5.2124000000000007E-3</v>
      </c>
      <c r="D45" s="12"/>
    </row>
    <row r="46" spans="1:5" ht="15.75" customHeight="1" x14ac:dyDescent="0.25">
      <c r="B46" s="11" t="s">
        <v>70</v>
      </c>
      <c r="C46" s="45">
        <v>5.6006399999999998E-2</v>
      </c>
      <c r="D46" s="12"/>
    </row>
    <row r="47" spans="1:5" ht="15.75" customHeight="1" x14ac:dyDescent="0.25">
      <c r="B47" s="11" t="s">
        <v>71</v>
      </c>
      <c r="C47" s="45">
        <v>7.6044899999999999E-2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98">
        <v>3.3</v>
      </c>
      <c r="D51" s="12"/>
    </row>
    <row r="52" spans="1:4" ht="15" customHeight="1" x14ac:dyDescent="0.25">
      <c r="B52" s="11" t="s">
        <v>75</v>
      </c>
      <c r="C52" s="98">
        <v>3.3</v>
      </c>
    </row>
    <row r="53" spans="1:4" ht="15.75" customHeight="1" x14ac:dyDescent="0.25">
      <c r="B53" s="11" t="s">
        <v>76</v>
      </c>
      <c r="C53" s="98">
        <v>3.3</v>
      </c>
    </row>
    <row r="54" spans="1:4" ht="15.75" customHeight="1" x14ac:dyDescent="0.25">
      <c r="B54" s="11" t="s">
        <v>77</v>
      </c>
      <c r="C54" s="98">
        <v>3.3</v>
      </c>
    </row>
    <row r="55" spans="1:4" ht="15.75" customHeight="1" x14ac:dyDescent="0.25">
      <c r="B55" s="11" t="s">
        <v>78</v>
      </c>
      <c r="C55" s="98">
        <v>3.3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2.181818181818182E-2</v>
      </c>
    </row>
    <row r="59" spans="1:4" ht="15.75" customHeight="1" x14ac:dyDescent="0.25">
      <c r="B59" s="11" t="s">
        <v>81</v>
      </c>
      <c r="C59" s="45">
        <v>0.40586299999999997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HxKFaGtE6bn+qMZ/UM+EiKPSsGanOb/UBftk1Db6f5TdJQe6GqQw0NfvjWLZTAizAm8D1xPVaxXjFaSpIVZ6tA==" saltValue="vxfKxztwGtvZAo/Ej+FSQ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756</v>
      </c>
      <c r="C2" s="49">
        <v>2380</v>
      </c>
      <c r="D2" s="49">
        <v>2766</v>
      </c>
      <c r="E2" s="49">
        <v>2982.5</v>
      </c>
      <c r="F2" s="49">
        <v>2682.5</v>
      </c>
      <c r="G2" s="17">
        <f t="shared" ref="G2:G13" si="0">C2+D2+E2+F2</f>
        <v>10811</v>
      </c>
      <c r="H2" s="17">
        <f t="shared" ref="H2:H13" si="1">(B2 + stillbirth*B2/(1000-stillbirth))/(1-abortion)</f>
        <v>879.66009792325951</v>
      </c>
      <c r="I2" s="17">
        <f t="shared" ref="I2:I13" si="2">G2-H2</f>
        <v>9931.3399020767411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751</v>
      </c>
      <c r="C3" s="50">
        <v>2482</v>
      </c>
      <c r="D3" s="50">
        <v>2880.5</v>
      </c>
      <c r="E3" s="50">
        <v>2871</v>
      </c>
      <c r="F3" s="50">
        <v>2753.5</v>
      </c>
      <c r="G3" s="17">
        <f t="shared" si="0"/>
        <v>10987</v>
      </c>
      <c r="H3" s="17">
        <f t="shared" si="1"/>
        <v>873.84224013276173</v>
      </c>
      <c r="I3" s="17">
        <f t="shared" si="2"/>
        <v>10113.157759867237</v>
      </c>
    </row>
    <row r="4" spans="1:9" ht="15.75" customHeight="1" x14ac:dyDescent="0.25">
      <c r="A4" s="5">
        <f t="shared" si="3"/>
        <v>2026</v>
      </c>
      <c r="B4" s="49">
        <v>751</v>
      </c>
      <c r="C4" s="50">
        <v>2569.5</v>
      </c>
      <c r="D4" s="50">
        <v>2997</v>
      </c>
      <c r="E4" s="50">
        <v>2758</v>
      </c>
      <c r="F4" s="50">
        <v>2812.5</v>
      </c>
      <c r="G4" s="17">
        <f t="shared" si="0"/>
        <v>11137</v>
      </c>
      <c r="H4" s="17">
        <f t="shared" si="1"/>
        <v>873.84224013276173</v>
      </c>
      <c r="I4" s="17">
        <f t="shared" si="2"/>
        <v>10263.157759867237</v>
      </c>
    </row>
    <row r="5" spans="1:9" ht="15.75" customHeight="1" x14ac:dyDescent="0.25">
      <c r="A5" s="5">
        <f t="shared" si="3"/>
        <v>2027</v>
      </c>
      <c r="B5" s="49">
        <v>758</v>
      </c>
      <c r="C5" s="50">
        <v>2646</v>
      </c>
      <c r="D5" s="50">
        <v>3108</v>
      </c>
      <c r="E5" s="50">
        <v>2657.5</v>
      </c>
      <c r="F5" s="50">
        <v>2879</v>
      </c>
      <c r="G5" s="17">
        <f t="shared" si="0"/>
        <v>11290.5</v>
      </c>
      <c r="H5" s="17">
        <f t="shared" si="1"/>
        <v>881.98724103945858</v>
      </c>
      <c r="I5" s="17">
        <f t="shared" si="2"/>
        <v>10408.512758960542</v>
      </c>
    </row>
    <row r="6" spans="1:9" ht="15.75" customHeight="1" x14ac:dyDescent="0.25">
      <c r="A6" s="5">
        <f t="shared" si="3"/>
        <v>2028</v>
      </c>
      <c r="B6" s="49">
        <v>764</v>
      </c>
      <c r="C6" s="50">
        <v>2701.5</v>
      </c>
      <c r="D6" s="50">
        <v>3217.5</v>
      </c>
      <c r="E6" s="50">
        <v>2590.5</v>
      </c>
      <c r="F6" s="50">
        <v>2942.5</v>
      </c>
      <c r="G6" s="17">
        <f t="shared" si="0"/>
        <v>11452</v>
      </c>
      <c r="H6" s="17">
        <f t="shared" si="1"/>
        <v>888.96867038805578</v>
      </c>
      <c r="I6" s="17">
        <f t="shared" si="2"/>
        <v>10563.031329611944</v>
      </c>
    </row>
    <row r="7" spans="1:9" ht="15.75" customHeight="1" x14ac:dyDescent="0.25">
      <c r="A7" s="5">
        <f t="shared" si="3"/>
        <v>2029</v>
      </c>
      <c r="B7" s="49">
        <v>772</v>
      </c>
      <c r="C7" s="50">
        <v>2722</v>
      </c>
      <c r="D7" s="50">
        <v>3330.5</v>
      </c>
      <c r="E7" s="50">
        <v>2560</v>
      </c>
      <c r="F7" s="50">
        <v>2969.5</v>
      </c>
      <c r="G7" s="17">
        <f t="shared" si="0"/>
        <v>11582</v>
      </c>
      <c r="H7" s="17">
        <f t="shared" si="1"/>
        <v>898.27724285285228</v>
      </c>
      <c r="I7" s="17">
        <f t="shared" si="2"/>
        <v>10683.722757147149</v>
      </c>
    </row>
    <row r="8" spans="1:9" ht="15.75" customHeight="1" x14ac:dyDescent="0.25">
      <c r="A8" s="5">
        <f t="shared" si="3"/>
        <v>2030</v>
      </c>
      <c r="B8" s="49">
        <v>780</v>
      </c>
      <c r="C8" s="50">
        <v>2709.5</v>
      </c>
      <c r="D8" s="50">
        <v>3462</v>
      </c>
      <c r="E8" s="50">
        <v>2553</v>
      </c>
      <c r="F8" s="50">
        <v>2958</v>
      </c>
      <c r="G8" s="17">
        <f t="shared" si="0"/>
        <v>11682.5</v>
      </c>
      <c r="H8" s="17">
        <f t="shared" si="1"/>
        <v>907.58581531764855</v>
      </c>
      <c r="I8" s="17">
        <f t="shared" si="2"/>
        <v>10774.914184682351</v>
      </c>
    </row>
    <row r="9" spans="1:9" ht="15.75" customHeight="1" x14ac:dyDescent="0.25">
      <c r="A9" s="5">
        <f t="shared" si="3"/>
        <v>2031</v>
      </c>
      <c r="B9" s="49">
        <v>790</v>
      </c>
      <c r="C9" s="50">
        <v>2680</v>
      </c>
      <c r="D9" s="50">
        <v>3629.5</v>
      </c>
      <c r="E9" s="50">
        <v>2553</v>
      </c>
      <c r="F9" s="50">
        <v>2918.5</v>
      </c>
      <c r="G9" s="17">
        <f t="shared" si="0"/>
        <v>11781</v>
      </c>
      <c r="H9" s="17">
        <f t="shared" si="1"/>
        <v>919.22153089864412</v>
      </c>
      <c r="I9" s="17">
        <f t="shared" si="2"/>
        <v>10861.778469101357</v>
      </c>
    </row>
    <row r="10" spans="1:9" ht="15.75" customHeight="1" x14ac:dyDescent="0.25">
      <c r="A10" s="5">
        <f t="shared" si="3"/>
        <v>2032</v>
      </c>
      <c r="B10" s="49">
        <v>802</v>
      </c>
      <c r="C10" s="50">
        <v>2644</v>
      </c>
      <c r="D10" s="50">
        <v>3825.5</v>
      </c>
      <c r="E10" s="50">
        <v>2561.5</v>
      </c>
      <c r="F10" s="50">
        <v>2848</v>
      </c>
      <c r="G10" s="17">
        <f t="shared" si="0"/>
        <v>11879</v>
      </c>
      <c r="H10" s="17">
        <f t="shared" si="1"/>
        <v>933.18438959583875</v>
      </c>
      <c r="I10" s="17">
        <f t="shared" si="2"/>
        <v>10945.815610404161</v>
      </c>
    </row>
    <row r="11" spans="1:9" ht="15.75" customHeight="1" x14ac:dyDescent="0.25">
      <c r="A11" s="5">
        <f t="shared" si="3"/>
        <v>2033</v>
      </c>
      <c r="B11" s="49">
        <v>813</v>
      </c>
      <c r="C11" s="50">
        <v>2604</v>
      </c>
      <c r="D11" s="50">
        <v>4008.5</v>
      </c>
      <c r="E11" s="50">
        <v>2601.5</v>
      </c>
      <c r="F11" s="50">
        <v>2748</v>
      </c>
      <c r="G11" s="17">
        <f t="shared" si="0"/>
        <v>11962</v>
      </c>
      <c r="H11" s="17">
        <f t="shared" si="1"/>
        <v>945.98367673493374</v>
      </c>
      <c r="I11" s="17">
        <f t="shared" si="2"/>
        <v>11016.016323265067</v>
      </c>
    </row>
    <row r="12" spans="1:9" ht="15.75" customHeight="1" x14ac:dyDescent="0.25">
      <c r="A12" s="5">
        <f t="shared" si="3"/>
        <v>2034</v>
      </c>
      <c r="B12" s="49">
        <v>818</v>
      </c>
      <c r="C12" s="50">
        <v>2557</v>
      </c>
      <c r="D12" s="50">
        <v>4139</v>
      </c>
      <c r="E12" s="50">
        <v>2684</v>
      </c>
      <c r="F12" s="50">
        <v>2629</v>
      </c>
      <c r="G12" s="17">
        <f t="shared" si="0"/>
        <v>12009</v>
      </c>
      <c r="H12" s="17">
        <f t="shared" si="1"/>
        <v>951.80153452543152</v>
      </c>
      <c r="I12" s="17">
        <f t="shared" si="2"/>
        <v>11057.198465474568</v>
      </c>
    </row>
    <row r="13" spans="1:9" ht="15.75" customHeight="1" x14ac:dyDescent="0.25">
      <c r="A13" s="5">
        <f t="shared" si="3"/>
        <v>2035</v>
      </c>
      <c r="B13" s="49">
        <v>827</v>
      </c>
      <c r="C13" s="50">
        <v>2501.5</v>
      </c>
      <c r="D13" s="50">
        <v>4221.5</v>
      </c>
      <c r="E13" s="50">
        <v>2797</v>
      </c>
      <c r="F13" s="50">
        <v>2511</v>
      </c>
      <c r="G13" s="17">
        <f t="shared" si="0"/>
        <v>12031</v>
      </c>
      <c r="H13" s="17">
        <f t="shared" si="1"/>
        <v>962.27367854832744</v>
      </c>
      <c r="I13" s="17">
        <f t="shared" si="2"/>
        <v>11068.726321451673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e/5IHfmUbtoF0fjIGg5fV0oqlL2aZBkg3TAEBc3BulNYfV9uQilvLYinUfeMVzNyFIHRuoSTpSYU/zJiVAdqzQ==" saltValue="qXmZ9nzT9OKGsHE1A+gfc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8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2.5390799999999981E-2</v>
      </c>
    </row>
    <row r="4" spans="1:8" ht="15.75" customHeight="1" x14ac:dyDescent="0.25">
      <c r="B4" s="19" t="s">
        <v>97</v>
      </c>
      <c r="C4" s="99">
        <v>6.3736599999999907E-2</v>
      </c>
    </row>
    <row r="5" spans="1:8" ht="15.75" customHeight="1" x14ac:dyDescent="0.25">
      <c r="B5" s="19" t="s">
        <v>98</v>
      </c>
      <c r="C5" s="99">
        <v>0.1035504000000001</v>
      </c>
    </row>
    <row r="6" spans="1:8" ht="15.75" customHeight="1" x14ac:dyDescent="0.25">
      <c r="B6" s="19" t="s">
        <v>99</v>
      </c>
      <c r="C6" s="99">
        <v>0.24952009999999991</v>
      </c>
    </row>
    <row r="7" spans="1:8" ht="15.75" customHeight="1" x14ac:dyDescent="0.25">
      <c r="B7" s="19" t="s">
        <v>100</v>
      </c>
      <c r="C7" s="99">
        <v>0.38443950000000021</v>
      </c>
    </row>
    <row r="8" spans="1:8" ht="15.75" customHeight="1" x14ac:dyDescent="0.25">
      <c r="B8" s="19" t="s">
        <v>101</v>
      </c>
      <c r="C8" s="99">
        <v>6.0205000000000067E-3</v>
      </c>
    </row>
    <row r="9" spans="1:8" ht="15.75" customHeight="1" x14ac:dyDescent="0.25">
      <c r="B9" s="19" t="s">
        <v>102</v>
      </c>
      <c r="C9" s="99">
        <v>5.4902399999999983E-2</v>
      </c>
    </row>
    <row r="10" spans="1:8" ht="15.75" customHeight="1" x14ac:dyDescent="0.25">
      <c r="B10" s="19" t="s">
        <v>103</v>
      </c>
      <c r="C10" s="99">
        <v>0.11243969999999991</v>
      </c>
    </row>
    <row r="11" spans="1:8" ht="15.75" customHeight="1" x14ac:dyDescent="0.25">
      <c r="B11" s="27" t="s">
        <v>59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0" t="s">
        <v>114</v>
      </c>
      <c r="D13" s="100" t="s">
        <v>115</v>
      </c>
      <c r="E13" s="100" t="s">
        <v>116</v>
      </c>
      <c r="F13" s="100" t="s">
        <v>117</v>
      </c>
      <c r="G13" s="19"/>
    </row>
    <row r="14" spans="1:8" ht="15.75" customHeight="1" x14ac:dyDescent="0.25">
      <c r="B14" s="19" t="s">
        <v>105</v>
      </c>
      <c r="C14" s="55">
        <v>0.1974429952143161</v>
      </c>
      <c r="D14" s="55">
        <v>0.1974429952143161</v>
      </c>
      <c r="E14" s="55">
        <v>0.1974429952143161</v>
      </c>
      <c r="F14" s="55">
        <v>0.1974429952143161</v>
      </c>
    </row>
    <row r="15" spans="1:8" ht="15.75" customHeight="1" x14ac:dyDescent="0.25">
      <c r="B15" s="19" t="s">
        <v>106</v>
      </c>
      <c r="C15" s="99">
        <v>0.2947634005842989</v>
      </c>
      <c r="D15" s="99">
        <v>0.2947634005842989</v>
      </c>
      <c r="E15" s="99">
        <v>0.2947634005842989</v>
      </c>
      <c r="F15" s="99">
        <v>0.2947634005842989</v>
      </c>
    </row>
    <row r="16" spans="1:8" ht="15.75" customHeight="1" x14ac:dyDescent="0.25">
      <c r="B16" s="19" t="s">
        <v>107</v>
      </c>
      <c r="C16" s="99">
        <v>3.2142176249219757E-2</v>
      </c>
      <c r="D16" s="99">
        <v>3.2142176249219757E-2</v>
      </c>
      <c r="E16" s="99">
        <v>3.2142176249219757E-2</v>
      </c>
      <c r="F16" s="99">
        <v>3.2142176249219757E-2</v>
      </c>
    </row>
    <row r="17" spans="1:8" ht="15.75" customHeight="1" x14ac:dyDescent="0.25">
      <c r="B17" s="19" t="s">
        <v>108</v>
      </c>
      <c r="C17" s="99">
        <v>3.1880501168348979E-2</v>
      </c>
      <c r="D17" s="99">
        <v>3.1880501168348979E-2</v>
      </c>
      <c r="E17" s="99">
        <v>3.1880501168348979E-2</v>
      </c>
      <c r="F17" s="99">
        <v>3.1880501168348979E-2</v>
      </c>
    </row>
    <row r="18" spans="1:8" ht="15.75" customHeight="1" x14ac:dyDescent="0.25">
      <c r="B18" s="19" t="s">
        <v>109</v>
      </c>
      <c r="C18" s="99">
        <v>0.16534944985290101</v>
      </c>
      <c r="D18" s="99">
        <v>0.16534944985290101</v>
      </c>
      <c r="E18" s="99">
        <v>0.16534944985290101</v>
      </c>
      <c r="F18" s="99">
        <v>0.16534944985290101</v>
      </c>
    </row>
    <row r="19" spans="1:8" ht="15.75" customHeight="1" x14ac:dyDescent="0.25">
      <c r="B19" s="19" t="s">
        <v>110</v>
      </c>
      <c r="C19" s="99">
        <v>1.8349752001866389E-2</v>
      </c>
      <c r="D19" s="99">
        <v>1.8349752001866389E-2</v>
      </c>
      <c r="E19" s="99">
        <v>1.8349752001866389E-2</v>
      </c>
      <c r="F19" s="99">
        <v>1.8349752001866389E-2</v>
      </c>
    </row>
    <row r="20" spans="1:8" ht="15.75" customHeight="1" x14ac:dyDescent="0.25">
      <c r="B20" s="19" t="s">
        <v>111</v>
      </c>
      <c r="C20" s="99">
        <v>1.5672880574274729E-2</v>
      </c>
      <c r="D20" s="99">
        <v>1.5672880574274729E-2</v>
      </c>
      <c r="E20" s="99">
        <v>1.5672880574274729E-2</v>
      </c>
      <c r="F20" s="99">
        <v>1.5672880574274729E-2</v>
      </c>
    </row>
    <row r="21" spans="1:8" ht="15.75" customHeight="1" x14ac:dyDescent="0.25">
      <c r="B21" s="19" t="s">
        <v>112</v>
      </c>
      <c r="C21" s="99">
        <v>7.5533540386639578E-2</v>
      </c>
      <c r="D21" s="99">
        <v>7.5533540386639578E-2</v>
      </c>
      <c r="E21" s="99">
        <v>7.5533540386639578E-2</v>
      </c>
      <c r="F21" s="99">
        <v>7.5533540386639578E-2</v>
      </c>
    </row>
    <row r="22" spans="1:8" ht="15.75" customHeight="1" x14ac:dyDescent="0.25">
      <c r="B22" s="19" t="s">
        <v>113</v>
      </c>
      <c r="C22" s="99">
        <v>0.16886530396813459</v>
      </c>
      <c r="D22" s="99">
        <v>0.16886530396813459</v>
      </c>
      <c r="E22" s="99">
        <v>0.16886530396813459</v>
      </c>
      <c r="F22" s="99">
        <v>0.16886530396813459</v>
      </c>
    </row>
    <row r="23" spans="1:8" ht="15.75" customHeight="1" x14ac:dyDescent="0.25">
      <c r="B23" s="27" t="s">
        <v>59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8.8798472000000003E-2</v>
      </c>
    </row>
    <row r="27" spans="1:8" ht="15.75" customHeight="1" x14ac:dyDescent="0.25">
      <c r="B27" s="19" t="s">
        <v>120</v>
      </c>
      <c r="C27" s="99">
        <v>8.9405939999999996E-3</v>
      </c>
    </row>
    <row r="28" spans="1:8" ht="15.75" customHeight="1" x14ac:dyDescent="0.25">
      <c r="B28" s="19" t="s">
        <v>121</v>
      </c>
      <c r="C28" s="99">
        <v>0.15585153099999999</v>
      </c>
    </row>
    <row r="29" spans="1:8" ht="15.75" customHeight="1" x14ac:dyDescent="0.25">
      <c r="B29" s="19" t="s">
        <v>122</v>
      </c>
      <c r="C29" s="99">
        <v>0.170199079</v>
      </c>
    </row>
    <row r="30" spans="1:8" ht="15.75" customHeight="1" x14ac:dyDescent="0.25">
      <c r="B30" s="19" t="s">
        <v>2</v>
      </c>
      <c r="C30" s="99">
        <v>0.10628299300000001</v>
      </c>
    </row>
    <row r="31" spans="1:8" ht="15.75" customHeight="1" x14ac:dyDescent="0.25">
      <c r="B31" s="19" t="s">
        <v>123</v>
      </c>
      <c r="C31" s="99">
        <v>0.108972139</v>
      </c>
    </row>
    <row r="32" spans="1:8" ht="15.75" customHeight="1" x14ac:dyDescent="0.25">
      <c r="B32" s="19" t="s">
        <v>124</v>
      </c>
      <c r="C32" s="99">
        <v>1.8807035E-2</v>
      </c>
    </row>
    <row r="33" spans="2:3" ht="15.75" customHeight="1" x14ac:dyDescent="0.25">
      <c r="B33" s="19" t="s">
        <v>125</v>
      </c>
      <c r="C33" s="99">
        <v>8.4353397999999996E-2</v>
      </c>
    </row>
    <row r="34" spans="2:3" ht="15.75" customHeight="1" x14ac:dyDescent="0.25">
      <c r="B34" s="19" t="s">
        <v>126</v>
      </c>
      <c r="C34" s="99">
        <v>0.25779475800000001</v>
      </c>
    </row>
    <row r="35" spans="2:3" ht="15.75" customHeight="1" x14ac:dyDescent="0.25">
      <c r="B35" s="27" t="s">
        <v>59</v>
      </c>
      <c r="C35" s="48">
        <f>SUM(C26:C34)</f>
        <v>0.99999999899999992</v>
      </c>
    </row>
  </sheetData>
  <sheetProtection algorithmName="SHA-512" hashValue="MUMHyiOLn5AHxojotWD2MkW9BfrdgN5lHizilE4ReLqa+jggpufW8DaNtBQ2uO/1noZ7CUhHPmRZvr40xJUU2w==" saltValue="Cuxsg7Iy9RDG2mVbLfpqx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0.54739346550137002</v>
      </c>
      <c r="D2" s="52">
        <f>IFERROR(1-_xlfn.NORM.DIST(_xlfn.NORM.INV(SUM(D4:D5), 0, 1) + 1, 0, 1, TRUE), "")</f>
        <v>0.54739346550137002</v>
      </c>
      <c r="E2" s="52">
        <f>IFERROR(1-_xlfn.NORM.DIST(_xlfn.NORM.INV(SUM(E4:E5), 0, 1) + 1, 0, 1, TRUE), "")</f>
        <v>0.50953998493748198</v>
      </c>
      <c r="F2" s="52">
        <f>IFERROR(1-_xlfn.NORM.DIST(_xlfn.NORM.INV(SUM(F4:F5), 0, 1) + 1, 0, 1, TRUE), "")</f>
        <v>0.3111778409419268</v>
      </c>
      <c r="G2" s="52">
        <f>IFERROR(1-_xlfn.NORM.DIST(_xlfn.NORM.INV(SUM(G4:G5), 0, 1) + 1, 0, 1, TRUE), "")</f>
        <v>0.30991657300384834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0.32105323449862999</v>
      </c>
      <c r="D3" s="52">
        <f>IFERROR(_xlfn.NORM.DIST(_xlfn.NORM.INV(SUM(D4:D5), 0, 1) + 1, 0, 1, TRUE) - SUM(D4:D5), "")</f>
        <v>0.32105323449862999</v>
      </c>
      <c r="E3" s="52">
        <f>IFERROR(_xlfn.NORM.DIST(_xlfn.NORM.INV(SUM(E4:E5), 0, 1) + 1, 0, 1, TRUE) - SUM(E4:E5), "")</f>
        <v>0.33752241506251796</v>
      </c>
      <c r="F3" s="52">
        <f>IFERROR(_xlfn.NORM.DIST(_xlfn.NORM.INV(SUM(F4:F5), 0, 1) + 1, 0, 1, TRUE) - SUM(F4:F5), "")</f>
        <v>0.38291505905807321</v>
      </c>
      <c r="G3" s="52">
        <f>IFERROR(_xlfn.NORM.DIST(_xlfn.NORM.INV(SUM(G4:G5), 0, 1) + 1, 0, 1, TRUE) - SUM(G4:G5), "")</f>
        <v>0.38292222699615164</v>
      </c>
    </row>
    <row r="4" spans="1:15" ht="15.75" customHeight="1" x14ac:dyDescent="0.25">
      <c r="B4" s="5" t="s">
        <v>132</v>
      </c>
      <c r="C4" s="45">
        <v>7.3878100000000002E-2</v>
      </c>
      <c r="D4" s="53">
        <v>7.3878100000000002E-2</v>
      </c>
      <c r="E4" s="53">
        <v>0.1012653</v>
      </c>
      <c r="F4" s="53">
        <v>0.1960865</v>
      </c>
      <c r="G4" s="53">
        <v>0.18582750000000001</v>
      </c>
    </row>
    <row r="5" spans="1:15" ht="15.75" customHeight="1" x14ac:dyDescent="0.25">
      <c r="B5" s="5" t="s">
        <v>133</v>
      </c>
      <c r="C5" s="45">
        <v>5.7675200000000003E-2</v>
      </c>
      <c r="D5" s="53">
        <v>5.7675200000000003E-2</v>
      </c>
      <c r="E5" s="53">
        <v>5.1672299999999997E-2</v>
      </c>
      <c r="F5" s="53">
        <v>0.1098206</v>
      </c>
      <c r="G5" s="53">
        <v>0.1213337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0.61419750247711358</v>
      </c>
      <c r="D8" s="52">
        <f>IFERROR(1-_xlfn.NORM.DIST(_xlfn.NORM.INV(SUM(D10:D11), 0, 1) + 1, 0, 1, TRUE), "")</f>
        <v>0.61419750247711358</v>
      </c>
      <c r="E8" s="52">
        <f>IFERROR(1-_xlfn.NORM.DIST(_xlfn.NORM.INV(SUM(E10:E11), 0, 1) + 1, 0, 1, TRUE), "")</f>
        <v>0.49055498576664736</v>
      </c>
      <c r="F8" s="52">
        <f>IFERROR(1-_xlfn.NORM.DIST(_xlfn.NORM.INV(SUM(F10:F11), 0, 1) + 1, 0, 1, TRUE), "")</f>
        <v>0.5397151751639403</v>
      </c>
      <c r="G8" s="52">
        <f>IFERROR(1-_xlfn.NORM.DIST(_xlfn.NORM.INV(SUM(G10:G11), 0, 1) + 1, 0, 1, TRUE), "")</f>
        <v>0.71132217529866593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0.28732509752288643</v>
      </c>
      <c r="D9" s="52">
        <f>IFERROR(_xlfn.NORM.DIST(_xlfn.NORM.INV(SUM(D10:D11), 0, 1) + 1, 0, 1, TRUE) - SUM(D10:D11), "")</f>
        <v>0.28732509752288643</v>
      </c>
      <c r="E9" s="52">
        <f>IFERROR(_xlfn.NORM.DIST(_xlfn.NORM.INV(SUM(E10:E11), 0, 1) + 1, 0, 1, TRUE) - SUM(E10:E11), "")</f>
        <v>0.34499271423335265</v>
      </c>
      <c r="F9" s="52">
        <f>IFERROR(_xlfn.NORM.DIST(_xlfn.NORM.INV(SUM(F10:F11), 0, 1) + 1, 0, 1, TRUE) - SUM(F10:F11), "")</f>
        <v>0.32455692483605969</v>
      </c>
      <c r="G9" s="52">
        <f>IFERROR(_xlfn.NORM.DIST(_xlfn.NORM.INV(SUM(G10:G11), 0, 1) + 1, 0, 1, TRUE) - SUM(G10:G11), "")</f>
        <v>0.22897242470133408</v>
      </c>
    </row>
    <row r="10" spans="1:15" ht="15.75" customHeight="1" x14ac:dyDescent="0.25">
      <c r="B10" s="5" t="s">
        <v>137</v>
      </c>
      <c r="C10" s="45">
        <v>6.5348699999999996E-2</v>
      </c>
      <c r="D10" s="53">
        <v>6.5348699999999996E-2</v>
      </c>
      <c r="E10" s="53">
        <v>0.1254721</v>
      </c>
      <c r="F10" s="53">
        <v>9.1041399999999995E-2</v>
      </c>
      <c r="G10" s="53">
        <v>4.4466099999999988E-2</v>
      </c>
    </row>
    <row r="11" spans="1:15" ht="15.75" customHeight="1" x14ac:dyDescent="0.25">
      <c r="B11" s="5" t="s">
        <v>138</v>
      </c>
      <c r="C11" s="45">
        <v>3.3128699999999997E-2</v>
      </c>
      <c r="D11" s="53">
        <v>3.3128699999999997E-2</v>
      </c>
      <c r="E11" s="53">
        <v>3.89802E-2</v>
      </c>
      <c r="F11" s="53">
        <v>4.4686499999999997E-2</v>
      </c>
      <c r="G11" s="53">
        <v>1.5239300000000001E-2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0.55150138500000001</v>
      </c>
      <c r="D14" s="54">
        <v>0.53403163124999997</v>
      </c>
      <c r="E14" s="54">
        <v>0.53403163124999997</v>
      </c>
      <c r="F14" s="54">
        <v>0.32995192879599999</v>
      </c>
      <c r="G14" s="54">
        <v>0.32995192879599999</v>
      </c>
      <c r="H14" s="45">
        <v>0.58399999999999996</v>
      </c>
      <c r="I14" s="55">
        <v>0.58399999999999996</v>
      </c>
      <c r="J14" s="55">
        <v>0.58399999999999996</v>
      </c>
      <c r="K14" s="55">
        <v>0.58399999999999996</v>
      </c>
      <c r="L14" s="45">
        <v>0.503</v>
      </c>
      <c r="M14" s="55">
        <v>0.503</v>
      </c>
      <c r="N14" s="55">
        <v>0.503</v>
      </c>
      <c r="O14" s="55">
        <v>0.503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0.22383400662025499</v>
      </c>
      <c r="D15" s="52">
        <f t="shared" si="0"/>
        <v>0.21674367995401872</v>
      </c>
      <c r="E15" s="52">
        <f t="shared" si="0"/>
        <v>0.21674367995401872</v>
      </c>
      <c r="F15" s="52">
        <f t="shared" si="0"/>
        <v>0.13391527967693093</v>
      </c>
      <c r="G15" s="52">
        <f t="shared" si="0"/>
        <v>0.13391527967693093</v>
      </c>
      <c r="H15" s="52">
        <f t="shared" si="0"/>
        <v>0.23702399199999996</v>
      </c>
      <c r="I15" s="52">
        <f t="shared" si="0"/>
        <v>0.23702399199999996</v>
      </c>
      <c r="J15" s="52">
        <f t="shared" si="0"/>
        <v>0.23702399199999996</v>
      </c>
      <c r="K15" s="52">
        <f t="shared" si="0"/>
        <v>0.23702399199999996</v>
      </c>
      <c r="L15" s="52">
        <f t="shared" si="0"/>
        <v>0.20414908899999998</v>
      </c>
      <c r="M15" s="52">
        <f t="shared" si="0"/>
        <v>0.20414908899999998</v>
      </c>
      <c r="N15" s="52">
        <f t="shared" si="0"/>
        <v>0.20414908899999998</v>
      </c>
      <c r="O15" s="52">
        <f t="shared" si="0"/>
        <v>0.20414908899999998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7O1zsU5CFL1FSag+I08PErdhnm/Rjh/mzKKNYhrKcUCCaejW8M6y7mn07irXbqZpjxDCTHJjkYnIr8XIQvPfwQ==" saltValue="muwSdbelBU+sIWWJJJma6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0.62072270000000007</v>
      </c>
      <c r="D2" s="53">
        <v>0.34721740000000001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0.26756039999999998</v>
      </c>
      <c r="D3" s="53">
        <v>0.48751299999999997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8.3577600000000002E-2</v>
      </c>
      <c r="D4" s="53">
        <v>0.1371406</v>
      </c>
      <c r="E4" s="53">
        <v>0.96463899999999991</v>
      </c>
      <c r="F4" s="53">
        <v>0.78567120000000001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2.8139299999999978E-2</v>
      </c>
      <c r="D5" s="52">
        <f t="shared" si="0"/>
        <v>2.8129000000000071E-2</v>
      </c>
      <c r="E5" s="52">
        <f>1-SUM(E2:E4)</f>
        <v>3.5361000000000087E-2</v>
      </c>
      <c r="F5" s="52">
        <f>1-SUM(F2:F4)</f>
        <v>0.21432879999999999</v>
      </c>
      <c r="G5" s="52">
        <f>1-SUM(G2:G4)</f>
        <v>1</v>
      </c>
    </row>
  </sheetData>
  <sheetProtection algorithmName="SHA-512" hashValue="TJ9tM+6Yi2iL0BXcYX4T9Va70YrOQih1bs1dsrjX466WC3vTAogzuJST7lxH5PYUAicDLys1fJNyo1QtZqXIRg==" saltValue="cxBxcaHyDp8F1OGOOQBzr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/dUpai9eJpWOozEOnfrw8f8fkptjtVl0RMj8dkRLN8UpWX/UMjn53KyOI+zSb1VJSiHVnKD0C+0SdxGl/OLoDQ==" saltValue="DVHbbPddFepTtETssXxUq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12</v>
      </c>
      <c r="B1" s="103" t="s">
        <v>13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163</v>
      </c>
      <c r="B2" s="107">
        <v>6225.1792224411502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162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173</v>
      </c>
      <c r="B4" s="108">
        <v>0.48199999999999998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164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165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168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167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169</v>
      </c>
      <c r="B9" s="108">
        <v>0.74736999999999998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166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174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175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176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177</v>
      </c>
      <c r="B14" s="110">
        <v>1.8910499027524799E-2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170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171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172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178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14</v>
      </c>
      <c r="B21" s="106" t="s">
        <v>15</v>
      </c>
      <c r="C21" s="106" t="s">
        <v>16</v>
      </c>
      <c r="D21" s="106" t="s">
        <v>17</v>
      </c>
      <c r="E21" s="106" t="s">
        <v>18</v>
      </c>
      <c r="F21" s="106" t="s">
        <v>19</v>
      </c>
      <c r="G21" s="106" t="s">
        <v>20</v>
      </c>
      <c r="H21" s="106" t="s">
        <v>21</v>
      </c>
      <c r="I21" s="106" t="s">
        <v>22</v>
      </c>
      <c r="J21" s="106" t="s">
        <v>23</v>
      </c>
      <c r="K21" s="106" t="s">
        <v>24</v>
      </c>
      <c r="L21" s="106" t="s">
        <v>25</v>
      </c>
      <c r="M21" s="106" t="s">
        <v>26</v>
      </c>
      <c r="N21" s="106" t="s">
        <v>27</v>
      </c>
      <c r="O21" s="106" t="s">
        <v>28</v>
      </c>
    </row>
    <row r="22" spans="1:15" x14ac:dyDescent="0.25">
      <c r="A22" s="106" t="s">
        <v>179</v>
      </c>
      <c r="B22" s="107">
        <v>98027.941210000005</v>
      </c>
      <c r="C22" s="107">
        <v>97928.220270000005</v>
      </c>
      <c r="D22" s="107">
        <v>97781.597519999996</v>
      </c>
      <c r="E22" s="107">
        <v>97432.520189999996</v>
      </c>
      <c r="F22" s="107">
        <v>96963.115000000005</v>
      </c>
      <c r="G22" s="107">
        <v>96489.588149999996</v>
      </c>
      <c r="H22" s="107">
        <v>95931.055770000006</v>
      </c>
      <c r="I22" s="107">
        <v>95151.856369999994</v>
      </c>
      <c r="J22" s="107">
        <v>93945.804000000004</v>
      </c>
      <c r="K22" s="107">
        <v>92040.425470000002</v>
      </c>
      <c r="L22" s="107">
        <v>89096.366930000004</v>
      </c>
      <c r="M22" s="107">
        <v>84789.908230000001</v>
      </c>
      <c r="N22" s="107">
        <v>59902.527269999999</v>
      </c>
      <c r="O22" s="107">
        <v>59902.527269999999</v>
      </c>
    </row>
  </sheetData>
  <sheetProtection algorithmName="SHA-512" hashValue="lQd9ymiEMeWfm4TXth+5xFo5ucUTj7d2lUF+YbqtoUIBtZztTw/g3yOIl26wDZFDT+i0up9N6BoXoPXIfzyW7A==" saltValue="gLD1XQ1U584PnPvsYFUjl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jxOspzKac8LOnbZjVAoWan/ChApBhr3wDmnOyQTTVVPqhr0aCCHAVlwjbrYOrLYJ7QTeFdxZDFo+6v6fd6n80g==" saltValue="UjrlreHebUlQimSUQiNGU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alLSHe2VRR27L9tkdFEi3ZO25gFCDhcL2vm5QO2xubpaNuH7uW2QjQaV8+mmOlA1ej4da8BIkSJoexjQHGIB7w==" saltValue="8Iw7w1sOYYVCySHfR/A+s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6">
        <v>0.95</v>
      </c>
      <c r="D2" s="56">
        <v>23.266651740020471</v>
      </c>
      <c r="E2" s="56" t="s">
        <v>230</v>
      </c>
      <c r="F2" s="96">
        <v>1</v>
      </c>
      <c r="G2" s="96">
        <v>1</v>
      </c>
    </row>
    <row r="3" spans="1:7" ht="15.75" customHeight="1" x14ac:dyDescent="0.25">
      <c r="A3" s="5" t="s">
        <v>198</v>
      </c>
      <c r="B3" s="45">
        <v>0</v>
      </c>
      <c r="C3" s="96">
        <v>0.95</v>
      </c>
      <c r="D3" s="56">
        <v>23.266651740020471</v>
      </c>
      <c r="E3" s="56" t="s">
        <v>230</v>
      </c>
      <c r="F3" s="96">
        <v>1</v>
      </c>
      <c r="G3" s="96">
        <v>1</v>
      </c>
    </row>
    <row r="4" spans="1:7" ht="15.75" customHeight="1" x14ac:dyDescent="0.25">
      <c r="A4" s="5" t="s">
        <v>199</v>
      </c>
      <c r="B4" s="96">
        <v>0</v>
      </c>
      <c r="C4" s="96">
        <v>0.95</v>
      </c>
      <c r="D4" s="56">
        <v>0.80999999999999994</v>
      </c>
      <c r="E4" s="56" t="s">
        <v>230</v>
      </c>
      <c r="F4" s="96">
        <v>1</v>
      </c>
      <c r="G4" s="96">
        <v>1</v>
      </c>
    </row>
    <row r="5" spans="1:7" ht="15.75" customHeight="1" x14ac:dyDescent="0.25">
      <c r="A5" s="5" t="s">
        <v>200</v>
      </c>
      <c r="B5" s="96">
        <v>0</v>
      </c>
      <c r="C5" s="96">
        <v>0.95</v>
      </c>
      <c r="D5" s="56">
        <v>1.1645825935762411</v>
      </c>
      <c r="E5" s="56" t="s">
        <v>230</v>
      </c>
      <c r="F5" s="96">
        <v>1</v>
      </c>
      <c r="G5" s="96">
        <v>1</v>
      </c>
    </row>
    <row r="6" spans="1:7" ht="15.75" customHeight="1" x14ac:dyDescent="0.25">
      <c r="A6" s="5" t="s">
        <v>201</v>
      </c>
      <c r="B6" s="96">
        <v>0</v>
      </c>
      <c r="C6" s="96">
        <v>0.95</v>
      </c>
      <c r="D6" s="56">
        <v>99.99</v>
      </c>
      <c r="E6" s="56" t="s">
        <v>230</v>
      </c>
      <c r="F6" s="96">
        <v>1</v>
      </c>
      <c r="G6" s="96">
        <v>1</v>
      </c>
    </row>
    <row r="7" spans="1:7" ht="15.75" customHeight="1" x14ac:dyDescent="0.25">
      <c r="A7" s="5" t="s">
        <v>202</v>
      </c>
      <c r="B7" s="96">
        <v>0</v>
      </c>
      <c r="C7" s="96">
        <v>0.95</v>
      </c>
      <c r="D7" s="56">
        <v>0.19283527130965261</v>
      </c>
      <c r="E7" s="56" t="s">
        <v>230</v>
      </c>
      <c r="F7" s="96">
        <v>1</v>
      </c>
      <c r="G7" s="96">
        <v>1</v>
      </c>
    </row>
    <row r="8" spans="1:7" ht="15.75" customHeight="1" x14ac:dyDescent="0.25">
      <c r="A8" s="5" t="s">
        <v>203</v>
      </c>
      <c r="B8" s="96">
        <v>0</v>
      </c>
      <c r="C8" s="96">
        <v>0.95</v>
      </c>
      <c r="D8" s="56">
        <v>1.899427422400078</v>
      </c>
      <c r="E8" s="56" t="s">
        <v>230</v>
      </c>
      <c r="F8" s="96">
        <v>1</v>
      </c>
      <c r="G8" s="96">
        <v>1</v>
      </c>
    </row>
    <row r="9" spans="1:7" ht="15.75" customHeight="1" x14ac:dyDescent="0.25">
      <c r="A9" s="5" t="s">
        <v>204</v>
      </c>
      <c r="B9" s="96">
        <v>0</v>
      </c>
      <c r="C9" s="96">
        <v>0.95</v>
      </c>
      <c r="D9" s="56">
        <v>0.33</v>
      </c>
      <c r="E9" s="56" t="s">
        <v>230</v>
      </c>
      <c r="F9" s="96">
        <v>1</v>
      </c>
      <c r="G9" s="96">
        <v>1</v>
      </c>
    </row>
    <row r="10" spans="1:7" ht="15.75" customHeight="1" x14ac:dyDescent="0.25">
      <c r="A10" s="11" t="s">
        <v>205</v>
      </c>
      <c r="B10" s="45">
        <v>0.28031230000000001</v>
      </c>
      <c r="C10" s="96">
        <v>0.95</v>
      </c>
      <c r="D10" s="56">
        <v>12.99613066460511</v>
      </c>
      <c r="E10" s="56" t="s">
        <v>230</v>
      </c>
      <c r="F10" s="96">
        <v>1</v>
      </c>
      <c r="G10" s="96">
        <v>1</v>
      </c>
    </row>
    <row r="11" spans="1:7" ht="15.75" customHeight="1" x14ac:dyDescent="0.25">
      <c r="A11" s="11" t="s">
        <v>206</v>
      </c>
      <c r="B11" s="96">
        <v>0</v>
      </c>
      <c r="C11" s="96">
        <v>0.95</v>
      </c>
      <c r="D11" s="56">
        <v>12.99613066460511</v>
      </c>
      <c r="E11" s="56" t="s">
        <v>230</v>
      </c>
      <c r="F11" s="96">
        <v>1</v>
      </c>
      <c r="G11" s="96">
        <v>1</v>
      </c>
    </row>
    <row r="12" spans="1:7" ht="15.75" customHeight="1" x14ac:dyDescent="0.25">
      <c r="A12" s="11" t="s">
        <v>207</v>
      </c>
      <c r="B12" s="96">
        <v>0</v>
      </c>
      <c r="C12" s="96">
        <v>0.95</v>
      </c>
      <c r="D12" s="56">
        <v>12.99613066460511</v>
      </c>
      <c r="E12" s="56" t="s">
        <v>230</v>
      </c>
      <c r="F12" s="96">
        <v>1</v>
      </c>
      <c r="G12" s="96">
        <v>1</v>
      </c>
    </row>
    <row r="13" spans="1:7" ht="15.75" customHeight="1" x14ac:dyDescent="0.25">
      <c r="A13" s="11" t="s">
        <v>208</v>
      </c>
      <c r="B13" s="96">
        <v>0</v>
      </c>
      <c r="C13" s="96">
        <v>0.95</v>
      </c>
      <c r="D13" s="56">
        <v>12.99613066460511</v>
      </c>
      <c r="E13" s="56" t="s">
        <v>230</v>
      </c>
      <c r="F13" s="96">
        <v>1</v>
      </c>
      <c r="G13" s="96">
        <v>1</v>
      </c>
    </row>
    <row r="14" spans="1:7" ht="15.75" customHeight="1" x14ac:dyDescent="0.25">
      <c r="A14" s="5" t="s">
        <v>209</v>
      </c>
      <c r="B14" s="45">
        <v>0.28031230000000001</v>
      </c>
      <c r="C14" s="96">
        <v>0.95</v>
      </c>
      <c r="D14" s="56">
        <v>12.99613066460511</v>
      </c>
      <c r="E14" s="56" t="s">
        <v>230</v>
      </c>
      <c r="F14" s="96">
        <v>1</v>
      </c>
      <c r="G14" s="96">
        <v>1</v>
      </c>
    </row>
    <row r="15" spans="1:7" ht="15.75" customHeight="1" x14ac:dyDescent="0.25">
      <c r="A15" s="5" t="s">
        <v>210</v>
      </c>
      <c r="B15" s="96">
        <v>0</v>
      </c>
      <c r="C15" s="96">
        <v>0.95</v>
      </c>
      <c r="D15" s="56">
        <v>12.99613066460511</v>
      </c>
      <c r="E15" s="56" t="s">
        <v>230</v>
      </c>
      <c r="F15" s="96">
        <v>1</v>
      </c>
      <c r="G15" s="96">
        <v>1</v>
      </c>
    </row>
    <row r="16" spans="1:7" ht="15.75" customHeight="1" x14ac:dyDescent="0.25">
      <c r="A16" s="5" t="s">
        <v>211</v>
      </c>
      <c r="B16" s="45">
        <v>0.7607335999999999</v>
      </c>
      <c r="C16" s="96">
        <v>0.95</v>
      </c>
      <c r="D16" s="56">
        <v>1.57</v>
      </c>
      <c r="E16" s="56" t="s">
        <v>230</v>
      </c>
      <c r="F16" s="96">
        <v>1</v>
      </c>
      <c r="G16" s="96">
        <v>1</v>
      </c>
    </row>
    <row r="17" spans="1:7" ht="15.75" customHeight="1" x14ac:dyDescent="0.25">
      <c r="A17" s="5" t="s">
        <v>212</v>
      </c>
      <c r="B17" s="96">
        <v>0.12279</v>
      </c>
      <c r="C17" s="96">
        <v>0.95</v>
      </c>
      <c r="D17" s="56">
        <v>0.1369044839662158</v>
      </c>
      <c r="E17" s="56" t="s">
        <v>230</v>
      </c>
      <c r="F17" s="96">
        <v>1</v>
      </c>
      <c r="G17" s="96">
        <v>1</v>
      </c>
    </row>
    <row r="18" spans="1:7" ht="15.9" customHeight="1" x14ac:dyDescent="0.25">
      <c r="A18" s="5" t="s">
        <v>186</v>
      </c>
      <c r="B18" s="96">
        <v>0.34721740000000001</v>
      </c>
      <c r="C18" s="96">
        <v>0.95</v>
      </c>
      <c r="D18" s="56">
        <v>8.0823886898669404</v>
      </c>
      <c r="E18" s="56" t="s">
        <v>230</v>
      </c>
      <c r="F18" s="96">
        <v>1</v>
      </c>
      <c r="G18" s="96">
        <v>1</v>
      </c>
    </row>
    <row r="19" spans="1:7" ht="15.75" customHeight="1" x14ac:dyDescent="0.25">
      <c r="A19" s="5" t="s">
        <v>187</v>
      </c>
      <c r="B19" s="96">
        <v>0.34721740000000001</v>
      </c>
      <c r="C19" s="96">
        <v>0.95</v>
      </c>
      <c r="D19" s="56">
        <v>3.11</v>
      </c>
      <c r="E19" s="56" t="s">
        <v>230</v>
      </c>
      <c r="F19" s="96">
        <v>1</v>
      </c>
      <c r="G19" s="96">
        <v>1</v>
      </c>
    </row>
    <row r="20" spans="1:7" ht="15.75" customHeight="1" x14ac:dyDescent="0.25">
      <c r="A20" s="5" t="s">
        <v>188</v>
      </c>
      <c r="B20" s="96">
        <v>0</v>
      </c>
      <c r="C20" s="96">
        <v>0.95</v>
      </c>
      <c r="D20" s="56">
        <v>99.99</v>
      </c>
      <c r="E20" s="56" t="s">
        <v>230</v>
      </c>
      <c r="F20" s="96">
        <v>1</v>
      </c>
      <c r="G20" s="96">
        <v>1</v>
      </c>
    </row>
    <row r="21" spans="1:7" ht="15.75" customHeight="1" x14ac:dyDescent="0.25">
      <c r="A21" s="5" t="s">
        <v>213</v>
      </c>
      <c r="B21" s="45">
        <v>0</v>
      </c>
      <c r="C21" s="96">
        <v>0.95</v>
      </c>
      <c r="D21" s="56">
        <v>8.32</v>
      </c>
      <c r="E21" s="56" t="s">
        <v>230</v>
      </c>
      <c r="F21" s="96">
        <v>1</v>
      </c>
      <c r="G21" s="96">
        <v>1</v>
      </c>
    </row>
    <row r="22" spans="1:7" ht="15.75" customHeight="1" x14ac:dyDescent="0.25">
      <c r="A22" s="5" t="s">
        <v>214</v>
      </c>
      <c r="B22" s="96">
        <v>0</v>
      </c>
      <c r="C22" s="96">
        <v>0.95</v>
      </c>
      <c r="D22" s="56">
        <v>0.80999999999999994</v>
      </c>
      <c r="E22" s="56" t="s">
        <v>230</v>
      </c>
      <c r="F22" s="96">
        <v>1</v>
      </c>
      <c r="G22" s="96">
        <v>1</v>
      </c>
    </row>
    <row r="23" spans="1:7" ht="15.75" customHeight="1" x14ac:dyDescent="0.25">
      <c r="A23" s="5" t="s">
        <v>215</v>
      </c>
      <c r="B23" s="96">
        <v>0.85079989999999994</v>
      </c>
      <c r="C23" s="96">
        <v>0.95</v>
      </c>
      <c r="D23" s="56">
        <v>4.2693071752319298</v>
      </c>
      <c r="E23" s="56" t="s">
        <v>230</v>
      </c>
      <c r="F23" s="96">
        <v>1</v>
      </c>
      <c r="G23" s="96">
        <v>1</v>
      </c>
    </row>
    <row r="24" spans="1:7" ht="15.75" customHeight="1" x14ac:dyDescent="0.25">
      <c r="A24" s="5" t="s">
        <v>216</v>
      </c>
      <c r="B24" s="45">
        <v>0.47779756487578001</v>
      </c>
      <c r="C24" s="96">
        <v>0.95</v>
      </c>
      <c r="D24" s="56">
        <v>99.99</v>
      </c>
      <c r="E24" s="56" t="s">
        <v>230</v>
      </c>
      <c r="F24" s="96">
        <v>1</v>
      </c>
      <c r="G24" s="96">
        <v>1</v>
      </c>
    </row>
    <row r="25" spans="1:7" ht="15.75" customHeight="1" x14ac:dyDescent="0.25">
      <c r="A25" s="5" t="s">
        <v>217</v>
      </c>
      <c r="B25" s="96">
        <v>0</v>
      </c>
      <c r="C25" s="96">
        <v>0.95</v>
      </c>
      <c r="D25" s="56">
        <v>99.99</v>
      </c>
      <c r="E25" s="56" t="s">
        <v>230</v>
      </c>
      <c r="F25" s="96">
        <v>1</v>
      </c>
      <c r="G25" s="96">
        <v>1</v>
      </c>
    </row>
    <row r="26" spans="1:7" ht="15.75" customHeight="1" x14ac:dyDescent="0.25">
      <c r="A26" s="5" t="s">
        <v>218</v>
      </c>
      <c r="B26" s="45">
        <v>0</v>
      </c>
      <c r="C26" s="96">
        <v>0.95</v>
      </c>
      <c r="D26" s="56">
        <v>8.469314227226203</v>
      </c>
      <c r="E26" s="56" t="s">
        <v>230</v>
      </c>
      <c r="F26" s="96">
        <v>1</v>
      </c>
      <c r="G26" s="96">
        <v>1</v>
      </c>
    </row>
    <row r="27" spans="1:7" ht="15.75" customHeight="1" x14ac:dyDescent="0.25">
      <c r="A27" s="5" t="s">
        <v>219</v>
      </c>
      <c r="B27" s="45">
        <v>0</v>
      </c>
      <c r="C27" s="96">
        <v>0.95</v>
      </c>
      <c r="D27" s="56">
        <v>14.964151740020471</v>
      </c>
      <c r="E27" s="56" t="s">
        <v>230</v>
      </c>
      <c r="F27" s="96">
        <v>1</v>
      </c>
      <c r="G27" s="96">
        <v>1</v>
      </c>
    </row>
    <row r="28" spans="1:7" ht="15.75" customHeight="1" x14ac:dyDescent="0.25">
      <c r="A28" s="5" t="s">
        <v>220</v>
      </c>
      <c r="B28" s="45">
        <v>0.21443380000000001</v>
      </c>
      <c r="C28" s="96">
        <v>0.95</v>
      </c>
      <c r="D28" s="56">
        <v>99.99</v>
      </c>
      <c r="E28" s="56" t="s">
        <v>230</v>
      </c>
      <c r="F28" s="96">
        <v>1</v>
      </c>
      <c r="G28" s="96">
        <v>1</v>
      </c>
    </row>
    <row r="29" spans="1:7" ht="15.75" customHeight="1" x14ac:dyDescent="0.25">
      <c r="A29" s="5" t="s">
        <v>221</v>
      </c>
      <c r="B29" s="45">
        <v>0.2174344</v>
      </c>
      <c r="C29" s="96">
        <v>0.95</v>
      </c>
      <c r="D29" s="56">
        <v>20.363404650299319</v>
      </c>
      <c r="E29" s="56" t="s">
        <v>230</v>
      </c>
      <c r="F29" s="96">
        <v>1</v>
      </c>
      <c r="G29" s="96">
        <v>1</v>
      </c>
    </row>
    <row r="30" spans="1:7" ht="15.75" customHeight="1" x14ac:dyDescent="0.25">
      <c r="A30" s="5" t="s">
        <v>234</v>
      </c>
      <c r="B30" s="96">
        <v>0</v>
      </c>
      <c r="C30" s="96">
        <v>0.95</v>
      </c>
      <c r="D30" s="56">
        <v>53.05041964170676</v>
      </c>
      <c r="E30" s="56" t="s">
        <v>230</v>
      </c>
      <c r="F30" s="96">
        <v>1</v>
      </c>
      <c r="G30" s="96">
        <v>1</v>
      </c>
    </row>
    <row r="31" spans="1:7" ht="15.75" customHeight="1" x14ac:dyDescent="0.25">
      <c r="A31" s="5" t="s">
        <v>190</v>
      </c>
      <c r="B31" s="45">
        <v>0.41820000000000002</v>
      </c>
      <c r="C31" s="96">
        <v>0.95</v>
      </c>
      <c r="D31" s="56">
        <v>118.83755373592631</v>
      </c>
      <c r="E31" s="56" t="s">
        <v>230</v>
      </c>
      <c r="F31" s="96">
        <v>1</v>
      </c>
      <c r="G31" s="96">
        <v>1</v>
      </c>
    </row>
    <row r="32" spans="1:7" ht="15.75" customHeight="1" x14ac:dyDescent="0.25">
      <c r="A32" s="5" t="s">
        <v>222</v>
      </c>
      <c r="B32" s="45">
        <v>0.85</v>
      </c>
      <c r="C32" s="96">
        <v>0.95</v>
      </c>
      <c r="D32" s="56">
        <v>0.69</v>
      </c>
      <c r="E32" s="56" t="s">
        <v>230</v>
      </c>
      <c r="F32" s="96">
        <v>1</v>
      </c>
      <c r="G32" s="96">
        <v>1</v>
      </c>
    </row>
    <row r="33" spans="1:7" ht="15.75" customHeight="1" x14ac:dyDescent="0.25">
      <c r="A33" s="5" t="s">
        <v>223</v>
      </c>
      <c r="B33" s="45">
        <v>0.17300869999999999</v>
      </c>
      <c r="C33" s="96">
        <v>0.95</v>
      </c>
      <c r="D33" s="56">
        <v>99.99</v>
      </c>
      <c r="E33" s="56" t="s">
        <v>230</v>
      </c>
      <c r="F33" s="96">
        <v>1</v>
      </c>
      <c r="G33" s="96">
        <v>1</v>
      </c>
    </row>
    <row r="34" spans="1:7" ht="15.75" customHeight="1" x14ac:dyDescent="0.25">
      <c r="A34" s="5" t="s">
        <v>224</v>
      </c>
      <c r="B34" s="45">
        <v>0.64071500000000003</v>
      </c>
      <c r="C34" s="96">
        <v>0.95</v>
      </c>
      <c r="D34" s="56">
        <v>99.99</v>
      </c>
      <c r="E34" s="56" t="s">
        <v>230</v>
      </c>
      <c r="F34" s="96">
        <v>1</v>
      </c>
      <c r="G34" s="96">
        <v>1</v>
      </c>
    </row>
    <row r="35" spans="1:7" ht="15.75" customHeight="1" x14ac:dyDescent="0.25">
      <c r="A35" s="5" t="s">
        <v>225</v>
      </c>
      <c r="B35" s="96">
        <v>0</v>
      </c>
      <c r="C35" s="96">
        <v>0.95</v>
      </c>
      <c r="D35" s="56">
        <v>99.99</v>
      </c>
      <c r="E35" s="56" t="s">
        <v>230</v>
      </c>
      <c r="F35" s="96">
        <v>1</v>
      </c>
      <c r="G35" s="96">
        <v>1</v>
      </c>
    </row>
    <row r="36" spans="1:7" ht="15.75" customHeight="1" x14ac:dyDescent="0.25">
      <c r="A36" s="5" t="s">
        <v>226</v>
      </c>
      <c r="B36" s="45">
        <v>4.764E-3</v>
      </c>
      <c r="C36" s="96">
        <v>0.95</v>
      </c>
      <c r="D36" s="56">
        <v>99.99</v>
      </c>
      <c r="E36" s="56" t="s">
        <v>230</v>
      </c>
      <c r="F36" s="96">
        <v>1</v>
      </c>
      <c r="G36" s="96">
        <v>1</v>
      </c>
    </row>
    <row r="37" spans="1:7" ht="15.75" customHeight="1" x14ac:dyDescent="0.25">
      <c r="A37" s="5" t="s">
        <v>227</v>
      </c>
      <c r="B37" s="45">
        <v>0.52630830000000006</v>
      </c>
      <c r="C37" s="96">
        <v>0.95</v>
      </c>
      <c r="D37" s="56">
        <v>99.99</v>
      </c>
      <c r="E37" s="56" t="s">
        <v>230</v>
      </c>
      <c r="F37" s="96">
        <v>1</v>
      </c>
      <c r="G37" s="96">
        <v>1</v>
      </c>
    </row>
    <row r="38" spans="1:7" ht="15.75" customHeight="1" x14ac:dyDescent="0.25">
      <c r="A38" s="5" t="s">
        <v>228</v>
      </c>
      <c r="B38" s="45">
        <v>0.15360070000000001</v>
      </c>
      <c r="C38" s="96">
        <v>0.95</v>
      </c>
      <c r="D38" s="56">
        <v>3.45</v>
      </c>
      <c r="E38" s="56" t="s">
        <v>230</v>
      </c>
      <c r="F38" s="96">
        <v>1</v>
      </c>
      <c r="G38" s="96">
        <v>1</v>
      </c>
    </row>
    <row r="39" spans="1:7" ht="15.75" customHeight="1" x14ac:dyDescent="0.25">
      <c r="A39" s="5" t="s">
        <v>229</v>
      </c>
      <c r="B39" s="45">
        <v>0</v>
      </c>
      <c r="C39" s="96">
        <v>0.95</v>
      </c>
      <c r="D39" s="56">
        <v>3.07</v>
      </c>
      <c r="E39" s="56" t="s">
        <v>230</v>
      </c>
      <c r="F39" s="96">
        <v>1</v>
      </c>
      <c r="G39" s="96">
        <v>1</v>
      </c>
    </row>
  </sheetData>
  <sheetProtection algorithmName="SHA-512" hashValue="rQxMiCDregJzenKs7p7EBxjCfBamQ02r9CptwtAEXsXxa2W0amxu9xr2hIXMogfvhFu6mwn6jIfoCVEasyuvgQ==" saltValue="4X7Fyj9I+tSGk0Zl3viGB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LhK1f3d/IJzpeVPsbkYBY0Uu3b0/yfOGe6nsRTLewA3zxw2NBhWHyEa4LlnOabw/osUFflWNbT2K5HGJNokXLw==" saltValue="IXCPXKLSc8a5ZWEo4RFTX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SMkKJJ9BW58RK6wc0lK62KclAUrSNZpWw3FSOuL1uLSPb6cS9fzqdNNkQD0VSiaddHejIu7BJl9gLrMd2quFEw==" saltValue="B0Np6VqdEums5VPNGyPx1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3.3</v>
      </c>
      <c r="C2" s="21">
        <f>'Données pop de l''année de ref'!C52</f>
        <v>3.3</v>
      </c>
      <c r="D2" s="21">
        <f>'Données pop de l''année de ref'!C53</f>
        <v>3.3</v>
      </c>
      <c r="E2" s="21">
        <f>'Données pop de l''année de ref'!C54</f>
        <v>3.3</v>
      </c>
      <c r="F2" s="21">
        <f>'Données pop de l''année de ref'!C55</f>
        <v>3.3</v>
      </c>
    </row>
    <row r="3" spans="1:6" ht="15.75" customHeight="1" x14ac:dyDescent="0.25">
      <c r="A3" s="3" t="s">
        <v>238</v>
      </c>
      <c r="B3" s="21">
        <f>frac_mam_1month * 2.6</f>
        <v>0.16990662000000001</v>
      </c>
      <c r="C3" s="21">
        <f>frac_mam_1_5months * 2.6</f>
        <v>0.16990662000000001</v>
      </c>
      <c r="D3" s="21">
        <f>frac_mam_6_11months * 2.6</f>
        <v>0.32622746000000002</v>
      </c>
      <c r="E3" s="21">
        <f>frac_mam_12_23months * 2.6</f>
        <v>0.23670764</v>
      </c>
      <c r="F3" s="21">
        <f>frac_mam_24_59months * 2.6</f>
        <v>0.11561185999999997</v>
      </c>
    </row>
    <row r="4" spans="1:6" ht="15.75" customHeight="1" x14ac:dyDescent="0.25">
      <c r="A4" s="3" t="s">
        <v>237</v>
      </c>
      <c r="B4" s="21">
        <f>frac_sam_1month * 2.6</f>
        <v>8.6134619999999995E-2</v>
      </c>
      <c r="C4" s="21">
        <f>frac_sam_1_5months * 2.6</f>
        <v>8.6134619999999995E-2</v>
      </c>
      <c r="D4" s="21">
        <f>frac_sam_6_11months * 2.6</f>
        <v>0.10134852</v>
      </c>
      <c r="E4" s="21">
        <f>frac_sam_12_23months * 2.6</f>
        <v>0.11618489999999999</v>
      </c>
      <c r="F4" s="21">
        <f>frac_sam_24_59months * 2.6</f>
        <v>3.962218E-2</v>
      </c>
    </row>
  </sheetData>
  <sheetProtection algorithmName="SHA-512" hashValue="UK17Wbcb9ZbKEmL483iGDHlb5e6+0SVaRpUE4gpArTXK+BRpVKUDcbQNnzgzDo2GRtEPOIIKalztNH8OExZT+A==" saltValue="WlU8/DuC1k6SChctM/cGd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7.2000000000000008E-2</v>
      </c>
      <c r="F2" s="60">
        <f>food_insecure</f>
        <v>7.2000000000000008E-2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7.2000000000000008E-2</v>
      </c>
      <c r="F5" s="60">
        <f>food_insecure</f>
        <v>7.2000000000000008E-2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7.2000000000000008E-2</v>
      </c>
      <c r="F8" s="60">
        <f>food_insecure</f>
        <v>7.2000000000000008E-2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7.2000000000000008E-2</v>
      </c>
      <c r="F9" s="60">
        <f>food_insecure</f>
        <v>7.2000000000000008E-2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7.2000000000000008E-2</v>
      </c>
      <c r="I15" s="60">
        <f t="shared" si="0"/>
        <v>7.2000000000000008E-2</v>
      </c>
      <c r="J15" s="60">
        <f t="shared" si="0"/>
        <v>7.2000000000000008E-2</v>
      </c>
      <c r="K15" s="60">
        <f t="shared" si="0"/>
        <v>7.2000000000000008E-2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7.2000000000000008E-2</v>
      </c>
      <c r="I16" s="60">
        <f t="shared" si="0"/>
        <v>7.2000000000000008E-2</v>
      </c>
      <c r="J16" s="60">
        <f t="shared" si="0"/>
        <v>7.2000000000000008E-2</v>
      </c>
      <c r="K16" s="60">
        <f t="shared" si="0"/>
        <v>7.2000000000000008E-2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0.9</v>
      </c>
      <c r="I19" s="60">
        <f>frac_malaria_risk</f>
        <v>0.9</v>
      </c>
      <c r="J19" s="60">
        <f>frac_malaria_risk</f>
        <v>0.9</v>
      </c>
      <c r="K19" s="60">
        <f>frac_malaria_risk</f>
        <v>0.9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8.1000000000000003E-2</v>
      </c>
      <c r="M24" s="60">
        <f>famplan_unmet_need</f>
        <v>8.1000000000000003E-2</v>
      </c>
      <c r="N24" s="60">
        <f>famplan_unmet_need</f>
        <v>8.1000000000000003E-2</v>
      </c>
      <c r="O24" s="60">
        <f>famplan_unmet_need</f>
        <v>8.1000000000000003E-2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0.209980050896</v>
      </c>
      <c r="M25" s="60">
        <f>(1-food_insecure)*(0.49)+food_insecure*(0.7)</f>
        <v>0.50512000000000001</v>
      </c>
      <c r="N25" s="60">
        <f>(1-food_insecure)*(0.49)+food_insecure*(0.7)</f>
        <v>0.50512000000000001</v>
      </c>
      <c r="O25" s="60">
        <f>(1-food_insecure)*(0.49)+food_insecure*(0.7)</f>
        <v>0.50512000000000001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8.9991450383999999E-2</v>
      </c>
      <c r="M26" s="60">
        <f>(1-food_insecure)*(0.21)+food_insecure*(0.3)</f>
        <v>0.21647999999999998</v>
      </c>
      <c r="N26" s="60">
        <f>(1-food_insecure)*(0.21)+food_insecure*(0.3)</f>
        <v>0.21647999999999998</v>
      </c>
      <c r="O26" s="60">
        <f>(1-food_insecure)*(0.21)+food_insecure*(0.3)</f>
        <v>0.21647999999999998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0.11573179871999999</v>
      </c>
      <c r="M27" s="60">
        <f>(1-food_insecure)*(0.3)</f>
        <v>0.27839999999999998</v>
      </c>
      <c r="N27" s="60">
        <f>(1-food_insecure)*(0.3)</f>
        <v>0.27839999999999998</v>
      </c>
      <c r="O27" s="60">
        <f>(1-food_insecure)*(0.3)</f>
        <v>0.27839999999999998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0.5842967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0.9</v>
      </c>
      <c r="D34" s="60">
        <f t="shared" si="4"/>
        <v>0.9</v>
      </c>
      <c r="E34" s="60">
        <f t="shared" si="4"/>
        <v>0.9</v>
      </c>
      <c r="F34" s="60">
        <f t="shared" si="4"/>
        <v>0.9</v>
      </c>
      <c r="G34" s="60">
        <f t="shared" si="4"/>
        <v>0.9</v>
      </c>
      <c r="H34" s="60">
        <f t="shared" si="4"/>
        <v>0.9</v>
      </c>
      <c r="I34" s="60">
        <f t="shared" si="4"/>
        <v>0.9</v>
      </c>
      <c r="J34" s="60">
        <f t="shared" si="4"/>
        <v>0.9</v>
      </c>
      <c r="K34" s="60">
        <f t="shared" si="4"/>
        <v>0.9</v>
      </c>
      <c r="L34" s="60">
        <f t="shared" si="4"/>
        <v>0.9</v>
      </c>
      <c r="M34" s="60">
        <f t="shared" si="4"/>
        <v>0.9</v>
      </c>
      <c r="N34" s="60">
        <f t="shared" si="4"/>
        <v>0.9</v>
      </c>
      <c r="O34" s="60">
        <f t="shared" si="4"/>
        <v>0.9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ErAv+/LY7qIGYB7pN+okmAhH/kI1FWmw1gcIRDDzAHEqJgGLhsfR+2sPibcJzImk7+DqApCOP2ivIoz8snF5Rg==" saltValue="3TGixKfLhtFRKMZ13t+Ir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WefioXIIZqPiz+rYcDey2JKLLac/0gQ6hvVj5nxCH5o4xn8bSXWfnrGsWokbRmQo7yRhQnuIHDMnQ87W377EyA==" saltValue="hs9CQugivtUOoiv0hUrs1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gco7FenLV1bV8U4VlCQg5gZS0opmmKK2t+OYcL7pfDU1x5/Ry/m65Jzl3Iz+iimEOpCcrcc76Qr2Kk668onMYg==" saltValue="OoBbCZB4MqHC1qyeV0WAM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lQ3JUFVH7b8MBS/4nxgvIr1NsAyGA5peM6z+UXpAswu1/IOvhL219XQprHm6oxRwQbpF1nqUmHwbBIydy+i7Hg==" saltValue="n2eI40adcBsCZ3vOtJr9z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189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13" t="s">
        <v>197</v>
      </c>
      <c r="B2" s="114"/>
      <c r="C2" s="114"/>
      <c r="D2" s="114"/>
      <c r="E2" s="114"/>
      <c r="F2" s="114"/>
      <c r="G2" s="114"/>
      <c r="H2" s="114"/>
      <c r="I2" s="114" t="s">
        <v>4</v>
      </c>
      <c r="J2" s="114"/>
      <c r="K2" s="114"/>
      <c r="L2" s="114"/>
    </row>
    <row r="3" spans="1:12" x14ac:dyDescent="0.25">
      <c r="A3" s="113" t="s">
        <v>198</v>
      </c>
      <c r="B3" s="114"/>
      <c r="C3" s="114"/>
      <c r="D3" s="114"/>
      <c r="E3" s="114"/>
      <c r="F3" s="114"/>
      <c r="G3" s="114"/>
      <c r="H3" s="114" t="s">
        <v>4</v>
      </c>
      <c r="I3" s="114" t="s">
        <v>4</v>
      </c>
      <c r="J3" s="114"/>
      <c r="K3" s="114"/>
      <c r="L3" s="114"/>
    </row>
    <row r="4" spans="1:12" x14ac:dyDescent="0.25">
      <c r="A4" s="113" t="s">
        <v>199</v>
      </c>
      <c r="B4" s="114" t="s">
        <v>4</v>
      </c>
      <c r="C4" s="114"/>
      <c r="D4" s="114" t="s">
        <v>4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200</v>
      </c>
      <c r="B5" s="114"/>
      <c r="C5" s="114" t="s">
        <v>4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201</v>
      </c>
      <c r="B6" s="114"/>
      <c r="C6" s="114"/>
      <c r="D6" s="114"/>
      <c r="E6" s="114"/>
      <c r="F6" s="114"/>
      <c r="G6" s="114"/>
      <c r="H6" s="114"/>
      <c r="I6" s="114"/>
      <c r="J6" s="114" t="s">
        <v>4</v>
      </c>
      <c r="K6" s="114" t="s">
        <v>4</v>
      </c>
      <c r="L6" s="114"/>
    </row>
    <row r="7" spans="1:12" x14ac:dyDescent="0.25">
      <c r="A7" s="113" t="s">
        <v>202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/>
      <c r="J7" s="114"/>
      <c r="K7" s="114"/>
      <c r="L7" s="114"/>
    </row>
    <row r="8" spans="1:12" x14ac:dyDescent="0.25">
      <c r="A8" s="113" t="s">
        <v>203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/>
      <c r="J8" s="114"/>
      <c r="K8" s="114"/>
      <c r="L8" s="114"/>
    </row>
    <row r="9" spans="1:12" x14ac:dyDescent="0.25">
      <c r="A9" s="113" t="s">
        <v>204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/>
      <c r="J9" s="114"/>
      <c r="K9" s="114"/>
      <c r="L9" s="114"/>
    </row>
    <row r="10" spans="1:12" x14ac:dyDescent="0.25">
      <c r="A10" s="113" t="s">
        <v>205</v>
      </c>
      <c r="B10" s="114"/>
      <c r="C10" s="114" t="s">
        <v>4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206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207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208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209</v>
      </c>
      <c r="B14" s="114"/>
      <c r="C14" s="114" t="s">
        <v>4</v>
      </c>
      <c r="D14" s="114"/>
      <c r="E14" s="114"/>
      <c r="F14" s="114"/>
      <c r="G14" s="114"/>
      <c r="H14" s="114"/>
      <c r="I14" s="114" t="s">
        <v>4</v>
      </c>
      <c r="J14" s="114"/>
      <c r="K14" s="114"/>
      <c r="L14" s="114"/>
    </row>
    <row r="15" spans="1:12" x14ac:dyDescent="0.25">
      <c r="A15" s="115" t="s">
        <v>210</v>
      </c>
      <c r="B15" s="114"/>
      <c r="C15" s="114" t="s">
        <v>4</v>
      </c>
      <c r="D15" s="114"/>
      <c r="E15" s="114"/>
      <c r="F15" s="114"/>
      <c r="G15" s="114"/>
      <c r="H15" s="114"/>
      <c r="I15" s="114" t="s">
        <v>4</v>
      </c>
      <c r="J15" s="114"/>
      <c r="K15" s="114"/>
      <c r="L15" s="114"/>
    </row>
    <row r="16" spans="1:12" x14ac:dyDescent="0.25">
      <c r="A16" s="113" t="s">
        <v>211</v>
      </c>
      <c r="B16" s="114"/>
      <c r="C16" s="114" t="s">
        <v>4</v>
      </c>
      <c r="D16" s="114"/>
      <c r="E16" s="114"/>
      <c r="F16" s="114"/>
      <c r="G16" s="114"/>
      <c r="H16" s="114" t="s">
        <v>4</v>
      </c>
      <c r="I16" s="114" t="s">
        <v>4</v>
      </c>
      <c r="J16" s="114"/>
      <c r="K16" s="114"/>
      <c r="L16" s="114"/>
    </row>
    <row r="17" spans="1:12" x14ac:dyDescent="0.25">
      <c r="A17" s="113" t="s">
        <v>212</v>
      </c>
      <c r="B17" s="114"/>
      <c r="C17" s="114" t="s">
        <v>4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186</v>
      </c>
      <c r="B18" s="114" t="s">
        <v>4</v>
      </c>
      <c r="C18" s="114"/>
      <c r="D18" s="114"/>
      <c r="E18" s="114"/>
      <c r="F18" s="114" t="s">
        <v>4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187</v>
      </c>
      <c r="B19" s="114" t="s">
        <v>4</v>
      </c>
      <c r="C19" s="114"/>
      <c r="D19" s="114"/>
      <c r="E19" s="114"/>
      <c r="F19" s="114" t="s">
        <v>4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188</v>
      </c>
      <c r="B20" s="114" t="s">
        <v>4</v>
      </c>
      <c r="C20" s="114"/>
      <c r="D20" s="114"/>
      <c r="E20" s="114"/>
      <c r="F20" s="114" t="s">
        <v>4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213</v>
      </c>
      <c r="B21" s="114"/>
      <c r="C21" s="114"/>
      <c r="D21" s="114"/>
      <c r="E21" s="114"/>
      <c r="F21" s="114"/>
      <c r="G21" s="114"/>
      <c r="H21" s="114" t="s">
        <v>4</v>
      </c>
      <c r="I21" s="114" t="s">
        <v>4</v>
      </c>
      <c r="J21" s="114"/>
      <c r="K21" s="114"/>
      <c r="L21" s="114"/>
    </row>
    <row r="22" spans="1:12" x14ac:dyDescent="0.25">
      <c r="A22" s="113" t="s">
        <v>214</v>
      </c>
      <c r="B22" s="114" t="s">
        <v>4</v>
      </c>
      <c r="C22" s="114" t="s">
        <v>4</v>
      </c>
      <c r="D22" s="114" t="s">
        <v>4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215</v>
      </c>
      <c r="B23" s="114"/>
      <c r="C23" s="114" t="s">
        <v>4</v>
      </c>
      <c r="D23" s="114"/>
      <c r="E23" s="114"/>
      <c r="F23" s="114"/>
      <c r="G23" s="114"/>
      <c r="H23" s="114"/>
      <c r="I23" s="114" t="s">
        <v>4</v>
      </c>
      <c r="J23" s="114"/>
      <c r="K23" s="114"/>
      <c r="L23" s="114"/>
    </row>
    <row r="24" spans="1:12" x14ac:dyDescent="0.25">
      <c r="A24" s="113" t="s">
        <v>216</v>
      </c>
      <c r="B24" s="114"/>
      <c r="C24" s="114"/>
      <c r="D24" s="114"/>
      <c r="E24" s="114"/>
      <c r="F24" s="114"/>
      <c r="G24" s="114"/>
      <c r="H24" s="114" t="s">
        <v>4</v>
      </c>
      <c r="I24" s="114"/>
      <c r="J24" s="114"/>
      <c r="K24" s="114"/>
      <c r="L24" s="114"/>
    </row>
    <row r="25" spans="1:12" x14ac:dyDescent="0.25">
      <c r="A25" s="113" t="s">
        <v>217</v>
      </c>
      <c r="B25" s="114"/>
      <c r="C25" s="114"/>
      <c r="D25" s="114"/>
      <c r="E25" s="114"/>
      <c r="F25" s="114"/>
      <c r="G25" s="114"/>
      <c r="H25" s="114" t="s">
        <v>4</v>
      </c>
      <c r="I25" s="114"/>
      <c r="J25" s="114"/>
      <c r="K25" s="114"/>
      <c r="L25" s="114"/>
    </row>
    <row r="26" spans="1:12" x14ac:dyDescent="0.25">
      <c r="A26" s="113" t="s">
        <v>218</v>
      </c>
      <c r="B26" s="114"/>
      <c r="C26" s="114" t="s">
        <v>4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219</v>
      </c>
      <c r="B27" s="114"/>
      <c r="C27" s="114" t="s">
        <v>4</v>
      </c>
      <c r="D27" s="114"/>
      <c r="E27" s="114"/>
      <c r="F27" s="114"/>
      <c r="G27" s="114"/>
      <c r="H27" s="114"/>
      <c r="I27" s="114" t="s">
        <v>4</v>
      </c>
      <c r="J27" s="114"/>
      <c r="K27" s="114"/>
      <c r="L27" s="114" t="s">
        <v>4</v>
      </c>
    </row>
    <row r="28" spans="1:12" x14ac:dyDescent="0.25">
      <c r="A28" s="113" t="s">
        <v>220</v>
      </c>
      <c r="B28" s="114"/>
      <c r="C28" s="114"/>
      <c r="D28" s="114"/>
      <c r="E28" s="114"/>
      <c r="F28" s="114"/>
      <c r="G28" s="114"/>
      <c r="H28" s="114" t="s">
        <v>4</v>
      </c>
      <c r="I28" s="114"/>
      <c r="J28" s="114"/>
      <c r="K28" s="114"/>
      <c r="L28" s="114"/>
    </row>
    <row r="29" spans="1:12" x14ac:dyDescent="0.25">
      <c r="A29" s="113" t="s">
        <v>221</v>
      </c>
      <c r="B29" s="114" t="s">
        <v>4</v>
      </c>
      <c r="C29" s="114"/>
      <c r="D29" s="114" t="s">
        <v>4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234</v>
      </c>
      <c r="B30" s="114" t="s">
        <v>4</v>
      </c>
      <c r="C30" s="114" t="s">
        <v>4</v>
      </c>
      <c r="D30" s="114" t="s">
        <v>4</v>
      </c>
      <c r="E30" s="114"/>
      <c r="F30" s="114"/>
      <c r="G30" s="114"/>
      <c r="H30" s="114" t="s">
        <v>4</v>
      </c>
      <c r="I30" s="114"/>
      <c r="J30" s="114"/>
      <c r="K30" s="114"/>
      <c r="L30" s="114"/>
    </row>
    <row r="31" spans="1:12" x14ac:dyDescent="0.25">
      <c r="A31" s="113" t="s">
        <v>190</v>
      </c>
      <c r="B31" s="114"/>
      <c r="C31" s="114"/>
      <c r="D31" s="114"/>
      <c r="E31" s="114" t="s">
        <v>4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222</v>
      </c>
      <c r="B32" s="114"/>
      <c r="C32" s="114"/>
      <c r="D32" s="114"/>
      <c r="E32" s="114"/>
      <c r="F32" s="114"/>
      <c r="G32" s="114" t="s">
        <v>4</v>
      </c>
      <c r="H32" s="114" t="s">
        <v>4</v>
      </c>
      <c r="I32" s="114"/>
      <c r="J32" s="114"/>
      <c r="K32" s="114"/>
      <c r="L32" s="114"/>
    </row>
    <row r="33" spans="1:12" x14ac:dyDescent="0.25">
      <c r="A33" s="113" t="s">
        <v>223</v>
      </c>
      <c r="B33" s="114"/>
      <c r="C33" s="114"/>
      <c r="D33" s="114"/>
      <c r="E33" s="114"/>
      <c r="F33" s="114"/>
      <c r="G33" s="114" t="s">
        <v>4</v>
      </c>
      <c r="H33" s="114" t="s">
        <v>4</v>
      </c>
      <c r="I33" s="114"/>
      <c r="J33" s="114"/>
      <c r="K33" s="114"/>
      <c r="L33" s="114"/>
    </row>
    <row r="34" spans="1:12" x14ac:dyDescent="0.25">
      <c r="A34" s="113" t="s">
        <v>224</v>
      </c>
      <c r="B34" s="114"/>
      <c r="C34" s="114"/>
      <c r="D34" s="114"/>
      <c r="E34" s="114"/>
      <c r="F34" s="114"/>
      <c r="G34" s="114" t="s">
        <v>4</v>
      </c>
      <c r="H34" s="114" t="s">
        <v>4</v>
      </c>
      <c r="I34" s="114"/>
      <c r="J34" s="114"/>
      <c r="K34" s="114"/>
      <c r="L34" s="114"/>
    </row>
    <row r="35" spans="1:12" x14ac:dyDescent="0.25">
      <c r="A35" s="113" t="s">
        <v>225</v>
      </c>
      <c r="B35" s="114"/>
      <c r="C35" s="114"/>
      <c r="D35" s="114"/>
      <c r="E35" s="114"/>
      <c r="F35" s="114"/>
      <c r="G35" s="114" t="s">
        <v>4</v>
      </c>
      <c r="H35" s="114" t="s">
        <v>4</v>
      </c>
      <c r="I35" s="114"/>
      <c r="J35" s="114"/>
      <c r="K35" s="114"/>
      <c r="L35" s="114"/>
    </row>
    <row r="36" spans="1:12" x14ac:dyDescent="0.25">
      <c r="A36" s="113" t="s">
        <v>226</v>
      </c>
      <c r="B36" s="114"/>
      <c r="C36" s="114"/>
      <c r="D36" s="114"/>
      <c r="E36" s="114"/>
      <c r="F36" s="114"/>
      <c r="G36" s="114" t="s">
        <v>4</v>
      </c>
      <c r="H36" s="114" t="s">
        <v>4</v>
      </c>
      <c r="I36" s="114"/>
      <c r="J36" s="114"/>
      <c r="K36" s="114"/>
      <c r="L36" s="114"/>
    </row>
    <row r="37" spans="1:12" x14ac:dyDescent="0.25">
      <c r="A37" s="113" t="s">
        <v>227</v>
      </c>
      <c r="B37" s="114"/>
      <c r="C37" s="114"/>
      <c r="D37" s="114"/>
      <c r="E37" s="114"/>
      <c r="F37" s="114"/>
      <c r="G37" s="114" t="s">
        <v>4</v>
      </c>
      <c r="H37" s="114" t="s">
        <v>4</v>
      </c>
      <c r="I37" s="114"/>
      <c r="J37" s="114"/>
      <c r="K37" s="114"/>
      <c r="L37" s="114"/>
    </row>
    <row r="38" spans="1:12" x14ac:dyDescent="0.25">
      <c r="A38" s="113" t="s">
        <v>228</v>
      </c>
      <c r="B38" s="114"/>
      <c r="C38" s="114"/>
      <c r="D38" s="114"/>
      <c r="E38" s="114"/>
      <c r="F38" s="114"/>
      <c r="G38" s="114"/>
      <c r="H38" s="114" t="s">
        <v>4</v>
      </c>
      <c r="I38" s="114"/>
      <c r="J38" s="114"/>
      <c r="K38" s="114"/>
      <c r="L38" s="114"/>
    </row>
    <row r="39" spans="1:12" x14ac:dyDescent="0.25">
      <c r="A39" s="113" t="s">
        <v>229</v>
      </c>
      <c r="B39" s="114" t="s">
        <v>4</v>
      </c>
      <c r="C39" s="114"/>
      <c r="D39" s="114"/>
      <c r="E39" s="114"/>
      <c r="F39" s="114"/>
      <c r="G39" s="114" t="s">
        <v>4</v>
      </c>
      <c r="H39" s="114" t="s">
        <v>4</v>
      </c>
      <c r="I39" s="114"/>
      <c r="J39" s="114"/>
      <c r="K39" s="114"/>
      <c r="L39" s="114"/>
    </row>
  </sheetData>
  <sheetProtection algorithmName="SHA-512" hashValue="BzEvhYAOY/9q8KcSg88RvNdDpCND/TbP5U+MKDapYnf/MwzlpDni+b/vuwJGnEcM8ClFdV+chHt5mymARsZBHg==" saltValue="7LRVNR5TmKxC7SBqfNiAo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261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06" t="s">
        <v>127</v>
      </c>
      <c r="B2" s="114" t="s">
        <v>4</v>
      </c>
      <c r="C2" s="114" t="s">
        <v>4</v>
      </c>
      <c r="D2" s="114" t="s">
        <v>4</v>
      </c>
      <c r="E2" s="114" t="s">
        <v>4</v>
      </c>
      <c r="F2" s="114" t="s">
        <v>4</v>
      </c>
      <c r="G2" s="114" t="s">
        <v>4</v>
      </c>
      <c r="H2" s="114" t="s">
        <v>4</v>
      </c>
      <c r="I2" s="114"/>
      <c r="J2" s="114"/>
      <c r="K2" s="114"/>
      <c r="L2" s="114"/>
    </row>
    <row r="3" spans="1:12" x14ac:dyDescent="0.25">
      <c r="A3" s="106" t="s">
        <v>114</v>
      </c>
      <c r="B3" s="114" t="s">
        <v>4</v>
      </c>
      <c r="C3" s="114" t="s">
        <v>4</v>
      </c>
      <c r="D3" s="114" t="s">
        <v>4</v>
      </c>
      <c r="E3" s="114" t="s">
        <v>4</v>
      </c>
      <c r="F3" s="114" t="s">
        <v>4</v>
      </c>
      <c r="G3" s="114" t="s">
        <v>4</v>
      </c>
      <c r="H3" s="114" t="s">
        <v>4</v>
      </c>
      <c r="I3" s="114"/>
      <c r="J3" s="114"/>
      <c r="K3" s="114"/>
      <c r="L3" s="114"/>
    </row>
    <row r="4" spans="1:12" x14ac:dyDescent="0.25">
      <c r="A4" s="106" t="s">
        <v>115</v>
      </c>
      <c r="B4" s="114" t="s">
        <v>4</v>
      </c>
      <c r="C4" s="114" t="s">
        <v>4</v>
      </c>
      <c r="D4" s="114" t="s">
        <v>4</v>
      </c>
      <c r="E4" s="114" t="s">
        <v>4</v>
      </c>
      <c r="F4" s="114" t="s">
        <v>4</v>
      </c>
      <c r="G4" s="114" t="s">
        <v>4</v>
      </c>
      <c r="H4" s="114" t="s">
        <v>4</v>
      </c>
      <c r="I4" s="114"/>
      <c r="J4" s="114"/>
      <c r="K4" s="114"/>
      <c r="L4" s="114"/>
    </row>
    <row r="5" spans="1:12" x14ac:dyDescent="0.25">
      <c r="A5" s="106" t="s">
        <v>116</v>
      </c>
      <c r="B5" s="114" t="s">
        <v>4</v>
      </c>
      <c r="C5" s="114" t="s">
        <v>4</v>
      </c>
      <c r="D5" s="114" t="s">
        <v>4</v>
      </c>
      <c r="E5" s="114" t="s">
        <v>4</v>
      </c>
      <c r="F5" s="114" t="s">
        <v>4</v>
      </c>
      <c r="G5" s="114" t="s">
        <v>4</v>
      </c>
      <c r="H5" s="114" t="s">
        <v>4</v>
      </c>
      <c r="I5" s="114"/>
      <c r="J5" s="114"/>
      <c r="K5" s="114"/>
      <c r="L5" s="114"/>
    </row>
    <row r="6" spans="1:12" x14ac:dyDescent="0.25">
      <c r="A6" s="106" t="s">
        <v>117</v>
      </c>
      <c r="B6" s="114" t="s">
        <v>4</v>
      </c>
      <c r="C6" s="114" t="s">
        <v>4</v>
      </c>
      <c r="D6" s="114" t="s">
        <v>4</v>
      </c>
      <c r="E6" s="114" t="s">
        <v>4</v>
      </c>
      <c r="F6" s="114" t="s">
        <v>4</v>
      </c>
      <c r="G6" s="114" t="s">
        <v>4</v>
      </c>
      <c r="H6" s="114" t="s">
        <v>4</v>
      </c>
      <c r="I6" s="114"/>
      <c r="J6" s="114"/>
      <c r="K6" s="114"/>
      <c r="L6" s="114"/>
    </row>
    <row r="7" spans="1:12" x14ac:dyDescent="0.25">
      <c r="A7" s="106" t="s">
        <v>140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 t="s">
        <v>4</v>
      </c>
      <c r="J7" s="114"/>
      <c r="K7" s="114"/>
      <c r="L7" s="114" t="s">
        <v>4</v>
      </c>
    </row>
    <row r="8" spans="1:12" x14ac:dyDescent="0.25">
      <c r="A8" s="106" t="s">
        <v>141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 t="s">
        <v>4</v>
      </c>
      <c r="J8" s="114"/>
      <c r="K8" s="114"/>
      <c r="L8" s="114" t="s">
        <v>4</v>
      </c>
    </row>
    <row r="9" spans="1:12" x14ac:dyDescent="0.25">
      <c r="A9" s="106" t="s">
        <v>142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 t="s">
        <v>4</v>
      </c>
      <c r="J9" s="114"/>
      <c r="K9" s="114"/>
      <c r="L9" s="114" t="s">
        <v>4</v>
      </c>
    </row>
    <row r="10" spans="1:12" x14ac:dyDescent="0.25">
      <c r="A10" s="106" t="s">
        <v>143</v>
      </c>
      <c r="B10" s="114"/>
      <c r="C10" s="114" t="s">
        <v>4</v>
      </c>
      <c r="D10" s="114"/>
      <c r="E10" s="114"/>
      <c r="F10" s="114"/>
      <c r="G10" s="114"/>
      <c r="H10" s="114" t="s">
        <v>4</v>
      </c>
      <c r="I10" s="114" t="s">
        <v>4</v>
      </c>
      <c r="J10" s="114"/>
      <c r="K10" s="114"/>
      <c r="L10" s="114" t="s">
        <v>4</v>
      </c>
    </row>
    <row r="11" spans="1:12" x14ac:dyDescent="0.25">
      <c r="A11" s="106" t="s">
        <v>87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 t="s">
        <v>4</v>
      </c>
      <c r="K11" s="114" t="s">
        <v>4</v>
      </c>
      <c r="L11" s="114"/>
    </row>
    <row r="12" spans="1:12" x14ac:dyDescent="0.25">
      <c r="A12" s="106" t="s">
        <v>88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 t="s">
        <v>4</v>
      </c>
      <c r="L12" s="114"/>
    </row>
    <row r="13" spans="1:12" x14ac:dyDescent="0.25">
      <c r="A13" s="106" t="s">
        <v>89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 t="s">
        <v>4</v>
      </c>
      <c r="L13" s="114"/>
    </row>
    <row r="14" spans="1:12" x14ac:dyDescent="0.25">
      <c r="A14" s="106" t="s">
        <v>90</v>
      </c>
      <c r="B14" s="114"/>
      <c r="C14" s="114" t="s">
        <v>4</v>
      </c>
      <c r="D14" s="114"/>
      <c r="E14" s="114"/>
      <c r="F14" s="114"/>
      <c r="G14" s="114"/>
      <c r="H14" s="114"/>
      <c r="I14" s="114"/>
      <c r="J14" s="114"/>
      <c r="K14" s="114" t="s">
        <v>4</v>
      </c>
      <c r="L14" s="114"/>
    </row>
  </sheetData>
  <sheetProtection algorithmName="SHA-512" hashValue="auFtf6J5n1zQgEzPcuLNMh92se8wodz94izr8ideVBScQ99+0D3PmHv0TloSdVFD+F/KhzvOkbolPTSip1Ae/w==" saltValue="Bmon4Elg+78OqXAFDDlBo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6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6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6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6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6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6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6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6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6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d4/HN/Ma95VFJdfay6+InhkioR2SU+NNGEVcjh/LTF05ZgqkNoSRcSnXoSjxR3B7hIaUYn+UVtIclismTZ5FCQ==" saltValue="5pfs1isV0x7ZhZfkTY9seQ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264</v>
      </c>
    </row>
    <row r="2" spans="1:7" ht="14.25" customHeight="1" x14ac:dyDescent="0.3">
      <c r="A2" s="120" t="s">
        <v>6</v>
      </c>
      <c r="B2" s="105"/>
      <c r="C2" s="103" t="s">
        <v>127</v>
      </c>
      <c r="D2" s="103" t="s">
        <v>114</v>
      </c>
      <c r="E2" s="103" t="s">
        <v>115</v>
      </c>
      <c r="F2" s="103" t="s">
        <v>116</v>
      </c>
      <c r="G2" s="103" t="s">
        <v>117</v>
      </c>
    </row>
    <row r="3" spans="1:7" ht="14.25" customHeight="1" x14ac:dyDescent="0.25">
      <c r="B3" s="115" t="s">
        <v>274</v>
      </c>
      <c r="C3" s="116" t="s">
        <v>10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275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276</v>
      </c>
    </row>
    <row r="6" spans="1:7" ht="14.25" customHeight="1" x14ac:dyDescent="0.25">
      <c r="B6" s="115" t="s">
        <v>221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214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199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234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229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280</v>
      </c>
    </row>
    <row r="13" spans="1:7" ht="14.25" customHeight="1" x14ac:dyDescent="0.3">
      <c r="A13" s="121"/>
      <c r="B13" s="115" t="s">
        <v>213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277</v>
      </c>
    </row>
    <row r="16" spans="1:7" ht="14.25" customHeight="1" x14ac:dyDescent="0.3">
      <c r="A16" s="120" t="s">
        <v>283</v>
      </c>
      <c r="B16" s="115" t="s">
        <v>278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281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139</v>
      </c>
      <c r="B18" s="115" t="s">
        <v>279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282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201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264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6</v>
      </c>
      <c r="B26" s="105"/>
      <c r="C26" s="103" t="s">
        <v>127</v>
      </c>
      <c r="D26" s="103" t="s">
        <v>114</v>
      </c>
      <c r="E26" s="103" t="s">
        <v>115</v>
      </c>
      <c r="F26" s="103" t="s">
        <v>116</v>
      </c>
      <c r="G26" s="103" t="s">
        <v>117</v>
      </c>
    </row>
    <row r="27" spans="1:7" x14ac:dyDescent="0.25">
      <c r="B27" s="115" t="s">
        <v>284</v>
      </c>
      <c r="C27" s="116" t="s">
        <v>10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285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286</v>
      </c>
    </row>
    <row r="30" spans="1:7" x14ac:dyDescent="0.25">
      <c r="B30" s="115" t="s">
        <v>287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288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29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289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290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291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277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283</v>
      </c>
      <c r="B40" s="115" t="s">
        <v>292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293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139</v>
      </c>
      <c r="B42" s="115" t="s">
        <v>294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296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270</v>
      </c>
    </row>
    <row r="49" spans="1:7" ht="13" x14ac:dyDescent="0.3">
      <c r="A49" s="118" t="s">
        <v>264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6</v>
      </c>
      <c r="B50" s="105"/>
      <c r="C50" s="103" t="s">
        <v>127</v>
      </c>
      <c r="D50" s="103" t="s">
        <v>114</v>
      </c>
      <c r="E50" s="103" t="s">
        <v>115</v>
      </c>
      <c r="F50" s="103" t="s">
        <v>116</v>
      </c>
      <c r="G50" s="103" t="s">
        <v>117</v>
      </c>
    </row>
    <row r="51" spans="1:7" x14ac:dyDescent="0.25">
      <c r="B51" s="115" t="s">
        <v>297</v>
      </c>
      <c r="C51" s="116" t="s">
        <v>10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298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299</v>
      </c>
    </row>
    <row r="54" spans="1:7" x14ac:dyDescent="0.25">
      <c r="B54" s="115" t="s">
        <v>300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301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30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311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302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304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277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283</v>
      </c>
      <c r="B64" s="115" t="s">
        <v>305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306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139</v>
      </c>
      <c r="B66" s="115" t="s">
        <v>307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308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309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KhqNxIMeb7YJ+qnHcgcR8UUeiO35khcRe79o7Gi9PBnUwWdKicMZrCL0nKyE9KAql3fjPiqKz/Xch1l+XCgXUg==" saltValue="tDDU/RlZBCMQbP5RvHO1U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189</v>
      </c>
      <c r="B1" s="103"/>
      <c r="C1" s="103" t="s">
        <v>69</v>
      </c>
      <c r="D1" s="103" t="s">
        <v>71</v>
      </c>
      <c r="E1" s="103" t="s">
        <v>70</v>
      </c>
      <c r="F1" s="105" t="s">
        <v>72</v>
      </c>
    </row>
    <row r="2" spans="1:6" ht="15.75" customHeight="1" x14ac:dyDescent="0.25">
      <c r="A2" s="115" t="s">
        <v>197</v>
      </c>
      <c r="B2" s="115" t="s">
        <v>312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313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198</v>
      </c>
      <c r="B4" s="115" t="s">
        <v>312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209</v>
      </c>
      <c r="B6" s="115" t="s">
        <v>312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313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210</v>
      </c>
      <c r="B8" s="115" t="s">
        <v>312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313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211</v>
      </c>
      <c r="B10" s="115" t="s">
        <v>312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313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215</v>
      </c>
      <c r="B12" s="115" t="s">
        <v>312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313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219</v>
      </c>
      <c r="B14" s="115" t="s">
        <v>312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313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189</v>
      </c>
      <c r="B18" s="103"/>
      <c r="C18" s="103" t="s">
        <v>69</v>
      </c>
      <c r="D18" s="103" t="s">
        <v>71</v>
      </c>
      <c r="E18" s="103" t="s">
        <v>70</v>
      </c>
      <c r="F18" s="105" t="s">
        <v>72</v>
      </c>
    </row>
    <row r="19" spans="1:6" ht="15.75" customHeight="1" x14ac:dyDescent="0.25">
      <c r="A19" s="115" t="s">
        <v>197</v>
      </c>
      <c r="B19" s="115" t="s">
        <v>312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313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198</v>
      </c>
      <c r="B21" s="115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209</v>
      </c>
      <c r="B23" s="115" t="s">
        <v>312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313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210</v>
      </c>
      <c r="B25" s="115" t="s">
        <v>312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313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211</v>
      </c>
      <c r="B27" s="115" t="s">
        <v>312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313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215</v>
      </c>
      <c r="B29" s="115" t="s">
        <v>312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313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219</v>
      </c>
      <c r="B31" s="115" t="s">
        <v>312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313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270</v>
      </c>
    </row>
    <row r="35" spans="1:6" ht="15.75" customHeight="1" x14ac:dyDescent="0.3">
      <c r="A35" s="105" t="s">
        <v>189</v>
      </c>
      <c r="B35" s="103"/>
      <c r="C35" s="103" t="s">
        <v>69</v>
      </c>
      <c r="D35" s="103" t="s">
        <v>71</v>
      </c>
      <c r="E35" s="103" t="s">
        <v>70</v>
      </c>
      <c r="F35" s="105" t="s">
        <v>72</v>
      </c>
    </row>
    <row r="36" spans="1:6" ht="15.75" customHeight="1" x14ac:dyDescent="0.25">
      <c r="A36" s="115" t="s">
        <v>197</v>
      </c>
      <c r="B36" s="115" t="s">
        <v>312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313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198</v>
      </c>
      <c r="B38" s="115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209</v>
      </c>
      <c r="B40" s="115" t="s">
        <v>312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313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210</v>
      </c>
      <c r="B42" s="115" t="s">
        <v>312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313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211</v>
      </c>
      <c r="B44" s="115" t="s">
        <v>312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313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215</v>
      </c>
      <c r="B46" s="115" t="s">
        <v>312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313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219</v>
      </c>
      <c r="B48" s="115" t="s">
        <v>312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313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FT0KWqq2ADmUtvGBI3BSctHOPHFPO+iUrE2xzIRwi+J2QgW/lV7Hg6uPb45mgjWUuxHgax5eCmXkabHBvq7fNw==" saltValue="eBokBp9hUuXQfoa+UGuyt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S15oN7bL9X35X6IN5mM24EPKFepWKgmmp7S6mH+HvJeAEIPRqfQHpJ4lu3HX0B4jIqUlomX9lsI7w+aDcfMYGg==" saltValue="eaXwsjGtRZOG5xr1pWN37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sjWibgjiF6jz2lACkg2seLWEXDnvJ3Pf7j1DpDNACxAz4qnjA2kjtYnwxByL0Zr9dGSZXW4xqYyT2uzg44eEhQ==" saltValue="wiAUQogf7iiiS6XMA83lt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214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I5211IeTyhEcvtK7d0068if9v0UY4TY2nKowiOo1qmZ9BFhF+k1vgPs9w+1uTfkfu+UYeJZvW9Dra9UqJf5HCA==" saltValue="ygGT4YeISlqtsfVOMubOk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6yOV+yPtEwzxkHN+1SR4gYfKkBsz1CA2RGQXxXTnMeWY1Zre1WvWekV1c6r135Pdio9SK0TYoYPDYvUom+hURw==" saltValue="RJrECJIqiz3HNDd6Rus8C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189</v>
      </c>
      <c r="B1" s="103" t="s">
        <v>364</v>
      </c>
      <c r="C1" s="120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113" t="s">
        <v>222</v>
      </c>
      <c r="B2" s="113" t="s">
        <v>105</v>
      </c>
      <c r="C2" s="113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221</v>
      </c>
      <c r="B5" s="113" t="s">
        <v>237</v>
      </c>
      <c r="C5" s="113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238</v>
      </c>
      <c r="C7" s="113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214</v>
      </c>
      <c r="B9" s="113" t="s">
        <v>237</v>
      </c>
      <c r="C9" s="113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238</v>
      </c>
      <c r="C11" s="113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234</v>
      </c>
      <c r="B13" s="113" t="s">
        <v>237</v>
      </c>
      <c r="C13" s="113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238</v>
      </c>
      <c r="C15" s="113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368</v>
      </c>
      <c r="C17" s="113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366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199</v>
      </c>
      <c r="B19" s="113" t="s">
        <v>237</v>
      </c>
      <c r="C19" s="113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238</v>
      </c>
      <c r="C21" s="113" t="s">
        <v>365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367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204</v>
      </c>
      <c r="B23" s="113" t="s">
        <v>102</v>
      </c>
      <c r="C23" s="113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202</v>
      </c>
      <c r="B25" s="113" t="s">
        <v>102</v>
      </c>
      <c r="C25" s="113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203</v>
      </c>
      <c r="B27" s="113" t="s">
        <v>102</v>
      </c>
      <c r="C27" s="113" t="s">
        <v>365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366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226</v>
      </c>
      <c r="B29" s="113" t="s">
        <v>105</v>
      </c>
      <c r="C29" s="113" t="s">
        <v>365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366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367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227</v>
      </c>
      <c r="B32" s="113" t="s">
        <v>105</v>
      </c>
      <c r="C32" s="113" t="s">
        <v>365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366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367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225</v>
      </c>
      <c r="B35" s="113" t="s">
        <v>105</v>
      </c>
      <c r="C35" s="113" t="s">
        <v>365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366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367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224</v>
      </c>
      <c r="B38" s="113" t="s">
        <v>105</v>
      </c>
      <c r="C38" s="113" t="s">
        <v>365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366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367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223</v>
      </c>
      <c r="B41" s="113" t="s">
        <v>105</v>
      </c>
      <c r="C41" s="113" t="s">
        <v>365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366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367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229</v>
      </c>
      <c r="B44" s="113" t="s">
        <v>105</v>
      </c>
      <c r="C44" s="113" t="s">
        <v>365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366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367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106</v>
      </c>
      <c r="C47" s="113" t="s">
        <v>365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366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367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220</v>
      </c>
      <c r="B50" s="113" t="s">
        <v>105</v>
      </c>
      <c r="C50" s="113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366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228</v>
      </c>
      <c r="B52" s="113" t="s">
        <v>105</v>
      </c>
      <c r="C52" s="113" t="s">
        <v>365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366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213</v>
      </c>
      <c r="B54" s="113" t="s">
        <v>100</v>
      </c>
      <c r="C54" s="113" t="s">
        <v>365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366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362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189</v>
      </c>
      <c r="B58" s="103" t="s">
        <v>364</v>
      </c>
      <c r="C58" s="120" t="s">
        <v>11</v>
      </c>
      <c r="D58" s="4" t="s">
        <v>127</v>
      </c>
      <c r="E58" s="4" t="s">
        <v>114</v>
      </c>
      <c r="F58" s="4" t="s">
        <v>115</v>
      </c>
      <c r="G58" s="4" t="s">
        <v>116</v>
      </c>
      <c r="H58" s="4" t="s">
        <v>117</v>
      </c>
    </row>
    <row r="59" spans="1:8" x14ac:dyDescent="0.25">
      <c r="A59" s="113" t="s">
        <v>222</v>
      </c>
      <c r="B59" s="113" t="s">
        <v>105</v>
      </c>
      <c r="C59" s="113" t="s">
        <v>365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366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367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221</v>
      </c>
      <c r="B62" s="113" t="s">
        <v>237</v>
      </c>
      <c r="C62" s="113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238</v>
      </c>
      <c r="C64" s="113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214</v>
      </c>
      <c r="B66" s="113" t="s">
        <v>237</v>
      </c>
      <c r="C66" s="113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238</v>
      </c>
      <c r="C68" s="113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367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234</v>
      </c>
      <c r="B70" s="113" t="s">
        <v>237</v>
      </c>
      <c r="C70" s="113" t="s">
        <v>365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367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238</v>
      </c>
      <c r="C72" s="113" t="s">
        <v>365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368</v>
      </c>
      <c r="C74" s="113" t="s">
        <v>365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366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199</v>
      </c>
      <c r="B76" s="113" t="s">
        <v>237</v>
      </c>
      <c r="C76" s="113" t="s">
        <v>365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367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238</v>
      </c>
      <c r="C78" s="113" t="s">
        <v>365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367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204</v>
      </c>
      <c r="B80" s="113" t="s">
        <v>102</v>
      </c>
      <c r="C80" s="113" t="s">
        <v>365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366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202</v>
      </c>
      <c r="B82" s="113" t="s">
        <v>102</v>
      </c>
      <c r="C82" s="113" t="s">
        <v>365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366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203</v>
      </c>
      <c r="B84" s="113" t="s">
        <v>102</v>
      </c>
      <c r="C84" s="113" t="s">
        <v>365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366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226</v>
      </c>
      <c r="B86" s="113" t="s">
        <v>105</v>
      </c>
      <c r="C86" s="113" t="s">
        <v>365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366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367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227</v>
      </c>
      <c r="B89" s="113" t="s">
        <v>105</v>
      </c>
      <c r="C89" s="113" t="s">
        <v>365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366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367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225</v>
      </c>
      <c r="B92" s="113" t="s">
        <v>105</v>
      </c>
      <c r="C92" s="113" t="s">
        <v>365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366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367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224</v>
      </c>
      <c r="B95" s="113" t="s">
        <v>105</v>
      </c>
      <c r="C95" s="113" t="s">
        <v>365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366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367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223</v>
      </c>
      <c r="B98" s="113" t="s">
        <v>105</v>
      </c>
      <c r="C98" s="113" t="s">
        <v>365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366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367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229</v>
      </c>
      <c r="B101" s="113" t="s">
        <v>105</v>
      </c>
      <c r="C101" s="113" t="s">
        <v>365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366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367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106</v>
      </c>
      <c r="C104" s="113" t="s">
        <v>365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366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367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220</v>
      </c>
      <c r="B107" s="113" t="s">
        <v>105</v>
      </c>
      <c r="C107" s="113" t="s">
        <v>365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366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228</v>
      </c>
      <c r="B109" s="113" t="s">
        <v>105</v>
      </c>
      <c r="C109" s="113" t="s">
        <v>365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366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213</v>
      </c>
      <c r="B111" s="113" t="s">
        <v>100</v>
      </c>
      <c r="C111" s="113" t="s">
        <v>365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366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363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189</v>
      </c>
      <c r="B115" s="103" t="s">
        <v>364</v>
      </c>
      <c r="C115" s="120" t="s">
        <v>11</v>
      </c>
      <c r="D115" s="4" t="s">
        <v>127</v>
      </c>
      <c r="E115" s="4" t="s">
        <v>114</v>
      </c>
      <c r="F115" s="4" t="s">
        <v>115</v>
      </c>
      <c r="G115" s="4" t="s">
        <v>116</v>
      </c>
      <c r="H115" s="4" t="s">
        <v>117</v>
      </c>
    </row>
    <row r="116" spans="1:8" x14ac:dyDescent="0.25">
      <c r="A116" s="113" t="s">
        <v>222</v>
      </c>
      <c r="B116" s="113" t="s">
        <v>105</v>
      </c>
      <c r="C116" s="113" t="s">
        <v>365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366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367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221</v>
      </c>
      <c r="B119" s="113" t="s">
        <v>237</v>
      </c>
      <c r="C119" s="113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238</v>
      </c>
      <c r="C121" s="113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214</v>
      </c>
      <c r="B123" s="113" t="s">
        <v>237</v>
      </c>
      <c r="C123" s="113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367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238</v>
      </c>
      <c r="C125" s="113" t="s">
        <v>365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367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234</v>
      </c>
      <c r="B127" s="113" t="s">
        <v>237</v>
      </c>
      <c r="C127" s="113" t="s">
        <v>365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367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238</v>
      </c>
      <c r="C129" s="113" t="s">
        <v>365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367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368</v>
      </c>
      <c r="C131" s="113" t="s">
        <v>365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366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199</v>
      </c>
      <c r="B133" s="113" t="s">
        <v>237</v>
      </c>
      <c r="C133" s="113" t="s">
        <v>365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367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238</v>
      </c>
      <c r="C135" s="113" t="s">
        <v>365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367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204</v>
      </c>
      <c r="B137" s="113" t="s">
        <v>102</v>
      </c>
      <c r="C137" s="113" t="s">
        <v>365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366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202</v>
      </c>
      <c r="B139" s="113" t="s">
        <v>102</v>
      </c>
      <c r="C139" s="113" t="s">
        <v>365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366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203</v>
      </c>
      <c r="B141" s="113" t="s">
        <v>102</v>
      </c>
      <c r="C141" s="113" t="s">
        <v>365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366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226</v>
      </c>
      <c r="B143" s="113" t="s">
        <v>105</v>
      </c>
      <c r="C143" s="113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366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227</v>
      </c>
      <c r="B146" s="113" t="s">
        <v>105</v>
      </c>
      <c r="C146" s="113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225</v>
      </c>
      <c r="B149" s="113" t="s">
        <v>105</v>
      </c>
      <c r="C149" s="113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224</v>
      </c>
      <c r="B152" s="113" t="s">
        <v>105</v>
      </c>
      <c r="C152" s="113" t="s">
        <v>365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366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367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223</v>
      </c>
      <c r="B155" s="113" t="s">
        <v>105</v>
      </c>
      <c r="C155" s="113" t="s">
        <v>365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229</v>
      </c>
      <c r="B158" s="113" t="s">
        <v>105</v>
      </c>
      <c r="C158" s="113" t="s">
        <v>365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366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367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106</v>
      </c>
      <c r="C161" s="113" t="s">
        <v>365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366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367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220</v>
      </c>
      <c r="B164" s="113" t="s">
        <v>105</v>
      </c>
      <c r="C164" s="113" t="s">
        <v>365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366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228</v>
      </c>
      <c r="B166" s="113" t="s">
        <v>105</v>
      </c>
      <c r="C166" s="113" t="s">
        <v>365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366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213</v>
      </c>
      <c r="B168" s="113" t="s">
        <v>100</v>
      </c>
      <c r="C168" s="113" t="s">
        <v>365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366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v4QYN2WoS4waFZxWlUW7dUXwrLaWyLjDsVUWwWp/GKgSiBpHF0vVtaOaEThPSg6Dvd3cIly4ze36WJyJctN3yw==" saltValue="hsWI3BaQcVPJCswlYLoCP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244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244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244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PKpZPUbnAY2DS1owgy5UU/C5NARZqn1uMyhvQLgJvFDVwBPB+MzqcGzU07DMXT507gLbYYjlpfjShgx89PAkCQ==" saltValue="rR1sbuTD0GA5GlMH/wJh+A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2026-04-29T06:32:30Z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