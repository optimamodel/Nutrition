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69A3A6D3-48A8-4E27-8DB4-B2CD6036068B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26" i="2"/>
  <c r="A31" i="2"/>
  <c r="A37" i="2"/>
  <c r="I38" i="2"/>
  <c r="A34" i="2"/>
  <c r="A40" i="2"/>
  <c r="I2" i="2"/>
  <c r="I6" i="2"/>
  <c r="A19" i="2"/>
  <c r="A35" i="2"/>
  <c r="A22" i="2"/>
  <c r="A36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<sst xmlns="http://schemas.openxmlformats.org/spreadsheetml/2006/main" count="2169" uniqueCount="369">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</sst>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3702</v>
      </c>
    </row>
    <row r="8" spans="1:3" ht="15" customHeight="1" x14ac:dyDescent="0.25">
      <c r="B8" s="5" t="s">
        <v>37</v>
      </c>
      <c r="C8" s="44">
        <v>7.2000000000000008E-2</v>
      </c>
    </row>
    <row r="9" spans="1:3" ht="15" customHeight="1" x14ac:dyDescent="0.25">
      <c r="B9" s="5" t="s">
        <v>38</v>
      </c>
      <c r="C9" s="45">
        <v>0.9</v>
      </c>
    </row>
    <row r="10" spans="1:3" ht="15" customHeight="1" x14ac:dyDescent="0.25">
      <c r="B10" s="5" t="s">
        <v>39</v>
      </c>
      <c r="C10" s="45">
        <v>0.5842967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8.1000000000000003E-2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3.4700000000000002E-2</v>
      </c>
    </row>
    <row r="24" spans="1:3" ht="15" customHeight="1" x14ac:dyDescent="0.25">
      <c r="B24" s="15" t="s">
        <v>51</v>
      </c>
      <c r="C24" s="45">
        <v>0.47039999999999998</v>
      </c>
    </row>
    <row r="25" spans="1:3" ht="15" customHeight="1" x14ac:dyDescent="0.25">
      <c r="B25" s="15" t="s">
        <v>52</v>
      </c>
      <c r="C25" s="45">
        <v>0.44009999999999999</v>
      </c>
    </row>
    <row r="26" spans="1:3" ht="15" customHeight="1" x14ac:dyDescent="0.25">
      <c r="B26" s="15" t="s">
        <v>53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0.18152033947509999</v>
      </c>
    </row>
    <row r="30" spans="1:3" ht="14.25" customHeight="1" x14ac:dyDescent="0.25">
      <c r="B30" s="25" t="s">
        <v>56</v>
      </c>
      <c r="C30" s="97">
        <v>6.3697307314517504E-2</v>
      </c>
    </row>
    <row r="31" spans="1:3" ht="14.25" customHeight="1" x14ac:dyDescent="0.25">
      <c r="B31" s="25" t="s">
        <v>57</v>
      </c>
      <c r="C31" s="97">
        <v>0.122289508790448</v>
      </c>
    </row>
    <row r="32" spans="1:3" ht="14.25" customHeight="1" x14ac:dyDescent="0.25">
      <c r="B32" s="25" t="s">
        <v>58</v>
      </c>
      <c r="C32" s="97">
        <v>0.63249284441993503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33.42812</v>
      </c>
    </row>
    <row r="38" spans="1:5" ht="15" customHeight="1" x14ac:dyDescent="0.25">
      <c r="B38" s="11" t="s">
        <v>63</v>
      </c>
      <c r="C38" s="43">
        <v>61.631399999999999</v>
      </c>
      <c r="D38" s="12"/>
      <c r="E38" s="13"/>
    </row>
    <row r="39" spans="1:5" ht="15" customHeight="1" x14ac:dyDescent="0.25">
      <c r="B39" s="11" t="s">
        <v>64</v>
      </c>
      <c r="C39" s="43">
        <v>97.066919999999996</v>
      </c>
      <c r="D39" s="12"/>
      <c r="E39" s="12"/>
    </row>
    <row r="40" spans="1:5" ht="15" customHeight="1" x14ac:dyDescent="0.25">
      <c r="B40" s="11" t="s">
        <v>65</v>
      </c>
      <c r="C40" s="98">
        <v>4.4000000000000004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5.2124000000000007E-3</v>
      </c>
      <c r="D45" s="12"/>
    </row>
    <row r="46" spans="1:5" ht="15.75" customHeight="1" x14ac:dyDescent="0.25">
      <c r="B46" s="11" t="s">
        <v>70</v>
      </c>
      <c r="C46" s="45">
        <v>5.6006399999999998E-2</v>
      </c>
      <c r="D46" s="12"/>
    </row>
    <row r="47" spans="1:5" ht="15.75" customHeight="1" x14ac:dyDescent="0.25">
      <c r="B47" s="11" t="s">
        <v>71</v>
      </c>
      <c r="C47" s="45">
        <v>7.6044899999999999E-2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0.40586299999999997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DPCriyxuEehI6I1gY6GaWSqm8t2XJgNb7H30oymK4ElByrtm2khmw4hqXk66oiUgDM2/KEUaNgp39MqEeWyQGA==" saltValue="wQ1+kHTQrYQlfzHXuOH5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756</v>
      </c>
      <c r="C2" s="49">
        <v>2380</v>
      </c>
      <c r="D2" s="49">
        <v>2766</v>
      </c>
      <c r="E2" s="49">
        <v>2982.5</v>
      </c>
      <c r="F2" s="49">
        <v>2682.5</v>
      </c>
      <c r="G2" s="17">
        <f t="shared" ref="G2:G13" si="0">C2+D2+E2+F2</f>
        <v>10811</v>
      </c>
      <c r="H2" s="17">
        <f t="shared" ref="H2:H13" si="1">(B2 + stillbirth*B2/(1000-stillbirth))/(1-abortion)</f>
        <v>879.66009792325951</v>
      </c>
      <c r="I2" s="17">
        <f t="shared" ref="I2:I13" si="2">G2-H2</f>
        <v>9931.3399020767411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751</v>
      </c>
      <c r="C3" s="50">
        <v>2482</v>
      </c>
      <c r="D3" s="50">
        <v>2880.5</v>
      </c>
      <c r="E3" s="50">
        <v>2871</v>
      </c>
      <c r="F3" s="50">
        <v>2753.5</v>
      </c>
      <c r="G3" s="17">
        <f t="shared" si="0"/>
        <v>10987</v>
      </c>
      <c r="H3" s="17">
        <f t="shared" si="1"/>
        <v>873.84224013276173</v>
      </c>
      <c r="I3" s="17">
        <f t="shared" si="2"/>
        <v>10113.157759867237</v>
      </c>
    </row>
    <row r="4" spans="1:9" ht="15.75" customHeight="1" x14ac:dyDescent="0.25">
      <c r="A4" s="5">
        <f t="shared" si="3"/>
        <v>2026</v>
      </c>
      <c r="B4" s="49">
        <v>751</v>
      </c>
      <c r="C4" s="50">
        <v>2569.5</v>
      </c>
      <c r="D4" s="50">
        <v>2997</v>
      </c>
      <c r="E4" s="50">
        <v>2758</v>
      </c>
      <c r="F4" s="50">
        <v>2812.5</v>
      </c>
      <c r="G4" s="17">
        <f t="shared" si="0"/>
        <v>11137</v>
      </c>
      <c r="H4" s="17">
        <f t="shared" si="1"/>
        <v>873.84224013276173</v>
      </c>
      <c r="I4" s="17">
        <f t="shared" si="2"/>
        <v>10263.157759867237</v>
      </c>
    </row>
    <row r="5" spans="1:9" ht="15.75" customHeight="1" x14ac:dyDescent="0.25">
      <c r="A5" s="5">
        <f t="shared" si="3"/>
        <v>2027</v>
      </c>
      <c r="B5" s="49">
        <v>758</v>
      </c>
      <c r="C5" s="50">
        <v>2646</v>
      </c>
      <c r="D5" s="50">
        <v>3108</v>
      </c>
      <c r="E5" s="50">
        <v>2657.5</v>
      </c>
      <c r="F5" s="50">
        <v>2879</v>
      </c>
      <c r="G5" s="17">
        <f t="shared" si="0"/>
        <v>11290.5</v>
      </c>
      <c r="H5" s="17">
        <f t="shared" si="1"/>
        <v>881.98724103945858</v>
      </c>
      <c r="I5" s="17">
        <f t="shared" si="2"/>
        <v>10408.512758960542</v>
      </c>
    </row>
    <row r="6" spans="1:9" ht="15.75" customHeight="1" x14ac:dyDescent="0.25">
      <c r="A6" s="5">
        <f t="shared" si="3"/>
        <v>2028</v>
      </c>
      <c r="B6" s="49">
        <v>764</v>
      </c>
      <c r="C6" s="50">
        <v>2701.5</v>
      </c>
      <c r="D6" s="50">
        <v>3217.5</v>
      </c>
      <c r="E6" s="50">
        <v>2590.5</v>
      </c>
      <c r="F6" s="50">
        <v>2942.5</v>
      </c>
      <c r="G6" s="17">
        <f t="shared" si="0"/>
        <v>11452</v>
      </c>
      <c r="H6" s="17">
        <f t="shared" si="1"/>
        <v>888.96867038805578</v>
      </c>
      <c r="I6" s="17">
        <f t="shared" si="2"/>
        <v>10563.031329611944</v>
      </c>
    </row>
    <row r="7" spans="1:9" ht="15.75" customHeight="1" x14ac:dyDescent="0.25">
      <c r="A7" s="5">
        <f t="shared" si="3"/>
        <v>2029</v>
      </c>
      <c r="B7" s="49">
        <v>772</v>
      </c>
      <c r="C7" s="50">
        <v>2722</v>
      </c>
      <c r="D7" s="50">
        <v>3330.5</v>
      </c>
      <c r="E7" s="50">
        <v>2560</v>
      </c>
      <c r="F7" s="50">
        <v>2969.5</v>
      </c>
      <c r="G7" s="17">
        <f t="shared" si="0"/>
        <v>11582</v>
      </c>
      <c r="H7" s="17">
        <f t="shared" si="1"/>
        <v>898.27724285285228</v>
      </c>
      <c r="I7" s="17">
        <f t="shared" si="2"/>
        <v>10683.722757147149</v>
      </c>
    </row>
    <row r="8" spans="1:9" ht="15.75" customHeight="1" x14ac:dyDescent="0.25">
      <c r="A8" s="5">
        <f t="shared" si="3"/>
        <v>2030</v>
      </c>
      <c r="B8" s="49">
        <v>780</v>
      </c>
      <c r="C8" s="50">
        <v>2709.5</v>
      </c>
      <c r="D8" s="50">
        <v>3462</v>
      </c>
      <c r="E8" s="50">
        <v>2553</v>
      </c>
      <c r="F8" s="50">
        <v>2958</v>
      </c>
      <c r="G8" s="17">
        <f t="shared" si="0"/>
        <v>11682.5</v>
      </c>
      <c r="H8" s="17">
        <f t="shared" si="1"/>
        <v>907.58581531764855</v>
      </c>
      <c r="I8" s="17">
        <f t="shared" si="2"/>
        <v>10774.914184682351</v>
      </c>
    </row>
    <row r="9" spans="1:9" ht="15.75" customHeight="1" x14ac:dyDescent="0.25">
      <c r="A9" s="5">
        <f t="shared" si="3"/>
        <v>2031</v>
      </c>
      <c r="B9" s="49">
        <v>790</v>
      </c>
      <c r="C9" s="50">
        <v>2680</v>
      </c>
      <c r="D9" s="50">
        <v>3629.5</v>
      </c>
      <c r="E9" s="50">
        <v>2553</v>
      </c>
      <c r="F9" s="50">
        <v>2918.5</v>
      </c>
      <c r="G9" s="17">
        <f t="shared" si="0"/>
        <v>11781</v>
      </c>
      <c r="H9" s="17">
        <f t="shared" si="1"/>
        <v>919.22153089864412</v>
      </c>
      <c r="I9" s="17">
        <f t="shared" si="2"/>
        <v>10861.778469101357</v>
      </c>
    </row>
    <row r="10" spans="1:9" ht="15.75" customHeight="1" x14ac:dyDescent="0.25">
      <c r="A10" s="5">
        <f t="shared" si="3"/>
        <v>2032</v>
      </c>
      <c r="B10" s="49">
        <v>802</v>
      </c>
      <c r="C10" s="50">
        <v>2644</v>
      </c>
      <c r="D10" s="50">
        <v>3825.5</v>
      </c>
      <c r="E10" s="50">
        <v>2561.5</v>
      </c>
      <c r="F10" s="50">
        <v>2848</v>
      </c>
      <c r="G10" s="17">
        <f t="shared" si="0"/>
        <v>11879</v>
      </c>
      <c r="H10" s="17">
        <f t="shared" si="1"/>
        <v>933.18438959583875</v>
      </c>
      <c r="I10" s="17">
        <f t="shared" si="2"/>
        <v>10945.815610404161</v>
      </c>
    </row>
    <row r="11" spans="1:9" ht="15.75" customHeight="1" x14ac:dyDescent="0.25">
      <c r="A11" s="5">
        <f t="shared" si="3"/>
        <v>2033</v>
      </c>
      <c r="B11" s="49">
        <v>813</v>
      </c>
      <c r="C11" s="50">
        <v>2604</v>
      </c>
      <c r="D11" s="50">
        <v>4008.5</v>
      </c>
      <c r="E11" s="50">
        <v>2601.5</v>
      </c>
      <c r="F11" s="50">
        <v>2748</v>
      </c>
      <c r="G11" s="17">
        <f t="shared" si="0"/>
        <v>11962</v>
      </c>
      <c r="H11" s="17">
        <f t="shared" si="1"/>
        <v>945.98367673493374</v>
      </c>
      <c r="I11" s="17">
        <f t="shared" si="2"/>
        <v>11016.016323265067</v>
      </c>
    </row>
    <row r="12" spans="1:9" ht="15.75" customHeight="1" x14ac:dyDescent="0.25">
      <c r="A12" s="5">
        <f t="shared" si="3"/>
        <v>2034</v>
      </c>
      <c r="B12" s="49">
        <v>818</v>
      </c>
      <c r="C12" s="50">
        <v>2557</v>
      </c>
      <c r="D12" s="50">
        <v>4139</v>
      </c>
      <c r="E12" s="50">
        <v>2684</v>
      </c>
      <c r="F12" s="50">
        <v>2629</v>
      </c>
      <c r="G12" s="17">
        <f t="shared" si="0"/>
        <v>12009</v>
      </c>
      <c r="H12" s="17">
        <f t="shared" si="1"/>
        <v>951.80153452543152</v>
      </c>
      <c r="I12" s="17">
        <f t="shared" si="2"/>
        <v>11057.198465474568</v>
      </c>
    </row>
    <row r="13" spans="1:9" ht="15.75" customHeight="1" x14ac:dyDescent="0.25">
      <c r="A13" s="5">
        <f t="shared" si="3"/>
        <v>2035</v>
      </c>
      <c r="B13" s="49">
        <v>827</v>
      </c>
      <c r="C13" s="50">
        <v>2501.5</v>
      </c>
      <c r="D13" s="50">
        <v>4221.5</v>
      </c>
      <c r="E13" s="50">
        <v>2797</v>
      </c>
      <c r="F13" s="50">
        <v>2511</v>
      </c>
      <c r="G13" s="17">
        <f t="shared" si="0"/>
        <v>12031</v>
      </c>
      <c r="H13" s="17">
        <f t="shared" si="1"/>
        <v>962.27367854832744</v>
      </c>
      <c r="I13" s="17">
        <f t="shared" si="2"/>
        <v>11068.726321451673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eAHj36EELII/qOOrZMus19wqHQcsjHJdz4RRqRbZsUlXKMRQ0icjztE9+SfVZQnt4gcigWTSFbRK2Bqv3dXKA==" saltValue="e3Bsovx5vZPieN5uB3XYI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2.5390799999999981E-2</v>
      </c>
    </row>
    <row r="4" spans="1:8" ht="15.75" customHeight="1" x14ac:dyDescent="0.25">
      <c r="B4" s="19" t="s">
        <v>97</v>
      </c>
      <c r="C4" s="99">
        <v>6.3736599999999907E-2</v>
      </c>
    </row>
    <row r="5" spans="1:8" ht="15.75" customHeight="1" x14ac:dyDescent="0.25">
      <c r="B5" s="19" t="s">
        <v>98</v>
      </c>
      <c r="C5" s="99">
        <v>0.1035504000000001</v>
      </c>
    </row>
    <row r="6" spans="1:8" ht="15.75" customHeight="1" x14ac:dyDescent="0.25">
      <c r="B6" s="19" t="s">
        <v>99</v>
      </c>
      <c r="C6" s="99">
        <v>0.24952009999999991</v>
      </c>
    </row>
    <row r="7" spans="1:8" ht="15.75" customHeight="1" x14ac:dyDescent="0.25">
      <c r="B7" s="19" t="s">
        <v>100</v>
      </c>
      <c r="C7" s="99">
        <v>0.38443950000000021</v>
      </c>
    </row>
    <row r="8" spans="1:8" ht="15.75" customHeight="1" x14ac:dyDescent="0.25">
      <c r="B8" s="19" t="s">
        <v>101</v>
      </c>
      <c r="C8" s="99">
        <v>6.0205000000000067E-3</v>
      </c>
    </row>
    <row r="9" spans="1:8" ht="15.75" customHeight="1" x14ac:dyDescent="0.25">
      <c r="B9" s="19" t="s">
        <v>102</v>
      </c>
      <c r="C9" s="99">
        <v>5.4902399999999983E-2</v>
      </c>
    </row>
    <row r="10" spans="1:8" ht="15.75" customHeight="1" x14ac:dyDescent="0.25">
      <c r="B10" s="19" t="s">
        <v>103</v>
      </c>
      <c r="C10" s="99">
        <v>0.11243969999999991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106</v>
      </c>
      <c r="C15" s="99">
        <v>0.2947634005842989</v>
      </c>
      <c r="D15" s="99">
        <v>0.2947634005842989</v>
      </c>
      <c r="E15" s="99">
        <v>0.2947634005842989</v>
      </c>
      <c r="F15" s="99">
        <v>0.2947634005842989</v>
      </c>
    </row>
    <row r="16" spans="1:8" ht="15.75" customHeight="1" x14ac:dyDescent="0.25">
      <c r="B16" s="19" t="s">
        <v>107</v>
      </c>
      <c r="C16" s="99">
        <v>3.2142176249219757E-2</v>
      </c>
      <c r="D16" s="99">
        <v>3.2142176249219757E-2</v>
      </c>
      <c r="E16" s="99">
        <v>3.2142176249219757E-2</v>
      </c>
      <c r="F16" s="99">
        <v>3.2142176249219757E-2</v>
      </c>
    </row>
    <row r="17" spans="1:8" ht="15.75" customHeight="1" x14ac:dyDescent="0.25">
      <c r="B17" s="19" t="s">
        <v>108</v>
      </c>
      <c r="C17" s="99">
        <v>3.1880501168348979E-2</v>
      </c>
      <c r="D17" s="99">
        <v>3.1880501168348979E-2</v>
      </c>
      <c r="E17" s="99">
        <v>3.1880501168348979E-2</v>
      </c>
      <c r="F17" s="99">
        <v>3.1880501168348979E-2</v>
      </c>
    </row>
    <row r="18" spans="1:8" ht="15.75" customHeight="1" x14ac:dyDescent="0.25">
      <c r="B18" s="19" t="s">
        <v>109</v>
      </c>
      <c r="C18" s="99">
        <v>0.16534944985290101</v>
      </c>
      <c r="D18" s="99">
        <v>0.16534944985290101</v>
      </c>
      <c r="E18" s="99">
        <v>0.16534944985290101</v>
      </c>
      <c r="F18" s="99">
        <v>0.16534944985290101</v>
      </c>
    </row>
    <row r="19" spans="1:8" ht="15.75" customHeight="1" x14ac:dyDescent="0.25">
      <c r="B19" s="19" t="s">
        <v>110</v>
      </c>
      <c r="C19" s="99">
        <v>1.8349752001866389E-2</v>
      </c>
      <c r="D19" s="99">
        <v>1.8349752001866389E-2</v>
      </c>
      <c r="E19" s="99">
        <v>1.8349752001866389E-2</v>
      </c>
      <c r="F19" s="99">
        <v>1.8349752001866389E-2</v>
      </c>
    </row>
    <row r="20" spans="1:8" ht="15.75" customHeight="1" x14ac:dyDescent="0.25">
      <c r="B20" s="19" t="s">
        <v>111</v>
      </c>
      <c r="C20" s="99">
        <v>1.5672880574274729E-2</v>
      </c>
      <c r="D20" s="99">
        <v>1.5672880574274729E-2</v>
      </c>
      <c r="E20" s="99">
        <v>1.5672880574274729E-2</v>
      </c>
      <c r="F20" s="99">
        <v>1.5672880574274729E-2</v>
      </c>
    </row>
    <row r="21" spans="1:8" ht="15.75" customHeight="1" x14ac:dyDescent="0.25">
      <c r="B21" s="19" t="s">
        <v>112</v>
      </c>
      <c r="C21" s="99">
        <v>7.5533540386639578E-2</v>
      </c>
      <c r="D21" s="99">
        <v>7.5533540386639578E-2</v>
      </c>
      <c r="E21" s="99">
        <v>7.5533540386639578E-2</v>
      </c>
      <c r="F21" s="99">
        <v>7.5533540386639578E-2</v>
      </c>
    </row>
    <row r="22" spans="1:8" ht="15.75" customHeight="1" x14ac:dyDescent="0.25">
      <c r="B22" s="19" t="s">
        <v>113</v>
      </c>
      <c r="C22" s="99">
        <v>0.16886530396813459</v>
      </c>
      <c r="D22" s="99">
        <v>0.16886530396813459</v>
      </c>
      <c r="E22" s="99">
        <v>0.16886530396813459</v>
      </c>
      <c r="F22" s="99">
        <v>0.16886530396813459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8.8798472000000003E-2</v>
      </c>
    </row>
    <row r="27" spans="1:8" ht="15.75" customHeight="1" x14ac:dyDescent="0.25">
      <c r="B27" s="19" t="s">
        <v>120</v>
      </c>
      <c r="C27" s="99">
        <v>8.9405939999999996E-3</v>
      </c>
    </row>
    <row r="28" spans="1:8" ht="15.75" customHeight="1" x14ac:dyDescent="0.25">
      <c r="B28" s="19" t="s">
        <v>121</v>
      </c>
      <c r="C28" s="99">
        <v>0.15585153099999999</v>
      </c>
    </row>
    <row r="29" spans="1:8" ht="15.75" customHeight="1" x14ac:dyDescent="0.25">
      <c r="B29" s="19" t="s">
        <v>122</v>
      </c>
      <c r="C29" s="99">
        <v>0.170199079</v>
      </c>
    </row>
    <row r="30" spans="1:8" ht="15.75" customHeight="1" x14ac:dyDescent="0.25">
      <c r="B30" s="19" t="s">
        <v>2</v>
      </c>
      <c r="C30" s="99">
        <v>0.10628299300000001</v>
      </c>
    </row>
    <row r="31" spans="1:8" ht="15.75" customHeight="1" x14ac:dyDescent="0.25">
      <c r="B31" s="19" t="s">
        <v>123</v>
      </c>
      <c r="C31" s="99">
        <v>0.108972139</v>
      </c>
    </row>
    <row r="32" spans="1:8" ht="15.75" customHeight="1" x14ac:dyDescent="0.25">
      <c r="B32" s="19" t="s">
        <v>124</v>
      </c>
      <c r="C32" s="99">
        <v>1.8807035E-2</v>
      </c>
    </row>
    <row r="33" spans="2:3" ht="15.75" customHeight="1" x14ac:dyDescent="0.25">
      <c r="B33" s="19" t="s">
        <v>125</v>
      </c>
      <c r="C33" s="99">
        <v>8.4353397999999996E-2</v>
      </c>
    </row>
    <row r="34" spans="2:3" ht="15.75" customHeight="1" x14ac:dyDescent="0.25">
      <c r="B34" s="19" t="s">
        <v>126</v>
      </c>
      <c r="C34" s="99">
        <v>0.25779475800000001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6JI1NWjYyV5KFL4KOUE3j4ASjODtJrDAtX1S+91SCJV9OH7TJEZZqURO8f1qphuQCdv2bpfR06Uo29ZZdp/0zg==" saltValue="gvOmsj4hQ5BmmhDfQcUt1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132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133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137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138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0.22383400662025499</v>
      </c>
      <c r="D15" s="52">
        <f t="shared" si="0"/>
        <v>0.21674367995401872</v>
      </c>
      <c r="E15" s="52">
        <f t="shared" si="0"/>
        <v>0.21674367995401872</v>
      </c>
      <c r="F15" s="52">
        <f t="shared" si="0"/>
        <v>0.13391527967693093</v>
      </c>
      <c r="G15" s="52">
        <f t="shared" si="0"/>
        <v>0.13391527967693093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N+iYb0cO+NB99CVpjFJfh6xoWkGsqP1Wq84uOT3WzCX8jSQ8FuuF29SlIJivTFoMwHMEReJZ8FuOR49VEN3zw==" saltValue="2GfCYoQFw0Dz1CFym9Z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2.8139299999999978E-2</v>
      </c>
      <c r="D5" s="52">
        <f t="shared" si="0"/>
        <v>2.8129000000000071E-2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S2FbKVIHoZBTaphromrGA6Sn3gCg3Uj/iYVF5f9NKvd17StYdKrX8YXHi6FiduFmrW92kcMYZsu/DVd4/WnKhA==" saltValue="N0VR5Ez0klHQTgbzIyQq8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FVZ01LwUCBDa3U9XiV2EMUMSpdRUjkkp5Bwj9sJ6BMEs0yvnQu5HrwB7mUC+wavNutzgPcuhkwrqE6UrCJVPg==" saltValue="S9gWGuMplXFRKTwZyWGcj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6225.1792224411502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0.48199999999999998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0.74736999999999998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1.8910499027524799E-2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98027.941210000005</v>
      </c>
      <c r="C22" s="107">
        <v>97928.220270000005</v>
      </c>
      <c r="D22" s="107">
        <v>97781.597519999996</v>
      </c>
      <c r="E22" s="107">
        <v>97432.520189999996</v>
      </c>
      <c r="F22" s="107">
        <v>96963.115000000005</v>
      </c>
      <c r="G22" s="107">
        <v>96489.588149999996</v>
      </c>
      <c r="H22" s="107">
        <v>95931.055770000006</v>
      </c>
      <c r="I22" s="107">
        <v>95151.856369999994</v>
      </c>
      <c r="J22" s="107">
        <v>93945.804000000004</v>
      </c>
      <c r="K22" s="107">
        <v>92040.425470000002</v>
      </c>
      <c r="L22" s="107">
        <v>89096.366930000004</v>
      </c>
      <c r="M22" s="107">
        <v>84789.908230000001</v>
      </c>
      <c r="N22" s="107">
        <v>59902.527269999999</v>
      </c>
      <c r="O22" s="107">
        <v>59902.527269999999</v>
      </c>
    </row>
  </sheetData>
  <sheetProtection algorithmName="SHA-512" hashValue="Onrgbv7J1MEwlrITX4CVGpJrQsIy1ZVpBidn+kxQWZSpbeF0LDZumdW8urpIYBFX3HFsNTe1KSI0wqfrh8ABsA==" saltValue="P03LosCe/z0gfvSaXO0w+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1dY+7aSf0W+8CYtynKd17OOLCwcx6fuBCfRZ/rloN5O1bFJbuVTZrghlyAvIOPqddYOQlyPSHoGah/4KrLQ7bA==" saltValue="EBNKcPjQFT+OWxNPhdVVA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7u3FNFPkjG11rx6TjiAs1YOQBRnovM9xEKGQDOpNZ+b+iwDSE+GuUHre1y6o23rwnjkvWclwT06LnG65AFbfbA==" saltValue="8FXSUONa5YEiTDyUUXyqy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23.266651740020471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23.266651740020471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0.80999999999999994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1.1645825935762411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1.899427422400078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0.28031230000000001</v>
      </c>
      <c r="C10" s="96">
        <v>0.95</v>
      </c>
      <c r="D10" s="56">
        <v>12.99613066460511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12.99613066460511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12.99613066460511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12.99613066460511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0.28031230000000001</v>
      </c>
      <c r="C14" s="96">
        <v>0.95</v>
      </c>
      <c r="D14" s="56">
        <v>12.99613066460511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12.99613066460511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0.7607335999999999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0.12279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0.34721740000000001</v>
      </c>
      <c r="C18" s="96">
        <v>0.95</v>
      </c>
      <c r="D18" s="56">
        <v>8.0823886898669404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0.34721740000000001</v>
      </c>
      <c r="C19" s="96">
        <v>0.95</v>
      </c>
      <c r="D19" s="56">
        <v>3.11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0.80999999999999994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0.85079989999999994</v>
      </c>
      <c r="C23" s="96">
        <v>0.95</v>
      </c>
      <c r="D23" s="56">
        <v>4.2693071752319298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0.47779756487578001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14.964151740020471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0.21443380000000001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0.2174344</v>
      </c>
      <c r="C29" s="96">
        <v>0.95</v>
      </c>
      <c r="D29" s="56">
        <v>20.363404650299319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53.05041964170676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0.41820000000000002</v>
      </c>
      <c r="C31" s="96">
        <v>0.95</v>
      </c>
      <c r="D31" s="56">
        <v>118.83755373592631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0.85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0.17300869999999999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0.64071500000000003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4.764E-3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0.52630830000000006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0.15360070000000001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qNz0tRzJK/gUtRZ88c8rDCpkxNCb+XGsr4t1jgRLHFOA7oQV/GPtSz0vC7mRnFI0ubaKnlBqpWuP6mviA5ZFFA==" saltValue="02JBU9fKDChspYToQHqL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BmKp4BzRgPGPFjtRQPrEmjJgxRjgAebSd9ENzADrZnNrIP+ss3sYjLFSFSUAAbW7hLUMCJ78Tbo/k2RhmKA/Q==" saltValue="4vlGJPq1XKSrdHef0Tx2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3RlRtphbXFH70xOgIOjYd9SfGPY/2jCLtUna01vM+xs2TuQlxOzvP8onl7BkpiYtaCEijTH51aFAxknvPL5GiQ==" saltValue="Oe0Q3S4c5QyJRocLHoR3c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237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sheetProtection algorithmName="SHA-512" hashValue="0uS3BAM+OcKdB2jSQjSS//dWrcr3676/r4TT+fJ+Xpnx55d7a9QvQmAUyEuRmQgHcCEn8QpaVzEHPfT3GgAjMw==" saltValue="NgwHUfRf06gezdinQITw5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7.2000000000000008E-2</v>
      </c>
      <c r="F2" s="60">
        <f>food_insecure</f>
        <v>7.2000000000000008E-2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7.2000000000000008E-2</v>
      </c>
      <c r="F5" s="60">
        <f>food_insecure</f>
        <v>7.2000000000000008E-2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7.2000000000000008E-2</v>
      </c>
      <c r="F8" s="60">
        <f>food_insecure</f>
        <v>7.2000000000000008E-2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7.2000000000000008E-2</v>
      </c>
      <c r="F9" s="60">
        <f>food_insecure</f>
        <v>7.2000000000000008E-2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7.2000000000000008E-2</v>
      </c>
      <c r="I15" s="60">
        <f t="shared" si="0"/>
        <v>7.2000000000000008E-2</v>
      </c>
      <c r="J15" s="60">
        <f t="shared" si="0"/>
        <v>7.2000000000000008E-2</v>
      </c>
      <c r="K15" s="60">
        <f t="shared" si="0"/>
        <v>7.2000000000000008E-2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7.2000000000000008E-2</v>
      </c>
      <c r="I16" s="60">
        <f t="shared" si="0"/>
        <v>7.2000000000000008E-2</v>
      </c>
      <c r="J16" s="60">
        <f t="shared" si="0"/>
        <v>7.2000000000000008E-2</v>
      </c>
      <c r="K16" s="60">
        <f t="shared" si="0"/>
        <v>7.2000000000000008E-2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8.1000000000000003E-2</v>
      </c>
      <c r="M24" s="60">
        <f>famplan_unmet_need</f>
        <v>8.1000000000000003E-2</v>
      </c>
      <c r="N24" s="60">
        <f>famplan_unmet_need</f>
        <v>8.1000000000000003E-2</v>
      </c>
      <c r="O24" s="60">
        <f>famplan_unmet_need</f>
        <v>8.1000000000000003E-2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0.209980050896</v>
      </c>
      <c r="M25" s="60">
        <f>(1-food_insecure)*(0.49)+food_insecure*(0.7)</f>
        <v>0.50512000000000001</v>
      </c>
      <c r="N25" s="60">
        <f>(1-food_insecure)*(0.49)+food_insecure*(0.7)</f>
        <v>0.50512000000000001</v>
      </c>
      <c r="O25" s="60">
        <f>(1-food_insecure)*(0.49)+food_insecure*(0.7)</f>
        <v>0.50512000000000001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8.9991450383999999E-2</v>
      </c>
      <c r="M26" s="60">
        <f>(1-food_insecure)*(0.21)+food_insecure*(0.3)</f>
        <v>0.21647999999999998</v>
      </c>
      <c r="N26" s="60">
        <f>(1-food_insecure)*(0.21)+food_insecure*(0.3)</f>
        <v>0.21647999999999998</v>
      </c>
      <c r="O26" s="60">
        <f>(1-food_insecure)*(0.21)+food_insecure*(0.3)</f>
        <v>0.21647999999999998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0.11573179871999999</v>
      </c>
      <c r="M27" s="60">
        <f>(1-food_insecure)*(0.3)</f>
        <v>0.27839999999999998</v>
      </c>
      <c r="N27" s="60">
        <f>(1-food_insecure)*(0.3)</f>
        <v>0.27839999999999998</v>
      </c>
      <c r="O27" s="60">
        <f>(1-food_insecure)*(0.3)</f>
        <v>0.27839999999999998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0.5842967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</v>
      </c>
      <c r="D34" s="60">
        <f t="shared" si="4"/>
        <v>0.9</v>
      </c>
      <c r="E34" s="60">
        <f t="shared" si="4"/>
        <v>0.9</v>
      </c>
      <c r="F34" s="60">
        <f t="shared" si="4"/>
        <v>0.9</v>
      </c>
      <c r="G34" s="60">
        <f t="shared" si="4"/>
        <v>0.9</v>
      </c>
      <c r="H34" s="60">
        <f t="shared" si="4"/>
        <v>0.9</v>
      </c>
      <c r="I34" s="60">
        <f t="shared" si="4"/>
        <v>0.9</v>
      </c>
      <c r="J34" s="60">
        <f t="shared" si="4"/>
        <v>0.9</v>
      </c>
      <c r="K34" s="60">
        <f t="shared" si="4"/>
        <v>0.9</v>
      </c>
      <c r="L34" s="60">
        <f t="shared" si="4"/>
        <v>0.9</v>
      </c>
      <c r="M34" s="60">
        <f t="shared" si="4"/>
        <v>0.9</v>
      </c>
      <c r="N34" s="60">
        <f t="shared" si="4"/>
        <v>0.9</v>
      </c>
      <c r="O34" s="60">
        <f t="shared" si="4"/>
        <v>0.9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a0wUsF9NX5mQUnwEMXpPKNoAx89MZpXAJB0XJ2aDLrwfd4ql/Zy9A7Eq223zSk1jE+GblLEA82DoPi25TqkVA==" saltValue="nF+d8/rdkzI2FbW/0ZwsC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L+lnlph7rupXgXiec8dDn32NaAwfBqGxeGHBkrBXS2SLHmf/hWiIgbvCE7WUkn4w27bYpT/wKoGJDehwaKqALQ==" saltValue="bWb+nfiBfNUmru9uEnpoA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E0SaUWlG3ljYV4RurwoDQyj8TO+bsjZnN2Ugzpmrk7x+iePylstZl/fkmOwgP3oe5AjRXbQQoS7O0e4z51PiA==" saltValue="qbyS+BjjzmJldEvGG4URf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aZUw3x5rA4fUf+6pRjKzdJnmGuB3ddDrD0mMghLbLTDNeXK0GZcrwvfNBEdQxJtc2Ft8OIrwPga0xKMXda/Dw==" saltValue="ITrJ9jm7K+mtCmlgsAzc3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d7isY1kBEIPhvi7iGEnDdPb2CaRvW9e6MIhRqLSivBeGqDZTbnIWWL8SwFiP7D72r8qbLtlbjNpwEuSIso5jnw==" saltValue="vGiR4UgHsktKwD7R06aXW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d0NewS0OsragrJJxlUruoBqWBHQbyMmRNQYFJ3mr0VM4W0xWSUETrnxFOBCt1qZKh3g3YEhjX4hvxZHX3yogtQ==" saltValue="EV1gu34Gq7aAGsjG5h7Ai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OaVgggUFOmRojkWncXlpEfxQmoLpQPuZyWvIfqsgPW0I2CqxN7ipVb+FAvT6atUNBEsgUTW0ipmx/j+1YmgEg==" saltValue="7dpqaJO5o6CUOPGPM8Nys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KMV/OjFTtf+ZG2x+0hPKVdOslHaJdeGY62wdQXhi0DFSBCqkCYCCGdmIizfjsLu9nG+v8gStMTtoVUoSOZbpuw==" saltValue="Pq+sZBkuwP4OLuQNItR6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A8gFWoQfkMIK6cx0NAGrub3G1DJdw32asRHYh3lwyLzkS47X/mZw0FYXt2PUMhoeH3Djoy6D1sdTDo7iEBd1tg==" saltValue="RgfGG74i7jBe2O1QLPOr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wuvVNA8rak0IYynvt+70PAlb3XOI1yplJ9H5ZxEArU28JE7l95Gw4BX+cIkWbWnn2+Ly1Q1rFdZGoSkjBpZLw==" saltValue="o2IzQ+A/pn2UE3HCZFXr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qy4ciLPmD6a5/wzzn4gPyci2YLKh3a18bmBd0kuyAPUOmSpWfuJxkLyzYG+xAVAeZX4tOYRe07VmXyOh+JpMg==" saltValue="H9NK3K+IesnSguO8+wi9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Sr+FqfEtEME4UfH4Iw0xF9vOzIXJzTcTglaN/DB7aQ+z8cooedo9JTmWWP3RsUpw4FAyXJYZNYf2o56tZ1YnA==" saltValue="06OsAf8tNfiSXS9/Cd8j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cRXjN2OA2GD90pe7gUPwGdNgBpk1qRhIFnNao0BS62AQVwY00POTCt8aR8pXo9Y/C3mS+0b4VLa7gk25H8lMQ==" saltValue="czehQZ8nZFcHtvG+kcco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M0MLeqVRFW9x0IeZCQaRFTJrvZWfpvI04dK3ny7kf8EmKhHBurLBSRqPynHjwv4cGUgB0I6YcIbL3bVI90H+kA==" saltValue="lvOIJYfXgDaB4u+JTGK5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mfg6A6ITmZmegvmQeBKK0nmhYJLOYsQnc/axo0i4JYe8hlm+5OC6fbnGf+pNy8FuMSrmK8hHQzvYngxIEylLWw==" saltValue="lQfrAJNx2pgyu2/Hh/YQc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