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"/>
    </mc:Choice>
  </mc:AlternateContent>
  <xr:revisionPtr revIDLastSave="0" documentId="8_{F533225A-FA90-4EEA-84D4-417F6AF15657}" xr6:coauthVersionLast="47" xr6:coauthVersionMax="47" xr10:uidLastSave="{00000000-0000-0000-0000-000000000000}"/>
  <bookViews>
    <workbookView xWindow="20" yWindow="20" windowWidth="19180" windowHeight="10180" tabRatio="904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r:id="rId6"/>
    <sheet name="Données économiques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6">'[1]Baseline year population inputs'!$C$41</definedName>
    <definedName name="abortion" localSheetId="7">'Données pop de l''année de ref'!$C$38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6">'[1]Baseline year population inputs'!$C$42</definedName>
    <definedName name="stillbirth" localSheetId="7">'Données pop de l''année de ref'!$C$39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<sst xmlns="http://schemas.openxmlformats.org/spreadsheetml/2006/main" count="2153" uniqueCount="368">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</sst>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31</v>
      </c>
      <c r="B1" s="30" t="s">
        <v>5</v>
      </c>
      <c r="C1" s="30" t="s">
        <v>84</v>
      </c>
    </row>
    <row r="2" spans="1:3" ht="16" customHeight="1" x14ac:dyDescent="0.3">
      <c r="A2" s="8" t="s">
        <v>32</v>
      </c>
      <c r="B2" s="30"/>
      <c r="C2" s="30"/>
    </row>
    <row r="3" spans="1:3" ht="16" customHeight="1" x14ac:dyDescent="0.3">
      <c r="A3" s="1"/>
      <c r="B3" s="5" t="s">
        <v>33</v>
      </c>
      <c r="C3" s="48">
        <v>2017</v>
      </c>
    </row>
    <row r="4" spans="1:3" ht="16" customHeight="1" x14ac:dyDescent="0.3">
      <c r="A4" s="1"/>
      <c r="B4" s="5" t="s">
        <v>34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50">
        <v>9862402</v>
      </c>
    </row>
    <row r="8" spans="1:3" ht="15" customHeight="1" x14ac:dyDescent="0.25">
      <c r="B8" s="5" t="s">
        <v>37</v>
      </c>
      <c r="C8" s="51">
        <v>0.28199999999999997</v>
      </c>
    </row>
    <row r="9" spans="1:3" ht="15" customHeight="1" x14ac:dyDescent="0.25">
      <c r="B9" s="5" t="s">
        <v>38</v>
      </c>
      <c r="C9" s="52">
        <v>1</v>
      </c>
    </row>
    <row r="10" spans="1:3" ht="15" customHeight="1" x14ac:dyDescent="0.25">
      <c r="B10" s="5" t="s">
        <v>39</v>
      </c>
      <c r="C10" s="52">
        <v>0.23</v>
      </c>
    </row>
    <row r="11" spans="1:3" ht="15" customHeight="1" x14ac:dyDescent="0.25">
      <c r="B11" s="5" t="s">
        <v>40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42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52">
        <v>0.3</v>
      </c>
    </row>
    <row r="17" spans="1:3" ht="15" customHeight="1" x14ac:dyDescent="0.25">
      <c r="B17" s="5" t="s">
        <v>45</v>
      </c>
      <c r="C17" s="52">
        <v>0.1</v>
      </c>
    </row>
    <row r="18" spans="1:3" ht="15" customHeight="1" x14ac:dyDescent="0.25">
      <c r="B18" s="5" t="s">
        <v>46</v>
      </c>
      <c r="C18" s="52">
        <v>0.1</v>
      </c>
    </row>
    <row r="19" spans="1:3" ht="15" customHeight="1" x14ac:dyDescent="0.25">
      <c r="B19" s="5" t="s">
        <v>47</v>
      </c>
      <c r="C19" s="52">
        <v>0.8</v>
      </c>
    </row>
    <row r="20" spans="1:3" ht="15" customHeight="1" x14ac:dyDescent="0.25">
      <c r="B20" s="5" t="s">
        <v>48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52">
        <v>0.127</v>
      </c>
    </row>
    <row r="24" spans="1:3" ht="15" customHeight="1" x14ac:dyDescent="0.25">
      <c r="B24" s="15" t="s">
        <v>51</v>
      </c>
      <c r="C24" s="52">
        <v>0.45200000000000001</v>
      </c>
    </row>
    <row r="25" spans="1:3" ht="15" customHeight="1" x14ac:dyDescent="0.25">
      <c r="B25" s="15" t="s">
        <v>52</v>
      </c>
      <c r="C25" s="52">
        <v>0.33400000000000002</v>
      </c>
    </row>
    <row r="26" spans="1:3" ht="15" customHeight="1" x14ac:dyDescent="0.25">
      <c r="B26" s="15" t="s">
        <v>53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4" t="s">
        <v>55</v>
      </c>
      <c r="C29" s="53">
        <v>0.20799999999999999</v>
      </c>
    </row>
    <row r="30" spans="1:3" ht="14.25" customHeight="1" x14ac:dyDescent="0.25">
      <c r="B30" s="24" t="s">
        <v>56</v>
      </c>
      <c r="C30" s="53">
        <v>0.63700000000000001</v>
      </c>
    </row>
    <row r="31" spans="1:3" ht="14.25" customHeight="1" x14ac:dyDescent="0.25">
      <c r="B31" s="24" t="s">
        <v>57</v>
      </c>
      <c r="C31" s="53">
        <v>0.11899999999999999</v>
      </c>
    </row>
    <row r="32" spans="1:3" ht="14.25" customHeight="1" x14ac:dyDescent="0.25">
      <c r="B32" s="24" t="s">
        <v>58</v>
      </c>
      <c r="C32" s="53">
        <v>3.5999999999999997E-2</v>
      </c>
    </row>
    <row r="33" spans="1:5" ht="13" x14ac:dyDescent="0.25">
      <c r="B33" s="26" t="s">
        <v>59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54">
        <v>25</v>
      </c>
    </row>
    <row r="38" spans="1:5" ht="15" customHeight="1" x14ac:dyDescent="0.25">
      <c r="B38" s="11" t="s">
        <v>63</v>
      </c>
      <c r="C38" s="54">
        <v>43</v>
      </c>
      <c r="D38" s="12"/>
      <c r="E38" s="13"/>
    </row>
    <row r="39" spans="1:5" ht="15" customHeight="1" x14ac:dyDescent="0.25">
      <c r="B39" s="11" t="s">
        <v>64</v>
      </c>
      <c r="C39" s="54">
        <v>67</v>
      </c>
      <c r="D39" s="12"/>
      <c r="E39" s="12"/>
    </row>
    <row r="40" spans="1:5" ht="15" customHeight="1" x14ac:dyDescent="0.25">
      <c r="B40" s="11" t="s">
        <v>65</v>
      </c>
      <c r="C40" s="54">
        <v>4.01</v>
      </c>
    </row>
    <row r="41" spans="1:5" ht="15" customHeight="1" x14ac:dyDescent="0.25">
      <c r="B41" s="11" t="s">
        <v>66</v>
      </c>
      <c r="C41" s="52">
        <v>0.13</v>
      </c>
    </row>
    <row r="42" spans="1:5" ht="15" customHeight="1" x14ac:dyDescent="0.25">
      <c r="B42" s="11" t="s">
        <v>67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71</v>
      </c>
      <c r="C47" s="52">
        <v>0.36499999999999999</v>
      </c>
      <c r="D47" s="12"/>
      <c r="E47" s="13"/>
    </row>
    <row r="48" spans="1:5" ht="15" customHeight="1" x14ac:dyDescent="0.25">
      <c r="B48" s="11" t="s">
        <v>72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55">
        <v>1.66</v>
      </c>
      <c r="D51" s="12"/>
    </row>
    <row r="52" spans="1:4" ht="15" customHeight="1" x14ac:dyDescent="0.25">
      <c r="B52" s="11" t="s">
        <v>75</v>
      </c>
      <c r="C52" s="55">
        <v>1.66</v>
      </c>
    </row>
    <row r="53" spans="1:4" ht="15.75" customHeight="1" x14ac:dyDescent="0.25">
      <c r="B53" s="11" t="s">
        <v>76</v>
      </c>
      <c r="C53" s="55">
        <v>5.64</v>
      </c>
    </row>
    <row r="54" spans="1:4" ht="15.75" customHeight="1" x14ac:dyDescent="0.25">
      <c r="B54" s="11" t="s">
        <v>77</v>
      </c>
      <c r="C54" s="55">
        <v>5.43</v>
      </c>
    </row>
    <row r="55" spans="1:4" ht="15.75" customHeight="1" x14ac:dyDescent="0.25">
      <c r="B55" s="11" t="s">
        <v>78</v>
      </c>
      <c r="C55" s="55">
        <v>1.91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51">
        <v>0.2</v>
      </c>
    </row>
    <row r="59" spans="1:4" ht="15.75" customHeight="1" x14ac:dyDescent="0.25">
      <c r="B59" s="11" t="s">
        <v>81</v>
      </c>
      <c r="C59" s="51">
        <v>0.42</v>
      </c>
    </row>
    <row r="60" spans="1:4" ht="15.75" customHeight="1" x14ac:dyDescent="0.25">
      <c r="B60" s="11" t="s">
        <v>82</v>
      </c>
      <c r="C60" s="51">
        <v>4.5999999999999999E-2</v>
      </c>
    </row>
    <row r="61" spans="1:4" ht="15.75" customHeight="1" x14ac:dyDescent="0.25">
      <c r="B61" s="11" t="s">
        <v>83</v>
      </c>
      <c r="C61" s="51">
        <v>1.4E-2</v>
      </c>
    </row>
    <row r="62" spans="1:4" ht="15.75" customHeight="1" x14ac:dyDescent="0.25">
      <c r="B62" s="11" t="s">
        <v>85</v>
      </c>
      <c r="C62" s="51">
        <v>0.02</v>
      </c>
    </row>
    <row r="63" spans="1:4" ht="15.75" customHeight="1" x14ac:dyDescent="0.3">
      <c r="A63" s="4"/>
    </row>
  </sheetData>
  <sheetProtection algorithmName="SHA-512" hashValue="DC7ci2cw9pUStfz/P3/3wJyRdfmVUP3VTf92ZBF8KPJrwNx75Jwqbly5XFwFEXlvPH6g4Z3mNSoZUWBob6f0Uw==" saltValue="3bZe/YB0Uvsqt9BsHTIT/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+GtMIqUd3BQj7al8vGqgl9bDKivLry4wZtTbVM+3hFhxHuWIvkjIz1Ps/rOzugAj0Lvf/sgqRdLO1NtmZ/4+qQ==" saltValue="bl570iKBYxgRudRTqZX/Y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95</v>
      </c>
      <c r="B2" s="30" t="s">
        <v>8</v>
      </c>
      <c r="C2" s="30" t="s">
        <v>127</v>
      </c>
      <c r="D2" s="30"/>
      <c r="E2" s="30"/>
      <c r="F2" s="30"/>
      <c r="G2" s="30"/>
    </row>
    <row r="3" spans="1:8" ht="15.75" customHeight="1" x14ac:dyDescent="0.25">
      <c r="B3" s="19" t="s">
        <v>96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98</v>
      </c>
      <c r="C5" s="58">
        <v>6.2100000000000002E-2</v>
      </c>
    </row>
    <row r="6" spans="1:8" ht="15.75" customHeight="1" x14ac:dyDescent="0.25">
      <c r="B6" s="19" t="s">
        <v>99</v>
      </c>
      <c r="C6" s="58">
        <v>0.29289999999999999</v>
      </c>
    </row>
    <row r="7" spans="1:8" ht="15.75" customHeight="1" x14ac:dyDescent="0.25">
      <c r="B7" s="19" t="s">
        <v>100</v>
      </c>
      <c r="C7" s="58">
        <v>0.24709999999999999</v>
      </c>
    </row>
    <row r="8" spans="1:8" ht="15.75" customHeight="1" x14ac:dyDescent="0.25">
      <c r="B8" s="19" t="s">
        <v>101</v>
      </c>
      <c r="C8" s="58">
        <v>4.7999999999999996E-3</v>
      </c>
    </row>
    <row r="9" spans="1:8" ht="15.75" customHeight="1" x14ac:dyDescent="0.25">
      <c r="B9" s="19" t="s">
        <v>102</v>
      </c>
      <c r="C9" s="58">
        <v>0.13200000000000001</v>
      </c>
    </row>
    <row r="10" spans="1:8" ht="15.75" customHeight="1" x14ac:dyDescent="0.25">
      <c r="B10" s="19" t="s">
        <v>103</v>
      </c>
      <c r="C10" s="58">
        <v>6.1800000000000001E-2</v>
      </c>
    </row>
    <row r="11" spans="1:8" ht="15.75" customHeight="1" x14ac:dyDescent="0.25">
      <c r="B11" s="26" t="s">
        <v>59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30" t="s">
        <v>8</v>
      </c>
      <c r="C13" s="18" t="s">
        <v>114</v>
      </c>
      <c r="D13" s="18" t="s">
        <v>115</v>
      </c>
      <c r="E13" s="18" t="s">
        <v>116</v>
      </c>
      <c r="F13" s="18" t="s">
        <v>117</v>
      </c>
      <c r="G13" s="19"/>
    </row>
    <row r="14" spans="1:8" ht="15.75" customHeight="1" x14ac:dyDescent="0.25">
      <c r="B14" s="19" t="s">
        <v>105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107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109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110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111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112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59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30" t="s">
        <v>8</v>
      </c>
      <c r="C25" s="30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8">
        <v>0.10082724000000001</v>
      </c>
    </row>
    <row r="27" spans="1:8" ht="15.75" customHeight="1" x14ac:dyDescent="0.25">
      <c r="B27" s="19" t="s">
        <v>120</v>
      </c>
      <c r="C27" s="58">
        <v>3.1206000000000002E-4</v>
      </c>
    </row>
    <row r="28" spans="1:8" ht="15.75" customHeight="1" x14ac:dyDescent="0.25">
      <c r="B28" s="19" t="s">
        <v>121</v>
      </c>
      <c r="C28" s="58">
        <v>0.15891214000000001</v>
      </c>
    </row>
    <row r="29" spans="1:8" ht="15.75" customHeight="1" x14ac:dyDescent="0.25">
      <c r="B29" s="19" t="s">
        <v>122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123</v>
      </c>
      <c r="C31" s="58">
        <v>3.9028409999999999E-2</v>
      </c>
    </row>
    <row r="32" spans="1:8" ht="15.75" customHeight="1" x14ac:dyDescent="0.25">
      <c r="B32" s="19" t="s">
        <v>124</v>
      </c>
      <c r="C32" s="58">
        <v>8.5254999999999999E-4</v>
      </c>
    </row>
    <row r="33" spans="2:3" ht="15.75" customHeight="1" x14ac:dyDescent="0.25">
      <c r="B33" s="19" t="s">
        <v>125</v>
      </c>
      <c r="C33" s="58">
        <v>6.8467810000000004E-2</v>
      </c>
    </row>
    <row r="34" spans="2:3" ht="15.75" customHeight="1" x14ac:dyDescent="0.25">
      <c r="B34" s="19" t="s">
        <v>126</v>
      </c>
      <c r="C34" s="58">
        <v>0.38127283000000001</v>
      </c>
    </row>
    <row r="35" spans="2:3" ht="15.75" customHeight="1" x14ac:dyDescent="0.25">
      <c r="B35" s="26" t="s">
        <v>59</v>
      </c>
      <c r="C35" s="112">
        <f>SUM(C26:C34)</f>
        <v>1</v>
      </c>
    </row>
  </sheetData>
  <sheetProtection algorithmName="SHA-512" hashValue="r/PmrWGf2c7crry7ki2tXRkVsaXcfzcj9wKouysw4UVivzZZhkZho9LJ06hc8WDGfPIJknKYI4wRNF3SoUEyOA==" saltValue="lF//wjYCe9Nh/pN1a5wJl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131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132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134</v>
      </c>
      <c r="B8" s="5" t="s">
        <v>135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136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137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145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3C7UcFh4oCb+qYiYBuFSEDYS8+oYAaEbq9kHu8g45ZRrP949m/YHBA/A9Gi+Qi8JJFO3Pqh22iVeW1HQO1ubg==" saltValue="by/1ySE5H9kwzNcvZ1jvh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1" t="s">
        <v>147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148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149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150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gvJKF3wk8uYCz3RKbvbVaJLm04qngqDY+k/8yxU0fyXkFkJHPDCxykHR/ddSRRLPf4LharI+heIAlHHbnfwbMg==" saltValue="/S4cjHc9kQwDcZK/RPnSo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151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152</v>
      </c>
      <c r="B2" s="45" t="s">
        <v>161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153</v>
      </c>
      <c r="B4" s="45" t="s">
        <v>161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154</v>
      </c>
      <c r="B6" s="45" t="s">
        <v>161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118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155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156</v>
      </c>
      <c r="B10" s="45" t="s">
        <v>157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158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61</v>
      </c>
      <c r="B13" s="45" t="s">
        <v>159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160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8QjHth+obrfGt5eAyNv7vIH5iRZUgLpyi0CcAP1tTc8fFNQof9cdt1S4mgFtoNMOsk++I3UZNKOyYbCgc32CIA==" saltValue="jFLbYnS6BCNcCPPELLUN5g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16</v>
      </c>
      <c r="B1" s="29" t="s">
        <v>12</v>
      </c>
    </row>
    <row r="2" spans="1:2" x14ac:dyDescent="0.25">
      <c r="A2" s="27" t="s">
        <v>163</v>
      </c>
      <c r="B2" s="117">
        <v>3000.4442305317302</v>
      </c>
    </row>
    <row r="3" spans="1:2" x14ac:dyDescent="0.25">
      <c r="A3" s="27" t="s">
        <v>162</v>
      </c>
      <c r="B3" s="119">
        <v>0.03</v>
      </c>
    </row>
    <row r="4" spans="1:2" x14ac:dyDescent="0.25">
      <c r="A4" s="27" t="s">
        <v>173</v>
      </c>
      <c r="B4" s="119">
        <v>0.43146000000000001</v>
      </c>
    </row>
    <row r="5" spans="1:2" x14ac:dyDescent="0.25">
      <c r="A5" s="27" t="s">
        <v>164</v>
      </c>
      <c r="B5" s="119">
        <v>0.03</v>
      </c>
    </row>
    <row r="6" spans="1:2" x14ac:dyDescent="0.25">
      <c r="A6" s="27" t="s">
        <v>165</v>
      </c>
      <c r="B6" s="119">
        <v>0.03</v>
      </c>
    </row>
    <row r="7" spans="1:2" x14ac:dyDescent="0.25">
      <c r="A7" s="27" t="s">
        <v>168</v>
      </c>
      <c r="B7" s="115">
        <v>18</v>
      </c>
    </row>
    <row r="8" spans="1:2" x14ac:dyDescent="0.25">
      <c r="A8" s="27" t="s">
        <v>167</v>
      </c>
      <c r="B8" s="115">
        <v>65</v>
      </c>
    </row>
    <row r="9" spans="1:2" x14ac:dyDescent="0.25">
      <c r="A9" s="27" t="s">
        <v>169</v>
      </c>
      <c r="B9" s="119">
        <v>0.73801000000000005</v>
      </c>
    </row>
    <row r="10" spans="1:2" x14ac:dyDescent="0.25">
      <c r="A10" s="27" t="s">
        <v>166</v>
      </c>
      <c r="B10" s="119">
        <v>0.9</v>
      </c>
    </row>
    <row r="11" spans="1:2" x14ac:dyDescent="0.25">
      <c r="A11" s="27" t="s">
        <v>174</v>
      </c>
      <c r="B11" s="119">
        <v>0.66</v>
      </c>
    </row>
    <row r="12" spans="1:2" x14ac:dyDescent="0.25">
      <c r="A12" s="27" t="s">
        <v>175</v>
      </c>
      <c r="B12" s="119">
        <f>0.025</f>
        <v>2.5000000000000001E-2</v>
      </c>
    </row>
    <row r="13" spans="1:2" x14ac:dyDescent="0.25">
      <c r="A13" s="27" t="s">
        <v>176</v>
      </c>
      <c r="B13" s="119">
        <f>0.075</f>
        <v>7.4999999999999997E-2</v>
      </c>
    </row>
    <row r="14" spans="1:2" x14ac:dyDescent="0.25">
      <c r="A14" s="27" t="s">
        <v>177</v>
      </c>
      <c r="B14" s="118">
        <v>1.2190322671178365E-4</v>
      </c>
    </row>
    <row r="15" spans="1:2" x14ac:dyDescent="0.25">
      <c r="A15" s="27" t="s">
        <v>170</v>
      </c>
      <c r="B15" s="115">
        <v>0.5</v>
      </c>
    </row>
    <row r="16" spans="1:2" x14ac:dyDescent="0.25">
      <c r="A16" s="27" t="s">
        <v>171</v>
      </c>
      <c r="B16" s="115">
        <v>0.8</v>
      </c>
    </row>
    <row r="17" spans="1:15" x14ac:dyDescent="0.25">
      <c r="A17" s="27" t="s">
        <v>172</v>
      </c>
      <c r="B17" s="116">
        <v>1.0666666666666666E-2</v>
      </c>
    </row>
    <row r="18" spans="1:15" x14ac:dyDescent="0.25">
      <c r="A18" t="s">
        <v>178</v>
      </c>
      <c r="B18" s="119">
        <v>0.5</v>
      </c>
    </row>
    <row r="21" spans="1:15" ht="13" x14ac:dyDescent="0.3">
      <c r="A21" s="29" t="s">
        <v>13</v>
      </c>
      <c r="B21" s="27" t="s">
        <v>14</v>
      </c>
      <c r="C21" s="27" t="s">
        <v>15</v>
      </c>
      <c r="D21" s="27" t="s">
        <v>17</v>
      </c>
      <c r="E21" s="27" t="s">
        <v>18</v>
      </c>
      <c r="F21" s="27" t="s">
        <v>19</v>
      </c>
      <c r="G21" s="27" t="s">
        <v>20</v>
      </c>
      <c r="H21" s="27" t="s">
        <v>21</v>
      </c>
      <c r="I21" s="27" t="s">
        <v>22</v>
      </c>
      <c r="J21" s="27" t="s">
        <v>23</v>
      </c>
      <c r="K21" s="27" t="s">
        <v>24</v>
      </c>
      <c r="L21" s="27" t="s">
        <v>25</v>
      </c>
      <c r="M21" s="27" t="s">
        <v>26</v>
      </c>
      <c r="N21" s="27" t="s">
        <v>27</v>
      </c>
      <c r="O21" s="27" t="s">
        <v>28</v>
      </c>
    </row>
    <row r="22" spans="1:15" x14ac:dyDescent="0.25">
      <c r="A22" s="27" t="s">
        <v>179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s6xzES2f8axhf/yrGubRxoEISafmQDHQxNBhjqt2oqUGlRNG/5WgHwb0BhiE3Nis3w43eB1sl/j+jEmfaTRkkA==" saltValue="5iayaOf+IMQE+Ldndh1cZA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180</v>
      </c>
      <c r="B1" s="38" t="s">
        <v>181</v>
      </c>
      <c r="C1" s="38" t="s">
        <v>182</v>
      </c>
      <c r="D1" s="38" t="s">
        <v>183</v>
      </c>
      <c r="E1" s="38" t="s">
        <v>184</v>
      </c>
    </row>
    <row r="2" spans="1:5" ht="13" x14ac:dyDescent="0.3">
      <c r="A2" s="36" t="s">
        <v>186</v>
      </c>
      <c r="B2" s="34" t="s">
        <v>118</v>
      </c>
      <c r="C2" s="62"/>
      <c r="D2" s="62"/>
      <c r="E2" s="44" t="str">
        <f>IF(E$7="","",E$7)</f>
        <v/>
      </c>
    </row>
    <row r="3" spans="1:5" x14ac:dyDescent="0.25">
      <c r="B3" s="34" t="s">
        <v>127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114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115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116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185</v>
      </c>
      <c r="C7" s="33"/>
      <c r="D7" s="32"/>
      <c r="E7" s="62"/>
    </row>
    <row r="9" spans="1:5" ht="13" x14ac:dyDescent="0.3">
      <c r="A9" s="36" t="s">
        <v>187</v>
      </c>
      <c r="B9" s="34" t="s">
        <v>118</v>
      </c>
      <c r="C9" s="62"/>
      <c r="D9" s="62"/>
      <c r="E9" s="44" t="str">
        <f>IF(E$7="","",E$7)</f>
        <v/>
      </c>
    </row>
    <row r="10" spans="1:5" x14ac:dyDescent="0.25">
      <c r="B10" s="34" t="s">
        <v>127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114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115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116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185</v>
      </c>
      <c r="C14" s="33"/>
      <c r="D14" s="32"/>
      <c r="E14" s="62"/>
    </row>
    <row r="16" spans="1:5" ht="13" x14ac:dyDescent="0.3">
      <c r="A16" s="36" t="s">
        <v>188</v>
      </c>
      <c r="B16" s="34" t="s">
        <v>118</v>
      </c>
      <c r="C16" s="62"/>
      <c r="D16" s="62"/>
      <c r="E16" s="44" t="str">
        <f>IF(E$7="","",E$7)</f>
        <v/>
      </c>
    </row>
    <row r="17" spans="2:5" x14ac:dyDescent="0.25">
      <c r="B17" s="34" t="s">
        <v>127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114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115</v>
      </c>
      <c r="C19" s="62"/>
      <c r="D19" s="62"/>
      <c r="E19" s="44" t="str">
        <f>IF(E$7="","",E$7)</f>
        <v/>
      </c>
    </row>
    <row r="20" spans="2:5" x14ac:dyDescent="0.25">
      <c r="B20" s="34" t="s">
        <v>116</v>
      </c>
      <c r="C20" s="62"/>
      <c r="D20" s="62"/>
      <c r="E20" s="44" t="str">
        <f>IF(E$7="","",E$7)</f>
        <v/>
      </c>
    </row>
    <row r="21" spans="2:5" x14ac:dyDescent="0.25">
      <c r="B21" s="34" t="s">
        <v>185</v>
      </c>
      <c r="C21" s="33"/>
      <c r="D21" s="32"/>
      <c r="E21" s="62"/>
    </row>
  </sheetData>
  <sheetProtection algorithmName="SHA-512" hashValue="BO/OmSUtdMOMFPwNik3LBHDSeW5+dyLKx57nMp/NBqJ1HFFzqAUnWakkxaa44B3acT7qeHSG2qiAdgboWapKiw==" saltValue="3MUqdrgOpRc29TekFiUMD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191</v>
      </c>
      <c r="C1" s="47" t="s">
        <v>6</v>
      </c>
      <c r="D1" s="47" t="s">
        <v>192</v>
      </c>
    </row>
    <row r="2" spans="1:4" ht="13" x14ac:dyDescent="0.3">
      <c r="A2" s="47" t="s">
        <v>189</v>
      </c>
      <c r="B2" s="34" t="s">
        <v>190</v>
      </c>
      <c r="C2" s="34" t="s">
        <v>194</v>
      </c>
      <c r="D2" s="62"/>
    </row>
    <row r="3" spans="1:4" ht="13" x14ac:dyDescent="0.3">
      <c r="A3" s="47" t="s">
        <v>193</v>
      </c>
      <c r="B3" s="34" t="s">
        <v>182</v>
      </c>
      <c r="C3" s="34" t="s">
        <v>183</v>
      </c>
      <c r="D3" s="62"/>
    </row>
  </sheetData>
  <sheetProtection algorithmName="SHA-512" hashValue="hIvP9p2x1EiGYTg9kWmxWC7X2jrOaWyuLFf/dBoqG5rtGP7GlkCdtrzijMSF87SpOhu9Sj8FLsBh2drGG7Mamw==" saltValue="uaE5lqOtG71QJupwPNib0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189</v>
      </c>
      <c r="B1" s="40" t="str">
        <f>"Couverture de l'année de référence ("&amp;start_year&amp;")"</f>
        <v>Couverture de l'année de référence (2017)</v>
      </c>
      <c r="C1" s="40" t="s">
        <v>195</v>
      </c>
      <c r="D1" s="40" t="s">
        <v>231</v>
      </c>
      <c r="E1" s="40" t="s">
        <v>196</v>
      </c>
      <c r="F1" s="40" t="s">
        <v>232</v>
      </c>
      <c r="G1" s="40" t="s">
        <v>233</v>
      </c>
    </row>
    <row r="2" spans="1:7" ht="15.75" customHeight="1" x14ac:dyDescent="0.25">
      <c r="A2" s="39" t="s">
        <v>197</v>
      </c>
      <c r="B2" s="63">
        <v>0</v>
      </c>
      <c r="C2" s="63">
        <v>0.95</v>
      </c>
      <c r="D2" s="64">
        <v>25</v>
      </c>
      <c r="E2" s="64" t="s">
        <v>230</v>
      </c>
      <c r="F2" s="63">
        <v>1</v>
      </c>
      <c r="G2" s="63">
        <v>1</v>
      </c>
    </row>
    <row r="3" spans="1:7" ht="15.75" customHeight="1" x14ac:dyDescent="0.25">
      <c r="A3" s="39" t="s">
        <v>198</v>
      </c>
      <c r="B3" s="63">
        <v>0</v>
      </c>
      <c r="C3" s="63">
        <v>0.95</v>
      </c>
      <c r="D3" s="64">
        <v>1</v>
      </c>
      <c r="E3" s="64" t="s">
        <v>230</v>
      </c>
      <c r="F3" s="63">
        <v>1</v>
      </c>
      <c r="G3" s="63">
        <v>1</v>
      </c>
    </row>
    <row r="4" spans="1:7" ht="15.75" customHeight="1" x14ac:dyDescent="0.25">
      <c r="A4" s="39" t="s">
        <v>199</v>
      </c>
      <c r="B4" s="63">
        <v>0</v>
      </c>
      <c r="C4" s="63">
        <v>0.95</v>
      </c>
      <c r="D4" s="64">
        <v>90</v>
      </c>
      <c r="E4" s="64" t="s">
        <v>230</v>
      </c>
      <c r="F4" s="63">
        <v>1</v>
      </c>
      <c r="G4" s="63">
        <v>1</v>
      </c>
    </row>
    <row r="5" spans="1:7" ht="15.75" customHeight="1" x14ac:dyDescent="0.25">
      <c r="A5" s="39" t="s">
        <v>200</v>
      </c>
      <c r="B5" s="63">
        <v>0</v>
      </c>
      <c r="C5" s="63">
        <v>0.95</v>
      </c>
      <c r="D5" s="64">
        <v>1</v>
      </c>
      <c r="E5" s="64" t="s">
        <v>230</v>
      </c>
      <c r="F5" s="63">
        <v>1</v>
      </c>
      <c r="G5" s="63">
        <v>1</v>
      </c>
    </row>
    <row r="6" spans="1:7" ht="15.75" customHeight="1" x14ac:dyDescent="0.25">
      <c r="A6" s="39" t="s">
        <v>201</v>
      </c>
      <c r="B6" s="63">
        <v>0</v>
      </c>
      <c r="C6" s="63">
        <v>0.95</v>
      </c>
      <c r="D6" s="64">
        <v>0.82</v>
      </c>
      <c r="E6" s="64" t="s">
        <v>230</v>
      </c>
      <c r="F6" s="63">
        <v>1</v>
      </c>
      <c r="G6" s="63">
        <v>1</v>
      </c>
    </row>
    <row r="7" spans="1:7" ht="15.75" customHeight="1" x14ac:dyDescent="0.25">
      <c r="A7" s="39" t="s">
        <v>202</v>
      </c>
      <c r="B7" s="63">
        <v>0.36</v>
      </c>
      <c r="C7" s="63">
        <v>0.95</v>
      </c>
      <c r="D7" s="64">
        <v>0.25</v>
      </c>
      <c r="E7" s="64" t="s">
        <v>230</v>
      </c>
      <c r="F7" s="63">
        <v>1</v>
      </c>
      <c r="G7" s="63">
        <v>1</v>
      </c>
    </row>
    <row r="8" spans="1:7" ht="15.75" customHeight="1" x14ac:dyDescent="0.25">
      <c r="A8" s="39" t="s">
        <v>203</v>
      </c>
      <c r="B8" s="63">
        <v>0</v>
      </c>
      <c r="C8" s="63">
        <v>0.95</v>
      </c>
      <c r="D8" s="64">
        <v>0.75</v>
      </c>
      <c r="E8" s="64" t="s">
        <v>230</v>
      </c>
      <c r="F8" s="63">
        <v>1</v>
      </c>
      <c r="G8" s="63">
        <v>1</v>
      </c>
    </row>
    <row r="9" spans="1:7" ht="15.75" customHeight="1" x14ac:dyDescent="0.25">
      <c r="A9" s="39" t="s">
        <v>204</v>
      </c>
      <c r="B9" s="63">
        <v>0</v>
      </c>
      <c r="C9" s="63">
        <v>0.95</v>
      </c>
      <c r="D9" s="64">
        <v>0.19</v>
      </c>
      <c r="E9" s="64" t="s">
        <v>230</v>
      </c>
      <c r="F9" s="63">
        <v>1</v>
      </c>
      <c r="G9" s="63">
        <v>1</v>
      </c>
    </row>
    <row r="10" spans="1:7" ht="15.75" customHeight="1" x14ac:dyDescent="0.25">
      <c r="A10" s="45" t="s">
        <v>205</v>
      </c>
      <c r="B10" s="63">
        <v>0</v>
      </c>
      <c r="C10" s="63">
        <v>0.95</v>
      </c>
      <c r="D10" s="64">
        <v>0.73</v>
      </c>
      <c r="E10" s="64" t="s">
        <v>230</v>
      </c>
      <c r="F10" s="63">
        <v>1</v>
      </c>
      <c r="G10" s="63">
        <v>1</v>
      </c>
    </row>
    <row r="11" spans="1:7" ht="15.75" customHeight="1" x14ac:dyDescent="0.25">
      <c r="A11" s="45" t="s">
        <v>206</v>
      </c>
      <c r="B11" s="63">
        <v>0</v>
      </c>
      <c r="C11" s="63">
        <v>0.95</v>
      </c>
      <c r="D11" s="64">
        <v>1.78</v>
      </c>
      <c r="E11" s="64" t="s">
        <v>230</v>
      </c>
      <c r="F11" s="63">
        <v>1</v>
      </c>
      <c r="G11" s="63">
        <v>1</v>
      </c>
    </row>
    <row r="12" spans="1:7" ht="15.75" customHeight="1" x14ac:dyDescent="0.25">
      <c r="A12" s="45" t="s">
        <v>207</v>
      </c>
      <c r="B12" s="63">
        <v>0</v>
      </c>
      <c r="C12" s="63">
        <v>0.95</v>
      </c>
      <c r="D12" s="64">
        <v>0.24</v>
      </c>
      <c r="E12" s="64" t="s">
        <v>230</v>
      </c>
      <c r="F12" s="63">
        <v>1</v>
      </c>
      <c r="G12" s="63">
        <v>1</v>
      </c>
    </row>
    <row r="13" spans="1:7" ht="15.75" customHeight="1" x14ac:dyDescent="0.25">
      <c r="A13" s="45" t="s">
        <v>208</v>
      </c>
      <c r="B13" s="63">
        <v>0</v>
      </c>
      <c r="C13" s="63">
        <v>0.95</v>
      </c>
      <c r="D13" s="64">
        <v>0.55000000000000004</v>
      </c>
      <c r="E13" s="64" t="s">
        <v>230</v>
      </c>
      <c r="F13" s="63">
        <v>1</v>
      </c>
      <c r="G13" s="63">
        <v>1</v>
      </c>
    </row>
    <row r="14" spans="1:7" ht="15.75" customHeight="1" x14ac:dyDescent="0.25">
      <c r="A14" s="5" t="s">
        <v>209</v>
      </c>
      <c r="B14" s="63">
        <v>0</v>
      </c>
      <c r="C14" s="63">
        <v>0.95</v>
      </c>
      <c r="D14" s="64">
        <v>0.73</v>
      </c>
      <c r="E14" s="64" t="s">
        <v>230</v>
      </c>
      <c r="F14" s="63">
        <v>1</v>
      </c>
      <c r="G14" s="63">
        <v>1</v>
      </c>
    </row>
    <row r="15" spans="1:7" ht="15.75" customHeight="1" x14ac:dyDescent="0.25">
      <c r="A15" s="5" t="s">
        <v>210</v>
      </c>
      <c r="B15" s="63">
        <v>0</v>
      </c>
      <c r="C15" s="63">
        <v>0.95</v>
      </c>
      <c r="D15" s="64">
        <v>1.78</v>
      </c>
      <c r="E15" s="64" t="s">
        <v>230</v>
      </c>
      <c r="F15" s="63">
        <v>1</v>
      </c>
      <c r="G15" s="63">
        <v>1</v>
      </c>
    </row>
    <row r="16" spans="1:7" ht="15.75" customHeight="1" x14ac:dyDescent="0.25">
      <c r="A16" s="39" t="s">
        <v>211</v>
      </c>
      <c r="B16" s="63">
        <v>0.9</v>
      </c>
      <c r="C16" s="63">
        <v>0.95</v>
      </c>
      <c r="D16" s="64">
        <v>2.06</v>
      </c>
      <c r="E16" s="64" t="s">
        <v>230</v>
      </c>
      <c r="F16" s="63">
        <v>1</v>
      </c>
      <c r="G16" s="63">
        <v>1</v>
      </c>
    </row>
    <row r="17" spans="1:7" ht="15.75" customHeight="1" x14ac:dyDescent="0.25">
      <c r="A17" s="39" t="s">
        <v>212</v>
      </c>
      <c r="B17" s="63">
        <v>0.80800000000000005</v>
      </c>
      <c r="C17" s="63">
        <v>0.95</v>
      </c>
      <c r="D17" s="64">
        <v>0.05</v>
      </c>
      <c r="E17" s="64" t="s">
        <v>230</v>
      </c>
      <c r="F17" s="63">
        <v>1</v>
      </c>
      <c r="G17" s="63">
        <v>1</v>
      </c>
    </row>
    <row r="18" spans="1:7" ht="16" customHeight="1" x14ac:dyDescent="0.25">
      <c r="A18" s="39" t="s">
        <v>186</v>
      </c>
      <c r="B18" s="63">
        <v>0</v>
      </c>
      <c r="C18" s="63">
        <v>0.95</v>
      </c>
      <c r="D18" s="64">
        <v>5</v>
      </c>
      <c r="E18" s="64" t="s">
        <v>230</v>
      </c>
      <c r="F18" s="63">
        <v>1</v>
      </c>
      <c r="G18" s="63">
        <v>1</v>
      </c>
    </row>
    <row r="19" spans="1:7" ht="15.75" customHeight="1" x14ac:dyDescent="0.25">
      <c r="A19" s="39" t="s">
        <v>187</v>
      </c>
      <c r="B19" s="63">
        <v>0</v>
      </c>
      <c r="C19" s="63">
        <v>0.95</v>
      </c>
      <c r="D19" s="64">
        <v>5</v>
      </c>
      <c r="E19" s="64" t="s">
        <v>230</v>
      </c>
      <c r="F19" s="63">
        <v>1</v>
      </c>
      <c r="G19" s="63">
        <v>1</v>
      </c>
    </row>
    <row r="20" spans="1:7" ht="15.75" customHeight="1" x14ac:dyDescent="0.25">
      <c r="A20" s="39" t="s">
        <v>188</v>
      </c>
      <c r="B20" s="63">
        <v>0</v>
      </c>
      <c r="C20" s="63">
        <v>0.95</v>
      </c>
      <c r="D20" s="64">
        <v>5</v>
      </c>
      <c r="E20" s="64" t="s">
        <v>230</v>
      </c>
      <c r="F20" s="63">
        <v>1</v>
      </c>
      <c r="G20" s="63">
        <v>1</v>
      </c>
    </row>
    <row r="21" spans="1:7" ht="15.75" customHeight="1" x14ac:dyDescent="0.25">
      <c r="A21" s="39" t="s">
        <v>213</v>
      </c>
      <c r="B21" s="63">
        <v>0</v>
      </c>
      <c r="C21" s="63">
        <v>0.95</v>
      </c>
      <c r="D21" s="64">
        <v>8.84</v>
      </c>
      <c r="E21" s="64" t="s">
        <v>230</v>
      </c>
      <c r="F21" s="63">
        <v>1</v>
      </c>
      <c r="G21" s="63">
        <v>1</v>
      </c>
    </row>
    <row r="22" spans="1:7" ht="15.75" customHeight="1" x14ac:dyDescent="0.25">
      <c r="A22" s="39" t="s">
        <v>214</v>
      </c>
      <c r="B22" s="63">
        <v>0</v>
      </c>
      <c r="C22" s="63">
        <v>0.95</v>
      </c>
      <c r="D22" s="64">
        <v>50</v>
      </c>
      <c r="E22" s="64" t="s">
        <v>230</v>
      </c>
      <c r="F22" s="63">
        <v>1</v>
      </c>
      <c r="G22" s="63">
        <v>1</v>
      </c>
    </row>
    <row r="23" spans="1:7" ht="15.75" customHeight="1" x14ac:dyDescent="0.25">
      <c r="A23" s="39" t="s">
        <v>215</v>
      </c>
      <c r="B23" s="63">
        <v>0.50800000000000001</v>
      </c>
      <c r="C23" s="63">
        <v>0.95</v>
      </c>
      <c r="D23" s="64">
        <v>2.61</v>
      </c>
      <c r="E23" s="64" t="s">
        <v>230</v>
      </c>
      <c r="F23" s="63">
        <v>1</v>
      </c>
      <c r="G23" s="63">
        <v>1</v>
      </c>
    </row>
    <row r="24" spans="1:7" ht="15.75" customHeight="1" x14ac:dyDescent="0.25">
      <c r="A24" s="39" t="s">
        <v>216</v>
      </c>
      <c r="B24" s="63">
        <v>0</v>
      </c>
      <c r="C24" s="63">
        <v>0.95</v>
      </c>
      <c r="D24" s="64">
        <v>1</v>
      </c>
      <c r="E24" s="64" t="s">
        <v>230</v>
      </c>
      <c r="F24" s="63">
        <v>1</v>
      </c>
      <c r="G24" s="63">
        <v>1</v>
      </c>
    </row>
    <row r="25" spans="1:7" ht="15.75" customHeight="1" x14ac:dyDescent="0.25">
      <c r="A25" s="39" t="s">
        <v>217</v>
      </c>
      <c r="B25" s="63">
        <v>0</v>
      </c>
      <c r="C25" s="63">
        <v>0.95</v>
      </c>
      <c r="D25" s="64">
        <v>1</v>
      </c>
      <c r="E25" s="64" t="s">
        <v>230</v>
      </c>
      <c r="F25" s="63">
        <v>1</v>
      </c>
      <c r="G25" s="63">
        <v>1</v>
      </c>
    </row>
    <row r="26" spans="1:7" ht="15.75" customHeight="1" x14ac:dyDescent="0.25">
      <c r="A26" s="39" t="s">
        <v>218</v>
      </c>
      <c r="B26" s="63">
        <v>0.1</v>
      </c>
      <c r="C26" s="63">
        <v>0.95</v>
      </c>
      <c r="D26" s="64">
        <v>4.6500000000000004</v>
      </c>
      <c r="E26" s="64" t="s">
        <v>230</v>
      </c>
      <c r="F26" s="63">
        <v>1</v>
      </c>
      <c r="G26" s="63">
        <v>1</v>
      </c>
    </row>
    <row r="27" spans="1:7" ht="15.75" customHeight="1" x14ac:dyDescent="0.25">
      <c r="A27" s="39" t="s">
        <v>219</v>
      </c>
      <c r="B27" s="63">
        <v>0.3538</v>
      </c>
      <c r="C27" s="63">
        <v>0.95</v>
      </c>
      <c r="D27" s="64">
        <v>3.78</v>
      </c>
      <c r="E27" s="64" t="s">
        <v>230</v>
      </c>
      <c r="F27" s="63">
        <v>1</v>
      </c>
      <c r="G27" s="63">
        <v>1</v>
      </c>
    </row>
    <row r="28" spans="1:7" ht="15.75" customHeight="1" x14ac:dyDescent="0.25">
      <c r="A28" s="39" t="s">
        <v>220</v>
      </c>
      <c r="B28" s="63">
        <v>0</v>
      </c>
      <c r="C28" s="63">
        <v>0.95</v>
      </c>
      <c r="D28" s="64">
        <v>1</v>
      </c>
      <c r="E28" s="64" t="s">
        <v>230</v>
      </c>
      <c r="F28" s="63">
        <v>1</v>
      </c>
      <c r="G28" s="63">
        <v>1</v>
      </c>
    </row>
    <row r="29" spans="1:7" ht="15.75" customHeight="1" x14ac:dyDescent="0.25">
      <c r="A29" s="39" t="s">
        <v>221</v>
      </c>
      <c r="B29" s="63">
        <v>0</v>
      </c>
      <c r="C29" s="63">
        <v>0.95</v>
      </c>
      <c r="D29" s="64">
        <v>48</v>
      </c>
      <c r="E29" s="64" t="s">
        <v>230</v>
      </c>
      <c r="F29" s="63">
        <v>1</v>
      </c>
      <c r="G29" s="63">
        <v>1</v>
      </c>
    </row>
    <row r="30" spans="1:7" ht="15.75" customHeight="1" x14ac:dyDescent="0.25">
      <c r="A30" s="39" t="s">
        <v>234</v>
      </c>
      <c r="B30" s="63">
        <v>0</v>
      </c>
      <c r="C30" s="63">
        <v>0.95</v>
      </c>
      <c r="D30" s="64">
        <v>64</v>
      </c>
      <c r="E30" s="64" t="s">
        <v>230</v>
      </c>
      <c r="F30" s="63">
        <v>1</v>
      </c>
      <c r="G30" s="63">
        <v>1</v>
      </c>
    </row>
    <row r="31" spans="1:7" ht="15.75" customHeight="1" x14ac:dyDescent="0.25">
      <c r="A31" s="39" t="s">
        <v>190</v>
      </c>
      <c r="B31" s="63">
        <v>0</v>
      </c>
      <c r="C31" s="63">
        <v>0.95</v>
      </c>
      <c r="D31" s="64">
        <v>65</v>
      </c>
      <c r="E31" s="64" t="s">
        <v>230</v>
      </c>
      <c r="F31" s="63">
        <v>1</v>
      </c>
      <c r="G31" s="63">
        <v>1</v>
      </c>
    </row>
    <row r="32" spans="1:7" ht="15.75" customHeight="1" x14ac:dyDescent="0.25">
      <c r="A32" s="39" t="s">
        <v>222</v>
      </c>
      <c r="B32" s="63">
        <v>0.89970000000000006</v>
      </c>
      <c r="C32" s="63">
        <v>0.95</v>
      </c>
      <c r="D32" s="64">
        <v>0.41</v>
      </c>
      <c r="E32" s="64" t="s">
        <v>230</v>
      </c>
      <c r="F32" s="63">
        <v>1</v>
      </c>
      <c r="G32" s="63">
        <v>1</v>
      </c>
    </row>
    <row r="33" spans="1:7" ht="15.75" customHeight="1" x14ac:dyDescent="0.25">
      <c r="A33" s="39" t="s">
        <v>223</v>
      </c>
      <c r="B33" s="63">
        <v>0.80700000000000005</v>
      </c>
      <c r="C33" s="63">
        <v>0.95</v>
      </c>
      <c r="D33" s="64">
        <v>0.9</v>
      </c>
      <c r="E33" s="64" t="s">
        <v>230</v>
      </c>
      <c r="F33" s="63">
        <v>1</v>
      </c>
      <c r="G33" s="63">
        <v>1</v>
      </c>
    </row>
    <row r="34" spans="1:7" ht="15.75" customHeight="1" x14ac:dyDescent="0.25">
      <c r="A34" s="39" t="s">
        <v>224</v>
      </c>
      <c r="B34" s="63">
        <v>0.73199999999999998</v>
      </c>
      <c r="C34" s="63">
        <v>0.95</v>
      </c>
      <c r="D34" s="64">
        <v>0.9</v>
      </c>
      <c r="E34" s="64" t="s">
        <v>230</v>
      </c>
      <c r="F34" s="63">
        <v>1</v>
      </c>
      <c r="G34" s="63">
        <v>1</v>
      </c>
    </row>
    <row r="35" spans="1:7" ht="15.75" customHeight="1" x14ac:dyDescent="0.25">
      <c r="A35" s="39" t="s">
        <v>225</v>
      </c>
      <c r="B35" s="63">
        <v>0.316</v>
      </c>
      <c r="C35" s="63">
        <v>0.95</v>
      </c>
      <c r="D35" s="64">
        <v>79</v>
      </c>
      <c r="E35" s="64" t="s">
        <v>230</v>
      </c>
      <c r="F35" s="63">
        <v>1</v>
      </c>
      <c r="G35" s="63">
        <v>1</v>
      </c>
    </row>
    <row r="36" spans="1:7" ht="15.75" customHeight="1" x14ac:dyDescent="0.25">
      <c r="A36" s="39" t="s">
        <v>226</v>
      </c>
      <c r="B36" s="63">
        <v>0.59699999999999998</v>
      </c>
      <c r="C36" s="63">
        <v>0.95</v>
      </c>
      <c r="D36" s="64">
        <v>31</v>
      </c>
      <c r="E36" s="64" t="s">
        <v>230</v>
      </c>
      <c r="F36" s="63">
        <v>1</v>
      </c>
      <c r="G36" s="63">
        <v>1</v>
      </c>
    </row>
    <row r="37" spans="1:7" ht="15.75" customHeight="1" x14ac:dyDescent="0.25">
      <c r="A37" s="39" t="s">
        <v>227</v>
      </c>
      <c r="B37" s="63">
        <v>0.19900000000000001</v>
      </c>
      <c r="C37" s="63">
        <v>0.95</v>
      </c>
      <c r="D37" s="64">
        <v>102</v>
      </c>
      <c r="E37" s="64" t="s">
        <v>230</v>
      </c>
      <c r="F37" s="63">
        <v>1</v>
      </c>
      <c r="G37" s="63">
        <v>1</v>
      </c>
    </row>
    <row r="38" spans="1:7" ht="15.75" customHeight="1" x14ac:dyDescent="0.25">
      <c r="A38" s="39" t="s">
        <v>228</v>
      </c>
      <c r="B38" s="63">
        <v>0.13400000000000001</v>
      </c>
      <c r="C38" s="63">
        <v>0.95</v>
      </c>
      <c r="D38" s="64">
        <v>5.53</v>
      </c>
      <c r="E38" s="64" t="s">
        <v>230</v>
      </c>
      <c r="F38" s="63">
        <v>1</v>
      </c>
      <c r="G38" s="63">
        <v>1</v>
      </c>
    </row>
    <row r="39" spans="1:7" ht="15.75" customHeight="1" x14ac:dyDescent="0.25">
      <c r="A39" s="39" t="s">
        <v>229</v>
      </c>
      <c r="B39" s="63">
        <v>0</v>
      </c>
      <c r="C39" s="63">
        <v>0.95</v>
      </c>
      <c r="D39" s="64">
        <v>1</v>
      </c>
      <c r="E39" s="64" t="s">
        <v>230</v>
      </c>
      <c r="F39" s="63">
        <v>1</v>
      </c>
      <c r="G39" s="63">
        <v>1</v>
      </c>
    </row>
  </sheetData>
  <sheetProtection algorithmName="SHA-512" hashValue="a+jrFaCCMAGveO5gjT/2o8vWw5qWXzyhuT1zJdCCXylW2ZTKVsVTP2hcLElEa6Yg/9KfWNZukzcHLiUla0dEKQ==" saltValue="Bo8a2sKM83G0LtXeYHyFP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189</v>
      </c>
      <c r="B1" s="29" t="s">
        <v>235</v>
      </c>
      <c r="C1" s="29" t="s">
        <v>236</v>
      </c>
    </row>
    <row r="2" spans="1:3" x14ac:dyDescent="0.25">
      <c r="A2" s="65" t="s">
        <v>209</v>
      </c>
      <c r="B2" s="62" t="s">
        <v>219</v>
      </c>
      <c r="C2" s="62"/>
    </row>
    <row r="3" spans="1:3" x14ac:dyDescent="0.25">
      <c r="A3" s="65" t="s">
        <v>210</v>
      </c>
      <c r="B3" s="62" t="s">
        <v>219</v>
      </c>
      <c r="C3" s="62"/>
    </row>
    <row r="4" spans="1:3" x14ac:dyDescent="0.25">
      <c r="A4" s="66" t="s">
        <v>221</v>
      </c>
      <c r="B4" s="62" t="s">
        <v>214</v>
      </c>
      <c r="C4" s="62"/>
    </row>
    <row r="5" spans="1:3" x14ac:dyDescent="0.25">
      <c r="A5" s="66" t="s">
        <v>218</v>
      </c>
      <c r="B5" s="62" t="s">
        <v>214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vqp8hta/uz2L5JGlAj198OOrDCpj5KUck6hQ54SYkOWr1G5rfxkDibBt1DOBDD4vFkZht8UMkXbSliII3XM5fA==" saltValue="W+AfjnDm7ONdArndJDBs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189</v>
      </c>
    </row>
    <row r="2" spans="1:1" x14ac:dyDescent="0.25">
      <c r="A2" s="35" t="s">
        <v>201</v>
      </c>
    </row>
    <row r="3" spans="1:1" x14ac:dyDescent="0.25">
      <c r="A3" s="35" t="s">
        <v>211</v>
      </c>
    </row>
    <row r="4" spans="1:1" x14ac:dyDescent="0.25">
      <c r="A4" s="35" t="s">
        <v>215</v>
      </c>
    </row>
    <row r="5" spans="1:1" x14ac:dyDescent="0.25">
      <c r="A5" s="35" t="s">
        <v>223</v>
      </c>
    </row>
    <row r="6" spans="1:1" x14ac:dyDescent="0.25">
      <c r="A6" s="35" t="s">
        <v>224</v>
      </c>
    </row>
    <row r="7" spans="1:1" x14ac:dyDescent="0.25">
      <c r="A7" s="35" t="s">
        <v>225</v>
      </c>
    </row>
    <row r="8" spans="1:1" x14ac:dyDescent="0.25">
      <c r="A8" s="35" t="s">
        <v>226</v>
      </c>
    </row>
    <row r="9" spans="1:1" x14ac:dyDescent="0.25">
      <c r="A9" s="35" t="s">
        <v>227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ZsnxGecEiTw0EFQcgmmlUAe0ZwEHfVgt71QQ4PKtNn8foVSa6s2rXMog7pFMBZDB0umyvzFelOto4ZTLxUdVDA==" saltValue="sBxV5lMP6R0+WXS8HnBzM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238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237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xQf28hmRHPeHuQeZMgIgQ0nEdHsq+K7eoIMdZcMSTPnxlfMdj8KL8byfiGgtedqxCn1rnXpNnnO5q7fH7smA+A==" saltValue="f27QNJ9G6BxSudf9wOb7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200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213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218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220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221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190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222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228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229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198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209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210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211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216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219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45" t="s">
        <v>201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205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206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207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208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203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204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212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215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224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225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226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227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JCIwtEigS4u7Ws06t7LGvcP7cyQG2WbCClnqpeIKzaiDdLj9gLkrqionkrw1ZJUsGVQMn7MlUg1f6Z7GxsrI/g==" saltValue="9RXFox+F83ricRGOOnAj6g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PJRPm4wdgQ4H//TAX4WPPD51IKDg89qzhXD5kv4xVOoXUbu7ivBz6n05r/imLfpPh4ndKSZ+3nifieqTRNvRFA==" saltValue="iDZ0uoQ8joMgrYleDBqL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245</v>
      </c>
      <c r="B1" s="29" t="s">
        <v>244</v>
      </c>
      <c r="C1" s="29" t="s">
        <v>4</v>
      </c>
      <c r="D1" s="29" t="s">
        <v>254</v>
      </c>
      <c r="E1" s="29" t="s">
        <v>255</v>
      </c>
    </row>
    <row r="2" spans="1:5" ht="14" x14ac:dyDescent="0.3">
      <c r="A2" s="28" t="s">
        <v>246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247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248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249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250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251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252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253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7tFFDOMQnq7iRrbZn2H5dRTWjZasnaPptvwIUet/2qB3Y9+QRTfbNGYETH1c/XR5nfyJs8QShXXvzW6tlzviig==" saltValue="bfQsVvIwJHLKqOx4iO6D2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240</v>
      </c>
      <c r="B1" s="71" t="s">
        <v>189</v>
      </c>
      <c r="C1" s="43" t="s">
        <v>127</v>
      </c>
      <c r="D1" s="43" t="s">
        <v>114</v>
      </c>
      <c r="E1" s="43" t="s">
        <v>115</v>
      </c>
      <c r="F1" s="43" t="s">
        <v>116</v>
      </c>
      <c r="G1" s="43" t="s">
        <v>117</v>
      </c>
      <c r="H1" s="43" t="s">
        <v>140</v>
      </c>
      <c r="I1" s="43" t="s">
        <v>141</v>
      </c>
      <c r="J1" s="43" t="s">
        <v>142</v>
      </c>
      <c r="K1" s="43" t="s">
        <v>143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104</v>
      </c>
      <c r="B2" s="39" t="s">
        <v>199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200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186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187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188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213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214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218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220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221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234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190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222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228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229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118</v>
      </c>
      <c r="B18" s="39" t="s">
        <v>197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198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209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210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211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216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219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93</v>
      </c>
      <c r="B27" s="39" t="s">
        <v>201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205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206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207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208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202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203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204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212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215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224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225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226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227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b/Bfg2i9/OTemRufCPAjhaueVvGF/jCBVxMaje2TngnDHq5ysnkt7bcSb8HH8zdVjH59AvBYVdAsg19yYjwBAw==" saltValue="jM6RKdzv9DKPZWDb3fvH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189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39" t="s">
        <v>197</v>
      </c>
      <c r="B2" s="100"/>
      <c r="C2" s="100"/>
      <c r="D2" s="100"/>
      <c r="E2" s="100"/>
      <c r="F2" s="100"/>
      <c r="G2" s="100"/>
      <c r="H2" s="100"/>
      <c r="I2" s="100" t="s">
        <v>7</v>
      </c>
      <c r="J2" s="100"/>
      <c r="K2" s="100"/>
      <c r="L2" s="100"/>
    </row>
    <row r="3" spans="1:12" x14ac:dyDescent="0.25">
      <c r="A3" s="39" t="s">
        <v>198</v>
      </c>
      <c r="B3" s="100"/>
      <c r="C3" s="100"/>
      <c r="D3" s="100"/>
      <c r="E3" s="100"/>
      <c r="F3" s="100"/>
      <c r="G3" s="100"/>
      <c r="H3" s="100" t="s">
        <v>7</v>
      </c>
      <c r="I3" s="100" t="s">
        <v>7</v>
      </c>
      <c r="J3" s="100"/>
      <c r="K3" s="100"/>
      <c r="L3" s="100"/>
    </row>
    <row r="4" spans="1:12" x14ac:dyDescent="0.25">
      <c r="A4" s="39" t="s">
        <v>199</v>
      </c>
      <c r="B4" s="100" t="s">
        <v>7</v>
      </c>
      <c r="C4" s="100"/>
      <c r="D4" s="100" t="s">
        <v>7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200</v>
      </c>
      <c r="B5" s="100"/>
      <c r="C5" s="100" t="s">
        <v>7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201</v>
      </c>
      <c r="B6" s="100"/>
      <c r="C6" s="100"/>
      <c r="D6" s="100"/>
      <c r="E6" s="100"/>
      <c r="F6" s="100"/>
      <c r="G6" s="100"/>
      <c r="H6" s="100"/>
      <c r="I6" s="100"/>
      <c r="J6" s="100" t="s">
        <v>7</v>
      </c>
      <c r="K6" s="100" t="s">
        <v>7</v>
      </c>
      <c r="L6" s="100"/>
    </row>
    <row r="7" spans="1:12" x14ac:dyDescent="0.25">
      <c r="A7" s="39" t="s">
        <v>202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/>
      <c r="J7" s="100"/>
      <c r="K7" s="100"/>
      <c r="L7" s="100"/>
    </row>
    <row r="8" spans="1:12" x14ac:dyDescent="0.25">
      <c r="A8" s="39" t="s">
        <v>203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/>
      <c r="J8" s="100"/>
      <c r="K8" s="100"/>
      <c r="L8" s="100"/>
    </row>
    <row r="9" spans="1:12" x14ac:dyDescent="0.25">
      <c r="A9" s="39" t="s">
        <v>204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/>
      <c r="J9" s="100"/>
      <c r="K9" s="100"/>
      <c r="L9" s="100"/>
    </row>
    <row r="10" spans="1:12" x14ac:dyDescent="0.25">
      <c r="A10" s="45" t="s">
        <v>205</v>
      </c>
      <c r="B10" s="100"/>
      <c r="C10" s="100" t="s">
        <v>7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206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207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208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209</v>
      </c>
      <c r="B14" s="100"/>
      <c r="C14" s="100" t="s">
        <v>7</v>
      </c>
      <c r="D14" s="100"/>
      <c r="E14" s="100"/>
      <c r="F14" s="100"/>
      <c r="G14" s="100"/>
      <c r="H14" s="100"/>
      <c r="I14" s="100" t="s">
        <v>7</v>
      </c>
      <c r="J14" s="100"/>
      <c r="K14" s="100"/>
      <c r="L14" s="100"/>
    </row>
    <row r="15" spans="1:12" x14ac:dyDescent="0.25">
      <c r="A15" s="72" t="s">
        <v>210</v>
      </c>
      <c r="B15" s="100"/>
      <c r="C15" s="100" t="s">
        <v>7</v>
      </c>
      <c r="D15" s="100"/>
      <c r="E15" s="100"/>
      <c r="F15" s="100"/>
      <c r="G15" s="100"/>
      <c r="H15" s="100"/>
      <c r="I15" s="100" t="s">
        <v>7</v>
      </c>
      <c r="J15" s="100"/>
      <c r="K15" s="100"/>
      <c r="L15" s="100"/>
    </row>
    <row r="16" spans="1:12" x14ac:dyDescent="0.25">
      <c r="A16" s="39" t="s">
        <v>211</v>
      </c>
      <c r="B16" s="100"/>
      <c r="C16" s="100" t="s">
        <v>7</v>
      </c>
      <c r="D16" s="100"/>
      <c r="E16" s="100"/>
      <c r="F16" s="100"/>
      <c r="G16" s="100"/>
      <c r="H16" s="100" t="s">
        <v>7</v>
      </c>
      <c r="I16" s="100" t="s">
        <v>7</v>
      </c>
      <c r="J16" s="100"/>
      <c r="K16" s="100"/>
      <c r="L16" s="100"/>
    </row>
    <row r="17" spans="1:12" x14ac:dyDescent="0.25">
      <c r="A17" s="39" t="s">
        <v>212</v>
      </c>
      <c r="B17" s="100"/>
      <c r="C17" s="100" t="s">
        <v>7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186</v>
      </c>
      <c r="B18" s="100" t="s">
        <v>7</v>
      </c>
      <c r="C18" s="100"/>
      <c r="D18" s="100"/>
      <c r="E18" s="100"/>
      <c r="F18" s="100" t="s">
        <v>7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187</v>
      </c>
      <c r="B19" s="100" t="s">
        <v>7</v>
      </c>
      <c r="C19" s="100"/>
      <c r="D19" s="100"/>
      <c r="E19" s="100"/>
      <c r="F19" s="100" t="s">
        <v>7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188</v>
      </c>
      <c r="B20" s="100" t="s">
        <v>7</v>
      </c>
      <c r="C20" s="100"/>
      <c r="D20" s="100"/>
      <c r="E20" s="100"/>
      <c r="F20" s="100" t="s">
        <v>7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213</v>
      </c>
      <c r="B21" s="100"/>
      <c r="C21" s="100"/>
      <c r="D21" s="100"/>
      <c r="E21" s="100"/>
      <c r="F21" s="100"/>
      <c r="G21" s="100"/>
      <c r="H21" s="100" t="s">
        <v>7</v>
      </c>
      <c r="I21" s="100" t="s">
        <v>7</v>
      </c>
      <c r="J21" s="100"/>
      <c r="K21" s="100"/>
      <c r="L21" s="100"/>
    </row>
    <row r="22" spans="1:12" x14ac:dyDescent="0.25">
      <c r="A22" s="39" t="s">
        <v>214</v>
      </c>
      <c r="B22" s="100" t="s">
        <v>7</v>
      </c>
      <c r="C22" s="100" t="s">
        <v>7</v>
      </c>
      <c r="D22" s="100" t="s">
        <v>7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215</v>
      </c>
      <c r="B23" s="100"/>
      <c r="C23" s="100" t="s">
        <v>7</v>
      </c>
      <c r="D23" s="100"/>
      <c r="E23" s="100"/>
      <c r="F23" s="100"/>
      <c r="G23" s="100"/>
      <c r="H23" s="100"/>
      <c r="I23" s="100" t="s">
        <v>7</v>
      </c>
      <c r="J23" s="100"/>
      <c r="K23" s="100"/>
      <c r="L23" s="100"/>
    </row>
    <row r="24" spans="1:12" x14ac:dyDescent="0.25">
      <c r="A24" s="39" t="s">
        <v>216</v>
      </c>
      <c r="B24" s="100"/>
      <c r="C24" s="100"/>
      <c r="D24" s="100"/>
      <c r="E24" s="100"/>
      <c r="F24" s="100"/>
      <c r="G24" s="100"/>
      <c r="H24" s="100" t="s">
        <v>7</v>
      </c>
      <c r="I24" s="100"/>
      <c r="J24" s="100"/>
      <c r="K24" s="100"/>
      <c r="L24" s="100"/>
    </row>
    <row r="25" spans="1:12" x14ac:dyDescent="0.25">
      <c r="A25" s="39" t="s">
        <v>217</v>
      </c>
      <c r="B25" s="100"/>
      <c r="C25" s="100"/>
      <c r="D25" s="100"/>
      <c r="E25" s="100"/>
      <c r="F25" s="100"/>
      <c r="G25" s="100"/>
      <c r="H25" s="100" t="s">
        <v>7</v>
      </c>
      <c r="I25" s="100"/>
      <c r="J25" s="100"/>
      <c r="K25" s="100"/>
      <c r="L25" s="100"/>
    </row>
    <row r="26" spans="1:12" x14ac:dyDescent="0.25">
      <c r="A26" s="39" t="s">
        <v>218</v>
      </c>
      <c r="B26" s="100"/>
      <c r="C26" s="100" t="s">
        <v>7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219</v>
      </c>
      <c r="B27" s="100"/>
      <c r="C27" s="100" t="s">
        <v>7</v>
      </c>
      <c r="D27" s="100"/>
      <c r="E27" s="100"/>
      <c r="F27" s="100"/>
      <c r="G27" s="100"/>
      <c r="H27" s="100"/>
      <c r="I27" s="100" t="s">
        <v>7</v>
      </c>
      <c r="J27" s="100"/>
      <c r="K27" s="100"/>
      <c r="L27" s="100" t="s">
        <v>7</v>
      </c>
    </row>
    <row r="28" spans="1:12" x14ac:dyDescent="0.25">
      <c r="A28" s="39" t="s">
        <v>220</v>
      </c>
      <c r="B28" s="100"/>
      <c r="C28" s="100"/>
      <c r="D28" s="100"/>
      <c r="E28" s="100"/>
      <c r="F28" s="100"/>
      <c r="G28" s="100"/>
      <c r="H28" s="100" t="s">
        <v>7</v>
      </c>
      <c r="I28" s="100"/>
      <c r="J28" s="100"/>
      <c r="K28" s="100"/>
      <c r="L28" s="100"/>
    </row>
    <row r="29" spans="1:12" x14ac:dyDescent="0.25">
      <c r="A29" s="39" t="s">
        <v>221</v>
      </c>
      <c r="B29" s="100" t="s">
        <v>7</v>
      </c>
      <c r="C29" s="100"/>
      <c r="D29" s="100" t="s">
        <v>7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234</v>
      </c>
      <c r="B30" s="100" t="s">
        <v>7</v>
      </c>
      <c r="C30" s="100" t="s">
        <v>7</v>
      </c>
      <c r="D30" s="100" t="s">
        <v>7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190</v>
      </c>
      <c r="B31" s="100"/>
      <c r="C31" s="100"/>
      <c r="D31" s="100"/>
      <c r="E31" s="100" t="s">
        <v>7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222</v>
      </c>
      <c r="B32" s="100"/>
      <c r="C32" s="100"/>
      <c r="D32" s="100"/>
      <c r="E32" s="100"/>
      <c r="F32" s="100"/>
      <c r="G32" s="100" t="s">
        <v>7</v>
      </c>
      <c r="H32" s="100" t="s">
        <v>7</v>
      </c>
      <c r="I32" s="100"/>
      <c r="J32" s="100"/>
      <c r="K32" s="100"/>
      <c r="L32" s="100"/>
    </row>
    <row r="33" spans="1:12" x14ac:dyDescent="0.25">
      <c r="A33" s="39" t="s">
        <v>223</v>
      </c>
      <c r="B33" s="100"/>
      <c r="C33" s="100"/>
      <c r="D33" s="100"/>
      <c r="E33" s="100"/>
      <c r="F33" s="100"/>
      <c r="G33" s="100" t="s">
        <v>7</v>
      </c>
      <c r="H33" s="100" t="s">
        <v>7</v>
      </c>
      <c r="I33" s="100"/>
      <c r="J33" s="100"/>
      <c r="K33" s="100"/>
      <c r="L33" s="100"/>
    </row>
    <row r="34" spans="1:12" x14ac:dyDescent="0.25">
      <c r="A34" s="39" t="s">
        <v>224</v>
      </c>
      <c r="B34" s="100"/>
      <c r="C34" s="100"/>
      <c r="D34" s="100"/>
      <c r="E34" s="100"/>
      <c r="F34" s="100"/>
      <c r="G34" s="100" t="s">
        <v>7</v>
      </c>
      <c r="H34" s="100" t="s">
        <v>7</v>
      </c>
      <c r="I34" s="100"/>
      <c r="J34" s="100"/>
      <c r="K34" s="100"/>
      <c r="L34" s="100"/>
    </row>
    <row r="35" spans="1:12" x14ac:dyDescent="0.25">
      <c r="A35" s="39" t="s">
        <v>225</v>
      </c>
      <c r="B35" s="100"/>
      <c r="C35" s="100"/>
      <c r="D35" s="100"/>
      <c r="E35" s="100"/>
      <c r="F35" s="100"/>
      <c r="G35" s="100" t="s">
        <v>7</v>
      </c>
      <c r="H35" s="100" t="s">
        <v>7</v>
      </c>
      <c r="I35" s="100"/>
      <c r="J35" s="100"/>
      <c r="K35" s="100"/>
      <c r="L35" s="100"/>
    </row>
    <row r="36" spans="1:12" x14ac:dyDescent="0.25">
      <c r="A36" s="39" t="s">
        <v>226</v>
      </c>
      <c r="B36" s="100"/>
      <c r="C36" s="100"/>
      <c r="D36" s="100"/>
      <c r="E36" s="100"/>
      <c r="F36" s="100"/>
      <c r="G36" s="100" t="s">
        <v>7</v>
      </c>
      <c r="H36" s="100" t="s">
        <v>7</v>
      </c>
      <c r="I36" s="100"/>
      <c r="J36" s="100"/>
      <c r="K36" s="100"/>
      <c r="L36" s="100"/>
    </row>
    <row r="37" spans="1:12" x14ac:dyDescent="0.25">
      <c r="A37" s="39" t="s">
        <v>227</v>
      </c>
      <c r="B37" s="100"/>
      <c r="C37" s="100"/>
      <c r="D37" s="100"/>
      <c r="E37" s="100"/>
      <c r="F37" s="100"/>
      <c r="G37" s="100" t="s">
        <v>7</v>
      </c>
      <c r="H37" s="100" t="s">
        <v>7</v>
      </c>
      <c r="I37" s="100"/>
      <c r="J37" s="100"/>
      <c r="K37" s="100"/>
      <c r="L37" s="100"/>
    </row>
    <row r="38" spans="1:12" x14ac:dyDescent="0.25">
      <c r="A38" s="39" t="s">
        <v>228</v>
      </c>
      <c r="B38" s="100"/>
      <c r="C38" s="100"/>
      <c r="D38" s="100"/>
      <c r="E38" s="100"/>
      <c r="F38" s="100"/>
      <c r="G38" s="100"/>
      <c r="H38" s="100" t="s">
        <v>7</v>
      </c>
      <c r="I38" s="100"/>
      <c r="J38" s="100"/>
      <c r="K38" s="100"/>
      <c r="L38" s="100"/>
    </row>
    <row r="39" spans="1:12" x14ac:dyDescent="0.25">
      <c r="A39" s="39" t="s">
        <v>229</v>
      </c>
      <c r="B39" s="100" t="s">
        <v>7</v>
      </c>
      <c r="C39" s="100"/>
      <c r="D39" s="100"/>
      <c r="E39" s="100"/>
      <c r="F39" s="100"/>
      <c r="G39" s="100" t="s">
        <v>7</v>
      </c>
      <c r="H39" s="100" t="s">
        <v>7</v>
      </c>
      <c r="I39" s="100"/>
      <c r="J39" s="100"/>
      <c r="K39" s="100"/>
      <c r="L39" s="100"/>
    </row>
  </sheetData>
  <sheetProtection algorithmName="SHA-512" hashValue="oeRDNGWg/c73B99PLcaPV14gYABg0eCi6SRoGFa2AVf7MWPUB6mLSUkFbUPVigyGBTfu/ZBBOzqVnv0tewHE1g==" saltValue="MqWQKHEVbKn/NhNsC+nsW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261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27" t="s">
        <v>127</v>
      </c>
      <c r="B2" s="100" t="s">
        <v>7</v>
      </c>
      <c r="C2" s="100" t="s">
        <v>7</v>
      </c>
      <c r="D2" s="100" t="s">
        <v>7</v>
      </c>
      <c r="E2" s="100" t="s">
        <v>7</v>
      </c>
      <c r="F2" s="100" t="s">
        <v>7</v>
      </c>
      <c r="G2" s="100" t="s">
        <v>7</v>
      </c>
      <c r="H2" s="100" t="s">
        <v>7</v>
      </c>
      <c r="I2" s="100"/>
      <c r="J2" s="100"/>
      <c r="K2" s="100"/>
      <c r="L2" s="100"/>
    </row>
    <row r="3" spans="1:12" x14ac:dyDescent="0.25">
      <c r="A3" s="27" t="s">
        <v>114</v>
      </c>
      <c r="B3" s="100" t="s">
        <v>7</v>
      </c>
      <c r="C3" s="100" t="s">
        <v>7</v>
      </c>
      <c r="D3" s="100" t="s">
        <v>7</v>
      </c>
      <c r="E3" s="100" t="s">
        <v>7</v>
      </c>
      <c r="F3" s="100" t="s">
        <v>7</v>
      </c>
      <c r="G3" s="100" t="s">
        <v>7</v>
      </c>
      <c r="H3" s="100" t="s">
        <v>7</v>
      </c>
      <c r="I3" s="100"/>
      <c r="J3" s="100"/>
      <c r="K3" s="100"/>
      <c r="L3" s="100"/>
    </row>
    <row r="4" spans="1:12" x14ac:dyDescent="0.25">
      <c r="A4" s="27" t="s">
        <v>115</v>
      </c>
      <c r="B4" s="100" t="s">
        <v>7</v>
      </c>
      <c r="C4" s="100" t="s">
        <v>7</v>
      </c>
      <c r="D4" s="100" t="s">
        <v>7</v>
      </c>
      <c r="E4" s="100" t="s">
        <v>7</v>
      </c>
      <c r="F4" s="100" t="s">
        <v>7</v>
      </c>
      <c r="G4" s="100" t="s">
        <v>7</v>
      </c>
      <c r="H4" s="100" t="s">
        <v>7</v>
      </c>
      <c r="I4" s="100"/>
      <c r="J4" s="100"/>
      <c r="K4" s="100"/>
      <c r="L4" s="100"/>
    </row>
    <row r="5" spans="1:12" x14ac:dyDescent="0.25">
      <c r="A5" s="27" t="s">
        <v>116</v>
      </c>
      <c r="B5" s="100" t="s">
        <v>7</v>
      </c>
      <c r="C5" s="100" t="s">
        <v>7</v>
      </c>
      <c r="D5" s="100" t="s">
        <v>7</v>
      </c>
      <c r="E5" s="100" t="s">
        <v>7</v>
      </c>
      <c r="F5" s="100" t="s">
        <v>7</v>
      </c>
      <c r="G5" s="100" t="s">
        <v>7</v>
      </c>
      <c r="H5" s="100" t="s">
        <v>7</v>
      </c>
      <c r="I5" s="100"/>
      <c r="J5" s="100"/>
      <c r="K5" s="100"/>
      <c r="L5" s="100"/>
    </row>
    <row r="6" spans="1:12" x14ac:dyDescent="0.25">
      <c r="A6" s="27" t="s">
        <v>117</v>
      </c>
      <c r="B6" s="100" t="s">
        <v>7</v>
      </c>
      <c r="C6" s="100" t="s">
        <v>7</v>
      </c>
      <c r="D6" s="100" t="s">
        <v>7</v>
      </c>
      <c r="E6" s="100" t="s">
        <v>7</v>
      </c>
      <c r="F6" s="100" t="s">
        <v>7</v>
      </c>
      <c r="G6" s="100" t="s">
        <v>7</v>
      </c>
      <c r="H6" s="100" t="s">
        <v>7</v>
      </c>
      <c r="I6" s="100"/>
      <c r="J6" s="100"/>
      <c r="K6" s="100"/>
      <c r="L6" s="100"/>
    </row>
    <row r="7" spans="1:12" x14ac:dyDescent="0.25">
      <c r="A7" s="27" t="s">
        <v>140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 t="s">
        <v>7</v>
      </c>
      <c r="J7" s="100"/>
      <c r="K7" s="100"/>
      <c r="L7" s="100" t="s">
        <v>7</v>
      </c>
    </row>
    <row r="8" spans="1:12" x14ac:dyDescent="0.25">
      <c r="A8" s="27" t="s">
        <v>141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 t="s">
        <v>7</v>
      </c>
      <c r="J8" s="100"/>
      <c r="K8" s="100"/>
      <c r="L8" s="100" t="s">
        <v>7</v>
      </c>
    </row>
    <row r="9" spans="1:12" x14ac:dyDescent="0.25">
      <c r="A9" s="27" t="s">
        <v>142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 t="s">
        <v>7</v>
      </c>
      <c r="J9" s="100"/>
      <c r="K9" s="100"/>
      <c r="L9" s="100" t="s">
        <v>7</v>
      </c>
    </row>
    <row r="10" spans="1:12" x14ac:dyDescent="0.25">
      <c r="A10" s="27" t="s">
        <v>143</v>
      </c>
      <c r="B10" s="100"/>
      <c r="C10" s="100" t="s">
        <v>7</v>
      </c>
      <c r="D10" s="100"/>
      <c r="E10" s="100"/>
      <c r="F10" s="100"/>
      <c r="G10" s="100"/>
      <c r="H10" s="100" t="s">
        <v>7</v>
      </c>
      <c r="I10" s="100" t="s">
        <v>7</v>
      </c>
      <c r="J10" s="100"/>
      <c r="K10" s="100"/>
      <c r="L10" s="100" t="s">
        <v>7</v>
      </c>
    </row>
    <row r="11" spans="1:12" x14ac:dyDescent="0.25">
      <c r="A11" s="27" t="s">
        <v>87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 t="s">
        <v>7</v>
      </c>
      <c r="K11" s="100" t="s">
        <v>7</v>
      </c>
      <c r="L11" s="100"/>
    </row>
    <row r="12" spans="1:12" x14ac:dyDescent="0.25">
      <c r="A12" s="27" t="s">
        <v>88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 t="s">
        <v>7</v>
      </c>
      <c r="L12" s="100"/>
    </row>
    <row r="13" spans="1:12" x14ac:dyDescent="0.25">
      <c r="A13" s="27" t="s">
        <v>89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 t="s">
        <v>7</v>
      </c>
      <c r="L13" s="100"/>
    </row>
    <row r="14" spans="1:12" x14ac:dyDescent="0.25">
      <c r="A14" s="27" t="s">
        <v>90</v>
      </c>
      <c r="B14" s="100"/>
      <c r="C14" s="100" t="s">
        <v>7</v>
      </c>
      <c r="D14" s="100"/>
      <c r="E14" s="100"/>
      <c r="F14" s="100"/>
      <c r="G14" s="100"/>
      <c r="H14" s="100"/>
      <c r="I14" s="100"/>
      <c r="J14" s="100"/>
      <c r="K14" s="100" t="s">
        <v>7</v>
      </c>
      <c r="L14" s="100"/>
    </row>
  </sheetData>
  <sheetProtection algorithmName="SHA-512" hashValue="Jz4E984v0RX+MYXAzd4jtWJidvbi5GpcvE9Sgjh43mWglxQ0VFfCTry3OPMyLFstpywp7p4G0LpNRCnegR721w==" saltValue="WXD0k1bQY2z7sBpjragB9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262</v>
      </c>
      <c r="B1" s="29" t="s">
        <v>181</v>
      </c>
      <c r="C1" s="29" t="s">
        <v>193</v>
      </c>
      <c r="D1" s="29" t="s">
        <v>127</v>
      </c>
      <c r="E1" s="29" t="s">
        <v>114</v>
      </c>
      <c r="F1" s="29" t="s">
        <v>115</v>
      </c>
      <c r="G1" s="29" t="s">
        <v>116</v>
      </c>
      <c r="H1" s="29" t="s">
        <v>117</v>
      </c>
    </row>
    <row r="2" spans="1:10" ht="13" x14ac:dyDescent="0.3">
      <c r="A2" s="29" t="s">
        <v>263</v>
      </c>
      <c r="B2" s="125" t="s">
        <v>118</v>
      </c>
      <c r="C2" s="27" t="s">
        <v>182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183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127</v>
      </c>
      <c r="C5" s="27" t="s">
        <v>182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183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114</v>
      </c>
      <c r="C8" s="27" t="s">
        <v>182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183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115</v>
      </c>
      <c r="C11" s="27" t="s">
        <v>182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183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116</v>
      </c>
      <c r="C14" s="27" t="s">
        <v>182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183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185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264</v>
      </c>
      <c r="B19" s="125" t="s">
        <v>118</v>
      </c>
      <c r="C19" s="27" t="s">
        <v>182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183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127</v>
      </c>
      <c r="C22" s="27" t="s">
        <v>182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183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114</v>
      </c>
      <c r="C25" s="27" t="s">
        <v>182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183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115</v>
      </c>
      <c r="C28" s="27" t="s">
        <v>182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183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116</v>
      </c>
      <c r="C31" s="27" t="s">
        <v>182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183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185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265</v>
      </c>
      <c r="B36" s="125" t="s">
        <v>118</v>
      </c>
      <c r="C36" s="27" t="s">
        <v>182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183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127</v>
      </c>
      <c r="C39" s="27" t="s">
        <v>182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183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114</v>
      </c>
      <c r="C42" s="27" t="s">
        <v>182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183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115</v>
      </c>
      <c r="C45" s="27" t="s">
        <v>182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183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116</v>
      </c>
      <c r="C48" s="27" t="s">
        <v>182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183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185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262</v>
      </c>
      <c r="B54" s="29" t="s">
        <v>181</v>
      </c>
      <c r="C54" s="29" t="s">
        <v>193</v>
      </c>
      <c r="D54" s="29" t="s">
        <v>127</v>
      </c>
      <c r="E54" s="29" t="s">
        <v>114</v>
      </c>
      <c r="F54" s="29" t="s">
        <v>115</v>
      </c>
      <c r="G54" s="29" t="s">
        <v>116</v>
      </c>
      <c r="H54" s="29" t="s">
        <v>117</v>
      </c>
    </row>
    <row r="55" spans="1:8" ht="13" x14ac:dyDescent="0.3">
      <c r="A55" s="29" t="s">
        <v>267</v>
      </c>
      <c r="B55" s="125" t="s">
        <v>118</v>
      </c>
      <c r="C55" s="27" t="s">
        <v>182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183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127</v>
      </c>
      <c r="C58" s="27" t="s">
        <v>182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183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114</v>
      </c>
      <c r="C61" s="27" t="s">
        <v>182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183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115</v>
      </c>
      <c r="C64" s="27" t="s">
        <v>182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183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116</v>
      </c>
      <c r="C67" s="27" t="s">
        <v>182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183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185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268</v>
      </c>
      <c r="B72" s="125" t="s">
        <v>118</v>
      </c>
      <c r="C72" s="27" t="s">
        <v>182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183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127</v>
      </c>
      <c r="C75" s="27" t="s">
        <v>182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183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114</v>
      </c>
      <c r="C78" s="27" t="s">
        <v>182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183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115</v>
      </c>
      <c r="C81" s="27" t="s">
        <v>182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183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116</v>
      </c>
      <c r="C84" s="27" t="s">
        <v>182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183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185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269</v>
      </c>
      <c r="B89" s="125" t="s">
        <v>118</v>
      </c>
      <c r="C89" s="27" t="s">
        <v>182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183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127</v>
      </c>
      <c r="C92" s="27" t="s">
        <v>182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183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114</v>
      </c>
      <c r="C95" s="27" t="s">
        <v>182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183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115</v>
      </c>
      <c r="C98" s="27" t="s">
        <v>182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183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116</v>
      </c>
      <c r="C101" s="27" t="s">
        <v>182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183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185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270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262</v>
      </c>
      <c r="B107" s="29" t="s">
        <v>181</v>
      </c>
      <c r="C107" s="29" t="s">
        <v>193</v>
      </c>
      <c r="D107" s="29" t="s">
        <v>127</v>
      </c>
      <c r="E107" s="29" t="s">
        <v>114</v>
      </c>
      <c r="F107" s="29" t="s">
        <v>115</v>
      </c>
      <c r="G107" s="29" t="s">
        <v>116</v>
      </c>
      <c r="H107" s="29" t="s">
        <v>117</v>
      </c>
    </row>
    <row r="108" spans="1:8" ht="13" x14ac:dyDescent="0.3">
      <c r="A108" s="29" t="s">
        <v>271</v>
      </c>
      <c r="B108" s="125" t="s">
        <v>118</v>
      </c>
      <c r="C108" s="27" t="s">
        <v>182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183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127</v>
      </c>
      <c r="C111" s="27" t="s">
        <v>182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183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114</v>
      </c>
      <c r="C114" s="27" t="s">
        <v>182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183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115</v>
      </c>
      <c r="C117" s="27" t="s">
        <v>182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183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116</v>
      </c>
      <c r="C120" s="27" t="s">
        <v>182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183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185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272</v>
      </c>
      <c r="B125" s="125" t="s">
        <v>118</v>
      </c>
      <c r="C125" s="27" t="s">
        <v>182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183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127</v>
      </c>
      <c r="C128" s="27" t="s">
        <v>182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183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114</v>
      </c>
      <c r="C131" s="27" t="s">
        <v>182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183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115</v>
      </c>
      <c r="C134" s="27" t="s">
        <v>182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183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116</v>
      </c>
      <c r="C137" s="27" t="s">
        <v>182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183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185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273</v>
      </c>
      <c r="B142" s="125" t="s">
        <v>118</v>
      </c>
      <c r="C142" s="27" t="s">
        <v>182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183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127</v>
      </c>
      <c r="C145" s="27" t="s">
        <v>182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183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114</v>
      </c>
      <c r="C148" s="27" t="s">
        <v>182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183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115</v>
      </c>
      <c r="C151" s="27" t="s">
        <v>182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183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116</v>
      </c>
      <c r="C154" s="27" t="s">
        <v>182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183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185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lEdMURciM2nBmcPgnMooUocxaqfMGm6n7nM6R4aNt+13gwHDBLeQ/NILiD/PPszVU5H9qDU6u8jedkdP+P9vTQ==" saltValue="1dLiUPUgT24tWQ3Vgh9Vz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274</v>
      </c>
    </row>
    <row r="2" spans="1:6" ht="15.75" customHeight="1" x14ac:dyDescent="0.3">
      <c r="B2" s="80"/>
      <c r="C2" s="81" t="s">
        <v>72</v>
      </c>
      <c r="D2" s="82" t="s">
        <v>71</v>
      </c>
      <c r="E2" s="82" t="s">
        <v>70</v>
      </c>
      <c r="F2" s="82" t="s">
        <v>69</v>
      </c>
    </row>
    <row r="3" spans="1:6" ht="15.75" customHeight="1" x14ac:dyDescent="0.3">
      <c r="A3" s="29" t="s">
        <v>275</v>
      </c>
      <c r="B3" s="83"/>
      <c r="C3" s="84"/>
      <c r="D3" s="85"/>
      <c r="E3" s="85"/>
      <c r="F3" s="85"/>
    </row>
    <row r="4" spans="1:6" ht="15.75" customHeight="1" x14ac:dyDescent="0.25">
      <c r="B4" s="72" t="s">
        <v>55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56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57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58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280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276</v>
      </c>
      <c r="C11" s="87"/>
      <c r="D11" s="88"/>
      <c r="E11" s="88"/>
      <c r="F11" s="88"/>
    </row>
    <row r="12" spans="1:6" ht="15.75" customHeight="1" x14ac:dyDescent="0.3">
      <c r="A12" s="29" t="s">
        <v>277</v>
      </c>
      <c r="C12" s="86"/>
      <c r="D12" s="75"/>
      <c r="E12" s="75"/>
      <c r="F12" s="75"/>
    </row>
    <row r="13" spans="1:6" ht="15.75" customHeight="1" x14ac:dyDescent="0.25">
      <c r="B13" s="45" t="s">
        <v>278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137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279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96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97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98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99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100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101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102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103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274</v>
      </c>
    </row>
    <row r="29" spans="1:6" ht="15.75" customHeight="1" x14ac:dyDescent="0.3">
      <c r="B29" s="80"/>
      <c r="C29" s="81" t="s">
        <v>72</v>
      </c>
      <c r="D29" s="82" t="s">
        <v>71</v>
      </c>
      <c r="E29" s="82" t="s">
        <v>70</v>
      </c>
      <c r="F29" s="82" t="s">
        <v>69</v>
      </c>
    </row>
    <row r="30" spans="1:6" ht="15.75" customHeight="1" x14ac:dyDescent="0.3">
      <c r="A30" s="29" t="s">
        <v>281</v>
      </c>
      <c r="B30" s="83"/>
      <c r="C30" s="84"/>
      <c r="D30" s="85"/>
      <c r="E30" s="85"/>
      <c r="F30" s="85"/>
    </row>
    <row r="31" spans="1:6" ht="15.75" customHeight="1" x14ac:dyDescent="0.25">
      <c r="B31" s="72" t="s">
        <v>55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56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57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58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293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276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282</v>
      </c>
      <c r="C39" s="86"/>
      <c r="D39" s="75"/>
      <c r="E39" s="75"/>
      <c r="F39" s="75"/>
    </row>
    <row r="40" spans="1:6" ht="15.75" customHeight="1" x14ac:dyDescent="0.25">
      <c r="B40" s="45" t="s">
        <v>287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288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289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283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96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97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98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99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100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101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102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103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270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274</v>
      </c>
    </row>
    <row r="56" spans="1:6" ht="15.75" customHeight="1" x14ac:dyDescent="0.3">
      <c r="B56" s="80"/>
      <c r="C56" s="81" t="s">
        <v>72</v>
      </c>
      <c r="D56" s="82" t="s">
        <v>71</v>
      </c>
      <c r="E56" s="82" t="s">
        <v>70</v>
      </c>
      <c r="F56" s="82" t="s">
        <v>69</v>
      </c>
    </row>
    <row r="57" spans="1:6" ht="15.75" customHeight="1" x14ac:dyDescent="0.3">
      <c r="A57" s="29" t="s">
        <v>284</v>
      </c>
      <c r="B57" s="83"/>
      <c r="C57" s="84"/>
      <c r="D57" s="85"/>
      <c r="E57" s="85"/>
      <c r="F57" s="85"/>
    </row>
    <row r="58" spans="1:6" ht="15.75" customHeight="1" x14ac:dyDescent="0.25">
      <c r="B58" s="72" t="s">
        <v>55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56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57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58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294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276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285</v>
      </c>
      <c r="C66" s="86"/>
      <c r="D66" s="75"/>
      <c r="E66" s="75"/>
      <c r="F66" s="75"/>
    </row>
    <row r="67" spans="1:6" ht="15.75" customHeight="1" x14ac:dyDescent="0.25">
      <c r="B67" s="45" t="s">
        <v>290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291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292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286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96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97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98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99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100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101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102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103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uTddhOJlxX80z3BAl6J1wOJ0NazAUVO4ZoLWy9AtiUSIes01jYAyM6oTvboi0E1BUm5btwqqI+N/50Uw0Tm7qA==" saltValue="UY2hfWQbWnIp2wufVgJkl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295</v>
      </c>
    </row>
    <row r="2" spans="1:16" ht="13" x14ac:dyDescent="0.3">
      <c r="A2" s="92" t="s">
        <v>256</v>
      </c>
      <c r="B2" s="41" t="s">
        <v>296</v>
      </c>
      <c r="C2" s="41" t="s">
        <v>297</v>
      </c>
      <c r="D2" s="82" t="s">
        <v>127</v>
      </c>
      <c r="E2" s="82" t="s">
        <v>114</v>
      </c>
      <c r="F2" s="82" t="s">
        <v>115</v>
      </c>
      <c r="G2" s="82" t="s">
        <v>116</v>
      </c>
      <c r="H2" s="82" t="s">
        <v>117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105</v>
      </c>
      <c r="C3" s="31" t="s">
        <v>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298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299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300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106</v>
      </c>
      <c r="C7" s="31" t="s">
        <v>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298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299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300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108</v>
      </c>
      <c r="C11" s="31" t="s">
        <v>9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298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299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300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109</v>
      </c>
      <c r="C15" s="31" t="s">
        <v>9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298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299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300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107</v>
      </c>
      <c r="C19" s="31" t="s">
        <v>9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298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299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300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113</v>
      </c>
      <c r="C23" s="31" t="s">
        <v>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298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299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300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309</v>
      </c>
    </row>
    <row r="29" spans="1:16" ht="13" x14ac:dyDescent="0.3">
      <c r="A29" s="92" t="s">
        <v>310</v>
      </c>
      <c r="B29" s="29" t="s">
        <v>296</v>
      </c>
      <c r="C29" s="29" t="s">
        <v>301</v>
      </c>
      <c r="D29" s="82" t="s">
        <v>127</v>
      </c>
      <c r="E29" s="82" t="s">
        <v>114</v>
      </c>
      <c r="F29" s="82" t="s">
        <v>115</v>
      </c>
      <c r="G29" s="82" t="s">
        <v>116</v>
      </c>
      <c r="H29" s="82" t="s">
        <v>117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105</v>
      </c>
      <c r="C30" s="31" t="s">
        <v>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298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238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237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106</v>
      </c>
      <c r="C34" s="31" t="s">
        <v>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298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238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237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108</v>
      </c>
      <c r="C38" s="31" t="s">
        <v>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298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238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237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109</v>
      </c>
      <c r="C42" s="31" t="s">
        <v>9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298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238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237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107</v>
      </c>
      <c r="C46" s="31" t="s">
        <v>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298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238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237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113</v>
      </c>
      <c r="C50" s="31" t="s">
        <v>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298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238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237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302</v>
      </c>
    </row>
    <row r="56" spans="1:16" ht="26" x14ac:dyDescent="0.3">
      <c r="A56" s="92" t="s">
        <v>139</v>
      </c>
      <c r="B56" s="29" t="s">
        <v>296</v>
      </c>
      <c r="C56" s="80" t="s">
        <v>303</v>
      </c>
      <c r="D56" s="82" t="s">
        <v>140</v>
      </c>
      <c r="E56" s="82" t="s">
        <v>141</v>
      </c>
      <c r="F56" s="82" t="s">
        <v>142</v>
      </c>
      <c r="G56" s="82" t="s">
        <v>143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119</v>
      </c>
      <c r="C57" s="31" t="s">
        <v>304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305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120</v>
      </c>
      <c r="C59" s="31" t="s">
        <v>304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305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121</v>
      </c>
      <c r="C61" s="31" t="s">
        <v>304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305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306</v>
      </c>
    </row>
    <row r="65" spans="1:16" ht="26" x14ac:dyDescent="0.3">
      <c r="A65" s="92" t="s">
        <v>146</v>
      </c>
      <c r="B65" s="29" t="s">
        <v>296</v>
      </c>
      <c r="C65" s="80" t="s">
        <v>307</v>
      </c>
      <c r="D65" s="82" t="s">
        <v>127</v>
      </c>
      <c r="E65" s="82" t="s">
        <v>114</v>
      </c>
      <c r="F65" s="82" t="s">
        <v>115</v>
      </c>
      <c r="G65" s="82" t="s">
        <v>116</v>
      </c>
      <c r="H65" s="95" t="s">
        <v>117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96</v>
      </c>
      <c r="C66" s="31" t="s">
        <v>147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148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149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150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147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148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149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150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98</v>
      </c>
      <c r="C74" s="31" t="s">
        <v>147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148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149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150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100</v>
      </c>
      <c r="C78" s="31" t="s">
        <v>147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148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149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150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105</v>
      </c>
      <c r="C82" s="31" t="s">
        <v>147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148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149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150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106</v>
      </c>
      <c r="C86" s="31" t="s">
        <v>147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148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149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150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108</v>
      </c>
      <c r="C90" s="31" t="s">
        <v>147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148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149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150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107</v>
      </c>
      <c r="C94" s="31" t="s">
        <v>147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148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149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150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110</v>
      </c>
      <c r="C98" s="31" t="s">
        <v>147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148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149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150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308</v>
      </c>
    </row>
    <row r="104" spans="1:16" ht="26" x14ac:dyDescent="0.3">
      <c r="A104" s="92" t="s">
        <v>105</v>
      </c>
      <c r="B104" s="96" t="s">
        <v>150</v>
      </c>
      <c r="C104" s="80" t="s">
        <v>307</v>
      </c>
      <c r="D104" s="82" t="s">
        <v>127</v>
      </c>
      <c r="E104" s="82" t="s">
        <v>114</v>
      </c>
      <c r="F104" s="82" t="s">
        <v>115</v>
      </c>
      <c r="G104" s="82" t="s">
        <v>116</v>
      </c>
      <c r="H104" s="95" t="s">
        <v>117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147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148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149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150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295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256</v>
      </c>
      <c r="B112" s="41" t="s">
        <v>296</v>
      </c>
      <c r="C112" s="41" t="s">
        <v>297</v>
      </c>
      <c r="D112" s="82" t="s">
        <v>127</v>
      </c>
      <c r="E112" s="82" t="s">
        <v>114</v>
      </c>
      <c r="F112" s="82" t="s">
        <v>115</v>
      </c>
      <c r="G112" s="82" t="s">
        <v>116</v>
      </c>
      <c r="H112" s="82" t="s">
        <v>117</v>
      </c>
    </row>
    <row r="113" spans="1:8" ht="13" x14ac:dyDescent="0.3">
      <c r="A113" s="29"/>
      <c r="B113" s="27" t="s">
        <v>105</v>
      </c>
      <c r="C113" s="31" t="s">
        <v>9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298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299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300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106</v>
      </c>
      <c r="C117" s="31" t="s">
        <v>9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298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299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300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108</v>
      </c>
      <c r="C121" s="31" t="s">
        <v>9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298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299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300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109</v>
      </c>
      <c r="C125" s="31" t="s">
        <v>9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298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299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300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107</v>
      </c>
      <c r="C129" s="31" t="s">
        <v>9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298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299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300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113</v>
      </c>
      <c r="C133" s="31" t="s">
        <v>9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298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299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300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309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310</v>
      </c>
      <c r="B139" s="29" t="s">
        <v>296</v>
      </c>
      <c r="C139" s="29" t="s">
        <v>301</v>
      </c>
      <c r="D139" s="82" t="s">
        <v>127</v>
      </c>
      <c r="E139" s="82" t="s">
        <v>114</v>
      </c>
      <c r="F139" s="82" t="s">
        <v>115</v>
      </c>
      <c r="G139" s="82" t="s">
        <v>116</v>
      </c>
      <c r="H139" s="82" t="s">
        <v>117</v>
      </c>
    </row>
    <row r="140" spans="1:8" ht="13" x14ac:dyDescent="0.3">
      <c r="A140" s="29"/>
      <c r="B140" s="27" t="s">
        <v>105</v>
      </c>
      <c r="C140" s="31" t="s">
        <v>9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298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238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237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106</v>
      </c>
      <c r="C144" s="31" t="s">
        <v>9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298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238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237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108</v>
      </c>
      <c r="C148" s="31" t="s">
        <v>9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298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238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237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109</v>
      </c>
      <c r="C152" s="31" t="s">
        <v>9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298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238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237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107</v>
      </c>
      <c r="C156" s="31" t="s">
        <v>9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298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238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237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113</v>
      </c>
      <c r="C160" s="31" t="s">
        <v>9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298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238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237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302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139</v>
      </c>
      <c r="B166" s="29" t="s">
        <v>296</v>
      </c>
      <c r="C166" s="80" t="s">
        <v>303</v>
      </c>
      <c r="D166" s="82" t="s">
        <v>140</v>
      </c>
      <c r="E166" s="82" t="s">
        <v>141</v>
      </c>
      <c r="F166" s="82" t="s">
        <v>142</v>
      </c>
      <c r="G166" s="82" t="s">
        <v>143</v>
      </c>
      <c r="H166" s="93"/>
    </row>
    <row r="167" spans="1:8" ht="13" x14ac:dyDescent="0.3">
      <c r="A167" s="29"/>
      <c r="B167" s="27" t="s">
        <v>119</v>
      </c>
      <c r="C167" s="31" t="s">
        <v>304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305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120</v>
      </c>
      <c r="C169" s="31" t="s">
        <v>304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305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121</v>
      </c>
      <c r="C171" s="31" t="s">
        <v>304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305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306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146</v>
      </c>
      <c r="B175" s="29" t="s">
        <v>296</v>
      </c>
      <c r="C175" s="80" t="s">
        <v>307</v>
      </c>
      <c r="D175" s="82" t="s">
        <v>127</v>
      </c>
      <c r="E175" s="82" t="s">
        <v>114</v>
      </c>
      <c r="F175" s="82" t="s">
        <v>115</v>
      </c>
      <c r="G175" s="82" t="s">
        <v>116</v>
      </c>
      <c r="H175" s="95" t="s">
        <v>117</v>
      </c>
    </row>
    <row r="176" spans="1:8" ht="13" x14ac:dyDescent="0.3">
      <c r="A176" s="96"/>
      <c r="B176" s="27" t="s">
        <v>96</v>
      </c>
      <c r="C176" s="31" t="s">
        <v>147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148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149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150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147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148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149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150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98</v>
      </c>
      <c r="C184" s="31" t="s">
        <v>147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148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149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150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100</v>
      </c>
      <c r="C188" s="31" t="s">
        <v>147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148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149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150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105</v>
      </c>
      <c r="C192" s="31" t="s">
        <v>147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148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149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150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106</v>
      </c>
      <c r="C196" s="31" t="s">
        <v>147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148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149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150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108</v>
      </c>
      <c r="C200" s="31" t="s">
        <v>147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148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149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150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107</v>
      </c>
      <c r="C204" s="31" t="s">
        <v>147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148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149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150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110</v>
      </c>
      <c r="C208" s="31" t="s">
        <v>147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148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149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150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308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105</v>
      </c>
      <c r="B214" s="96" t="s">
        <v>150</v>
      </c>
      <c r="C214" s="80" t="s">
        <v>307</v>
      </c>
      <c r="D214" s="82" t="s">
        <v>127</v>
      </c>
      <c r="E214" s="82" t="s">
        <v>114</v>
      </c>
      <c r="F214" s="82" t="s">
        <v>115</v>
      </c>
      <c r="G214" s="82" t="s">
        <v>116</v>
      </c>
      <c r="H214" s="95" t="s">
        <v>117</v>
      </c>
    </row>
    <row r="215" spans="1:9" ht="13" x14ac:dyDescent="0.3">
      <c r="A215" s="29"/>
      <c r="C215" s="31" t="s">
        <v>147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148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149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150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270</v>
      </c>
      <c r="H220" s="105"/>
    </row>
    <row r="221" spans="1:9" ht="13" x14ac:dyDescent="0.3">
      <c r="A221" s="78" t="s">
        <v>295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256</v>
      </c>
      <c r="B222" s="41" t="s">
        <v>296</v>
      </c>
      <c r="C222" s="41" t="s">
        <v>297</v>
      </c>
      <c r="D222" s="82" t="s">
        <v>127</v>
      </c>
      <c r="E222" s="82" t="s">
        <v>114</v>
      </c>
      <c r="F222" s="82" t="s">
        <v>115</v>
      </c>
      <c r="G222" s="82" t="s">
        <v>116</v>
      </c>
      <c r="H222" s="82" t="s">
        <v>117</v>
      </c>
      <c r="I222" s="93"/>
    </row>
    <row r="223" spans="1:9" ht="13" x14ac:dyDescent="0.3">
      <c r="A223" s="29"/>
      <c r="B223" s="27" t="s">
        <v>105</v>
      </c>
      <c r="C223" s="31" t="s">
        <v>9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298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299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300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106</v>
      </c>
      <c r="C227" s="31" t="s">
        <v>9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298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299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300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108</v>
      </c>
      <c r="C231" s="31" t="s">
        <v>9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298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299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300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109</v>
      </c>
      <c r="C235" s="31" t="s">
        <v>9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298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299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300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107</v>
      </c>
      <c r="C239" s="31" t="s">
        <v>9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298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299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300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113</v>
      </c>
      <c r="C243" s="31" t="s">
        <v>9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298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299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300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309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310</v>
      </c>
      <c r="B249" s="29" t="s">
        <v>296</v>
      </c>
      <c r="C249" s="29" t="s">
        <v>301</v>
      </c>
      <c r="D249" s="82" t="s">
        <v>127</v>
      </c>
      <c r="E249" s="82" t="s">
        <v>114</v>
      </c>
      <c r="F249" s="82" t="s">
        <v>115</v>
      </c>
      <c r="G249" s="82" t="s">
        <v>116</v>
      </c>
      <c r="H249" s="82" t="s">
        <v>117</v>
      </c>
      <c r="I249" s="93"/>
    </row>
    <row r="250" spans="1:9" ht="13" x14ac:dyDescent="0.3">
      <c r="A250" s="29"/>
      <c r="B250" s="27" t="s">
        <v>105</v>
      </c>
      <c r="C250" s="31" t="s">
        <v>9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298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238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237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106</v>
      </c>
      <c r="C254" s="31" t="s">
        <v>9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298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238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237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108</v>
      </c>
      <c r="C258" s="31" t="s">
        <v>9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298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238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237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109</v>
      </c>
      <c r="C262" s="31" t="s">
        <v>9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298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238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237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107</v>
      </c>
      <c r="C266" s="31" t="s">
        <v>9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298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238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237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113</v>
      </c>
      <c r="C270" s="31" t="s">
        <v>9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298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238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237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302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139</v>
      </c>
      <c r="B276" s="29" t="s">
        <v>296</v>
      </c>
      <c r="C276" s="80" t="s">
        <v>303</v>
      </c>
      <c r="D276" s="82" t="s">
        <v>140</v>
      </c>
      <c r="E276" s="82" t="s">
        <v>141</v>
      </c>
      <c r="F276" s="82" t="s">
        <v>142</v>
      </c>
      <c r="G276" s="82" t="s">
        <v>143</v>
      </c>
      <c r="H276" s="93"/>
    </row>
    <row r="277" spans="1:9" ht="13" x14ac:dyDescent="0.3">
      <c r="A277" s="29"/>
      <c r="B277" s="27" t="s">
        <v>119</v>
      </c>
      <c r="C277" s="31" t="s">
        <v>304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305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120</v>
      </c>
      <c r="C279" s="31" t="s">
        <v>304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305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121</v>
      </c>
      <c r="C281" s="31" t="s">
        <v>304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305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306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146</v>
      </c>
      <c r="B285" s="29" t="s">
        <v>296</v>
      </c>
      <c r="C285" s="80" t="s">
        <v>307</v>
      </c>
      <c r="D285" s="82" t="s">
        <v>127</v>
      </c>
      <c r="E285" s="82" t="s">
        <v>114</v>
      </c>
      <c r="F285" s="82" t="s">
        <v>115</v>
      </c>
      <c r="G285" s="82" t="s">
        <v>116</v>
      </c>
      <c r="H285" s="95" t="s">
        <v>117</v>
      </c>
      <c r="I285" s="93"/>
    </row>
    <row r="286" spans="1:9" ht="13" x14ac:dyDescent="0.3">
      <c r="A286" s="96"/>
      <c r="B286" s="27" t="s">
        <v>96</v>
      </c>
      <c r="C286" s="31" t="s">
        <v>147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148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149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150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147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148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149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150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98</v>
      </c>
      <c r="C294" s="31" t="s">
        <v>147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148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149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150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100</v>
      </c>
      <c r="C298" s="31" t="s">
        <v>147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148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149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150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105</v>
      </c>
      <c r="C302" s="31" t="s">
        <v>147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148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149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150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106</v>
      </c>
      <c r="C306" s="31" t="s">
        <v>147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148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149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150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108</v>
      </c>
      <c r="C310" s="31" t="s">
        <v>147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148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149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150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107</v>
      </c>
      <c r="C314" s="31" t="s">
        <v>147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148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149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150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110</v>
      </c>
      <c r="C318" s="31" t="s">
        <v>147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148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149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150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308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105</v>
      </c>
      <c r="B324" s="96" t="s">
        <v>150</v>
      </c>
      <c r="C324" s="80" t="s">
        <v>307</v>
      </c>
      <c r="D324" s="82" t="s">
        <v>127</v>
      </c>
      <c r="E324" s="82" t="s">
        <v>114</v>
      </c>
      <c r="F324" s="82" t="s">
        <v>115</v>
      </c>
      <c r="G324" s="82" t="s">
        <v>116</v>
      </c>
      <c r="H324" s="95" t="s">
        <v>117</v>
      </c>
      <c r="I324" s="93"/>
    </row>
    <row r="325" spans="1:9" ht="13" x14ac:dyDescent="0.3">
      <c r="A325" s="29"/>
      <c r="C325" s="31" t="s">
        <v>147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148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149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150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IqYldILLTCnDAfY4B+fi0/NUhW6i0fY3ZWj6oM9ll1ETri8SPO82PbViEPw92UdZxCk7YmZPgAzqEUeqG9RozA==" saltValue="+TQhS3f7phGAJfzCwNQw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264</v>
      </c>
    </row>
    <row r="2" spans="1:7" ht="14.25" customHeight="1" x14ac:dyDescent="0.3">
      <c r="A2" s="96" t="s">
        <v>0</v>
      </c>
      <c r="B2" s="41"/>
      <c r="C2" s="29" t="s">
        <v>127</v>
      </c>
      <c r="D2" s="29" t="s">
        <v>114</v>
      </c>
      <c r="E2" s="29" t="s">
        <v>115</v>
      </c>
      <c r="F2" s="29" t="s">
        <v>116</v>
      </c>
      <c r="G2" s="29" t="s">
        <v>117</v>
      </c>
    </row>
    <row r="3" spans="1:7" ht="14.25" customHeight="1" x14ac:dyDescent="0.25">
      <c r="B3" s="45" t="s">
        <v>311</v>
      </c>
      <c r="C3" s="103" t="s">
        <v>10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312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313</v>
      </c>
    </row>
    <row r="6" spans="1:7" ht="14.25" customHeight="1" x14ac:dyDescent="0.25">
      <c r="B6" s="72" t="s">
        <v>221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214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199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234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229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317</v>
      </c>
    </row>
    <row r="13" spans="1:7" ht="14.25" customHeight="1" x14ac:dyDescent="0.3">
      <c r="A13" s="83"/>
      <c r="B13" s="45" t="s">
        <v>213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314</v>
      </c>
    </row>
    <row r="16" spans="1:7" ht="14.25" customHeight="1" x14ac:dyDescent="0.3">
      <c r="A16" s="96" t="s">
        <v>310</v>
      </c>
      <c r="B16" s="72" t="s">
        <v>315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318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139</v>
      </c>
      <c r="B18" s="45" t="s">
        <v>316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319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201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264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0</v>
      </c>
      <c r="B26" s="41"/>
      <c r="C26" s="29" t="s">
        <v>127</v>
      </c>
      <c r="D26" s="29" t="s">
        <v>114</v>
      </c>
      <c r="E26" s="29" t="s">
        <v>115</v>
      </c>
      <c r="F26" s="29" t="s">
        <v>116</v>
      </c>
      <c r="G26" s="29" t="s">
        <v>117</v>
      </c>
    </row>
    <row r="27" spans="1:7" x14ac:dyDescent="0.25">
      <c r="B27" s="45" t="s">
        <v>320</v>
      </c>
      <c r="C27" s="103" t="s">
        <v>10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321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322</v>
      </c>
    </row>
    <row r="30" spans="1:7" x14ac:dyDescent="0.25">
      <c r="B30" s="72" t="s">
        <v>323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324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346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325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326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327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314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310</v>
      </c>
      <c r="B40" s="72" t="s">
        <v>328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329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139</v>
      </c>
      <c r="B42" s="45" t="s">
        <v>330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331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332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270</v>
      </c>
    </row>
    <row r="49" spans="1:7" ht="13" x14ac:dyDescent="0.3">
      <c r="A49" s="78" t="s">
        <v>264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0</v>
      </c>
      <c r="B50" s="41"/>
      <c r="C50" s="29" t="s">
        <v>127</v>
      </c>
      <c r="D50" s="29" t="s">
        <v>114</v>
      </c>
      <c r="E50" s="29" t="s">
        <v>115</v>
      </c>
      <c r="F50" s="29" t="s">
        <v>116</v>
      </c>
      <c r="G50" s="29" t="s">
        <v>117</v>
      </c>
    </row>
    <row r="51" spans="1:7" x14ac:dyDescent="0.25">
      <c r="B51" s="45" t="s">
        <v>333</v>
      </c>
      <c r="C51" s="103" t="s">
        <v>10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334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335</v>
      </c>
    </row>
    <row r="54" spans="1:7" x14ac:dyDescent="0.25">
      <c r="B54" s="72" t="s">
        <v>336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347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338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339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340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314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310</v>
      </c>
      <c r="B64" s="72" t="s">
        <v>341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342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139</v>
      </c>
      <c r="B66" s="45" t="s">
        <v>343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344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345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T2CYRbO1m29H9qPXhTwomjadUMDzzhO1KQTwuc9nSruuOU6QbOJ+duvKbHXY+MqpVaRKLmmvGmwZAb7BaNjgiQ==" saltValue="HGDYgX1cCzup68tLeIBo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189</v>
      </c>
      <c r="B1" s="29"/>
      <c r="C1" s="29" t="s">
        <v>69</v>
      </c>
      <c r="D1" s="29" t="s">
        <v>71</v>
      </c>
      <c r="E1" s="29" t="s">
        <v>70</v>
      </c>
      <c r="F1" s="41" t="s">
        <v>72</v>
      </c>
    </row>
    <row r="2" spans="1:6" ht="15.75" customHeight="1" x14ac:dyDescent="0.25">
      <c r="A2" s="72" t="s">
        <v>197</v>
      </c>
      <c r="B2" s="72" t="s">
        <v>348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349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198</v>
      </c>
      <c r="B4" s="72" t="s">
        <v>348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349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209</v>
      </c>
      <c r="B6" s="72" t="s">
        <v>348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349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210</v>
      </c>
      <c r="B8" s="72" t="s">
        <v>348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349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211</v>
      </c>
      <c r="B10" s="72" t="s">
        <v>348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349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215</v>
      </c>
      <c r="B12" s="72" t="s">
        <v>348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349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219</v>
      </c>
      <c r="B14" s="72" t="s">
        <v>348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349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189</v>
      </c>
      <c r="B18" s="29"/>
      <c r="C18" s="29" t="s">
        <v>69</v>
      </c>
      <c r="D18" s="29" t="s">
        <v>71</v>
      </c>
      <c r="E18" s="29" t="s">
        <v>70</v>
      </c>
      <c r="F18" s="41" t="s">
        <v>72</v>
      </c>
    </row>
    <row r="19" spans="1:6" ht="15.75" customHeight="1" x14ac:dyDescent="0.25">
      <c r="A19" s="72" t="s">
        <v>197</v>
      </c>
      <c r="B19" s="72" t="s">
        <v>348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349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198</v>
      </c>
      <c r="B21" s="72" t="s">
        <v>348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349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209</v>
      </c>
      <c r="B23" s="72" t="s">
        <v>348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349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210</v>
      </c>
      <c r="B25" s="72" t="s">
        <v>348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349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211</v>
      </c>
      <c r="B27" s="72" t="s">
        <v>348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349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215</v>
      </c>
      <c r="B29" s="72" t="s">
        <v>348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349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219</v>
      </c>
      <c r="B31" s="72" t="s">
        <v>348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349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270</v>
      </c>
    </row>
    <row r="35" spans="1:6" ht="15.75" customHeight="1" x14ac:dyDescent="0.3">
      <c r="A35" s="41" t="s">
        <v>189</v>
      </c>
      <c r="B35" s="29"/>
      <c r="C35" s="29" t="s">
        <v>69</v>
      </c>
      <c r="D35" s="29" t="s">
        <v>71</v>
      </c>
      <c r="E35" s="29" t="s">
        <v>70</v>
      </c>
      <c r="F35" s="41" t="s">
        <v>72</v>
      </c>
    </row>
    <row r="36" spans="1:6" ht="15.75" customHeight="1" x14ac:dyDescent="0.25">
      <c r="A36" s="72" t="s">
        <v>197</v>
      </c>
      <c r="B36" s="72" t="s">
        <v>348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349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198</v>
      </c>
      <c r="B38" s="72" t="s">
        <v>348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349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209</v>
      </c>
      <c r="B40" s="72" t="s">
        <v>348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349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210</v>
      </c>
      <c r="B42" s="72" t="s">
        <v>348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349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211</v>
      </c>
      <c r="B44" s="72" t="s">
        <v>348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349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215</v>
      </c>
      <c r="B46" s="72" t="s">
        <v>348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349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219</v>
      </c>
      <c r="B48" s="72" t="s">
        <v>348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349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VSzN4MTosQ4MnjM6lMnFLM/Fh5fk5cYUEKder2U7LS8SL9SaXzH40DRBSAxdP2lojf1bNVEOEN+DutL6oOBIpg==" saltValue="6z/dZIK5X9WS6X9NRO0H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127</v>
      </c>
      <c r="D1" s="122" t="s">
        <v>114</v>
      </c>
      <c r="E1" s="122" t="s">
        <v>115</v>
      </c>
      <c r="F1" s="122" t="s">
        <v>116</v>
      </c>
      <c r="G1" s="122" t="s">
        <v>117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140</v>
      </c>
      <c r="M1" s="122" t="s">
        <v>141</v>
      </c>
      <c r="N1" s="122" t="s">
        <v>142</v>
      </c>
      <c r="O1" s="122" t="s">
        <v>143</v>
      </c>
    </row>
    <row r="2" spans="1:15" ht="13" x14ac:dyDescent="0.3">
      <c r="A2" s="29" t="s">
        <v>350</v>
      </c>
    </row>
    <row r="3" spans="1:15" x14ac:dyDescent="0.25">
      <c r="B3" s="45" t="s">
        <v>200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205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206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207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208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209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210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211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214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215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218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219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234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351</v>
      </c>
      <c r="B17" s="45"/>
    </row>
    <row r="18" spans="1:15" x14ac:dyDescent="0.25">
      <c r="B18" s="72" t="s">
        <v>202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203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204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212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127</v>
      </c>
      <c r="D24" s="122" t="s">
        <v>114</v>
      </c>
      <c r="E24" s="122" t="s">
        <v>115</v>
      </c>
      <c r="F24" s="122" t="s">
        <v>116</v>
      </c>
      <c r="G24" s="122" t="s">
        <v>117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140</v>
      </c>
      <c r="M24" s="122" t="s">
        <v>141</v>
      </c>
      <c r="N24" s="122" t="s">
        <v>142</v>
      </c>
      <c r="O24" s="122" t="s">
        <v>143</v>
      </c>
    </row>
    <row r="25" spans="1:15" ht="13" x14ac:dyDescent="0.3">
      <c r="A25" s="29" t="s">
        <v>352</v>
      </c>
    </row>
    <row r="26" spans="1:15" x14ac:dyDescent="0.25">
      <c r="B26" s="45" t="s">
        <v>200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205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206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207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208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209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210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211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214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215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218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219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234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354</v>
      </c>
      <c r="B40" s="45"/>
    </row>
    <row r="41" spans="1:15" x14ac:dyDescent="0.25">
      <c r="B41" s="72" t="s">
        <v>202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203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204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212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270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127</v>
      </c>
      <c r="D47" s="122" t="s">
        <v>114</v>
      </c>
      <c r="E47" s="122" t="s">
        <v>115</v>
      </c>
      <c r="F47" s="122" t="s">
        <v>116</v>
      </c>
      <c r="G47" s="122" t="s">
        <v>117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140</v>
      </c>
      <c r="M47" s="122" t="s">
        <v>141</v>
      </c>
      <c r="N47" s="122" t="s">
        <v>142</v>
      </c>
      <c r="O47" s="122" t="s">
        <v>143</v>
      </c>
    </row>
    <row r="48" spans="1:15" ht="13" x14ac:dyDescent="0.3">
      <c r="A48" s="29" t="s">
        <v>353</v>
      </c>
    </row>
    <row r="49" spans="1:15" x14ac:dyDescent="0.25">
      <c r="B49" s="45" t="s">
        <v>200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205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206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207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208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209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210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211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214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215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218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219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234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355</v>
      </c>
      <c r="B63" s="45"/>
    </row>
    <row r="64" spans="1:15" x14ac:dyDescent="0.25">
      <c r="B64" s="72" t="s">
        <v>202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203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204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212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e1e52Wbm/gLOFHGc3rxT6U0SivaJLUjDXoyL2sxZ9I4LkDgDQThR3O5MUiOsCMaSvIBgplvqiJzLkNZ99GqBcQ==" saltValue="HP2xg2sR0b7+zNNuHRl8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29" t="s">
        <v>356</v>
      </c>
    </row>
    <row r="3" spans="1:7" x14ac:dyDescent="0.25">
      <c r="B3" s="45" t="s">
        <v>190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357</v>
      </c>
      <c r="B4" s="45"/>
      <c r="C4" s="123"/>
      <c r="D4" s="123"/>
      <c r="E4" s="123"/>
      <c r="F4" s="123"/>
      <c r="G4" s="123"/>
    </row>
    <row r="5" spans="1:7" x14ac:dyDescent="0.25">
      <c r="B5" s="72" t="s">
        <v>194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362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29" t="s">
        <v>358</v>
      </c>
    </row>
    <row r="10" spans="1:7" x14ac:dyDescent="0.25">
      <c r="B10" s="45" t="s">
        <v>190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359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194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363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29" t="s">
        <v>360</v>
      </c>
    </row>
    <row r="17" spans="1:7" x14ac:dyDescent="0.25">
      <c r="B17" s="45" t="s">
        <v>190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361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194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iHJZgwiVNmEOiHe33QXxGk3jfuuUgTtmVtY7tLivmMvRb+SO9h8PzR48vcS5u1BGB8lhrxnbXkGbwdaaFyokzA==" saltValue="lEk/j/v2mJbimlk1UITg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189</v>
      </c>
      <c r="B1" s="29" t="s">
        <v>364</v>
      </c>
      <c r="C1" s="96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39" t="s">
        <v>222</v>
      </c>
      <c r="B2" s="39" t="s">
        <v>105</v>
      </c>
      <c r="C2" s="39" t="s">
        <v>365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366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367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221</v>
      </c>
      <c r="B5" s="39" t="s">
        <v>237</v>
      </c>
      <c r="C5" s="39" t="s">
        <v>365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367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238</v>
      </c>
      <c r="C7" s="39" t="s">
        <v>365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367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214</v>
      </c>
      <c r="B9" s="39" t="s">
        <v>237</v>
      </c>
      <c r="C9" s="39" t="s">
        <v>365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367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238</v>
      </c>
      <c r="C11" s="39" t="s">
        <v>365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367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234</v>
      </c>
      <c r="B13" s="39" t="s">
        <v>237</v>
      </c>
      <c r="C13" s="39" t="s">
        <v>365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367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238</v>
      </c>
      <c r="C15" s="39" t="s">
        <v>365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367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199</v>
      </c>
      <c r="B17" s="39" t="s">
        <v>237</v>
      </c>
      <c r="C17" s="39" t="s">
        <v>365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367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238</v>
      </c>
      <c r="C19" s="39" t="s">
        <v>365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367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204</v>
      </c>
      <c r="B21" s="39" t="s">
        <v>102</v>
      </c>
      <c r="C21" s="39" t="s">
        <v>365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366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102</v>
      </c>
      <c r="C23" s="39" t="s">
        <v>365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366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203</v>
      </c>
      <c r="B25" s="39" t="s">
        <v>102</v>
      </c>
      <c r="C25" s="39" t="s">
        <v>365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366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226</v>
      </c>
      <c r="B27" s="39" t="s">
        <v>105</v>
      </c>
      <c r="C27" s="39" t="s">
        <v>365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366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367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227</v>
      </c>
      <c r="B30" s="39" t="s">
        <v>105</v>
      </c>
      <c r="C30" s="39" t="s">
        <v>365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366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367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225</v>
      </c>
      <c r="B33" s="39" t="s">
        <v>105</v>
      </c>
      <c r="C33" s="39" t="s">
        <v>365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366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367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224</v>
      </c>
      <c r="B36" s="39" t="s">
        <v>105</v>
      </c>
      <c r="C36" s="39" t="s">
        <v>365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366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367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223</v>
      </c>
      <c r="B39" s="39" t="s">
        <v>105</v>
      </c>
      <c r="C39" s="39" t="s">
        <v>365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366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367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229</v>
      </c>
      <c r="B42" s="39" t="s">
        <v>105</v>
      </c>
      <c r="C42" s="39" t="s">
        <v>365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366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367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106</v>
      </c>
      <c r="C45" s="39" t="s">
        <v>365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366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367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220</v>
      </c>
      <c r="B48" s="39" t="s">
        <v>105</v>
      </c>
      <c r="C48" s="39" t="s">
        <v>365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366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228</v>
      </c>
      <c r="B50" s="39" t="s">
        <v>105</v>
      </c>
      <c r="C50" s="39" t="s">
        <v>365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366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213</v>
      </c>
      <c r="B52" s="39" t="s">
        <v>100</v>
      </c>
      <c r="C52" s="39" t="s">
        <v>365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366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362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189</v>
      </c>
      <c r="B56" s="29" t="s">
        <v>364</v>
      </c>
      <c r="C56" s="96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39" t="s">
        <v>222</v>
      </c>
      <c r="B57" s="39" t="s">
        <v>105</v>
      </c>
      <c r="C57" s="39" t="s">
        <v>365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366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367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221</v>
      </c>
      <c r="B60" s="39" t="s">
        <v>237</v>
      </c>
      <c r="C60" s="39" t="s">
        <v>365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367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238</v>
      </c>
      <c r="C62" s="39" t="s">
        <v>365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367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214</v>
      </c>
      <c r="B64" s="39" t="s">
        <v>237</v>
      </c>
      <c r="C64" s="39" t="s">
        <v>365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367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238</v>
      </c>
      <c r="C66" s="39" t="s">
        <v>365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367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234</v>
      </c>
      <c r="B68" s="39" t="s">
        <v>237</v>
      </c>
      <c r="C68" s="39" t="s">
        <v>365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367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238</v>
      </c>
      <c r="C70" s="39" t="s">
        <v>365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367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199</v>
      </c>
      <c r="B72" s="39" t="s">
        <v>237</v>
      </c>
      <c r="C72" s="39" t="s">
        <v>365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367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238</v>
      </c>
      <c r="C74" s="39" t="s">
        <v>365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367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204</v>
      </c>
      <c r="B76" s="39" t="s">
        <v>102</v>
      </c>
      <c r="C76" s="39" t="s">
        <v>365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366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202</v>
      </c>
      <c r="B78" s="39" t="s">
        <v>102</v>
      </c>
      <c r="C78" s="39" t="s">
        <v>365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366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203</v>
      </c>
      <c r="B80" s="39" t="s">
        <v>102</v>
      </c>
      <c r="C80" s="39" t="s">
        <v>365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366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226</v>
      </c>
      <c r="B82" s="39" t="s">
        <v>105</v>
      </c>
      <c r="C82" s="39" t="s">
        <v>365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366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367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227</v>
      </c>
      <c r="B85" s="39" t="s">
        <v>105</v>
      </c>
      <c r="C85" s="39" t="s">
        <v>365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366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367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225</v>
      </c>
      <c r="B88" s="39" t="s">
        <v>105</v>
      </c>
      <c r="C88" s="39" t="s">
        <v>365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366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367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224</v>
      </c>
      <c r="B91" s="39" t="s">
        <v>105</v>
      </c>
      <c r="C91" s="39" t="s">
        <v>365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366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367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223</v>
      </c>
      <c r="B94" s="39" t="s">
        <v>105</v>
      </c>
      <c r="C94" s="39" t="s">
        <v>365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366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367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229</v>
      </c>
      <c r="B97" s="39" t="s">
        <v>105</v>
      </c>
      <c r="C97" s="39" t="s">
        <v>365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366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367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106</v>
      </c>
      <c r="C100" s="39" t="s">
        <v>365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366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367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220</v>
      </c>
      <c r="B103" s="39" t="s">
        <v>105</v>
      </c>
      <c r="C103" s="39" t="s">
        <v>365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366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228</v>
      </c>
      <c r="B105" s="39" t="s">
        <v>105</v>
      </c>
      <c r="C105" s="39" t="s">
        <v>365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366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213</v>
      </c>
      <c r="B107" s="39" t="s">
        <v>100</v>
      </c>
      <c r="C107" s="39" t="s">
        <v>365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366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363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189</v>
      </c>
      <c r="B111" s="29" t="s">
        <v>364</v>
      </c>
      <c r="C111" s="96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39" t="s">
        <v>222</v>
      </c>
      <c r="B112" s="39" t="s">
        <v>105</v>
      </c>
      <c r="C112" s="39" t="s">
        <v>365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366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367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221</v>
      </c>
      <c r="B115" s="39" t="s">
        <v>237</v>
      </c>
      <c r="C115" s="39" t="s">
        <v>365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367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238</v>
      </c>
      <c r="C117" s="39" t="s">
        <v>365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367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214</v>
      </c>
      <c r="B119" s="39" t="s">
        <v>237</v>
      </c>
      <c r="C119" s="39" t="s">
        <v>365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367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238</v>
      </c>
      <c r="C121" s="39" t="s">
        <v>365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367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234</v>
      </c>
      <c r="B123" s="39" t="s">
        <v>237</v>
      </c>
      <c r="C123" s="39" t="s">
        <v>365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367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238</v>
      </c>
      <c r="C125" s="39" t="s">
        <v>365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367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199</v>
      </c>
      <c r="B127" s="39" t="s">
        <v>237</v>
      </c>
      <c r="C127" s="39" t="s">
        <v>365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367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238</v>
      </c>
      <c r="C129" s="39" t="s">
        <v>365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367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204</v>
      </c>
      <c r="B131" s="39" t="s">
        <v>102</v>
      </c>
      <c r="C131" s="39" t="s">
        <v>365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366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202</v>
      </c>
      <c r="B133" s="39" t="s">
        <v>102</v>
      </c>
      <c r="C133" s="39" t="s">
        <v>365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366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203</v>
      </c>
      <c r="B135" s="39" t="s">
        <v>102</v>
      </c>
      <c r="C135" s="39" t="s">
        <v>365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366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226</v>
      </c>
      <c r="B137" s="39" t="s">
        <v>105</v>
      </c>
      <c r="C137" s="39" t="s">
        <v>365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366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367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227</v>
      </c>
      <c r="B140" s="39" t="s">
        <v>105</v>
      </c>
      <c r="C140" s="39" t="s">
        <v>365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366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367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225</v>
      </c>
      <c r="B143" s="39" t="s">
        <v>105</v>
      </c>
      <c r="C143" s="39" t="s">
        <v>365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366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367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224</v>
      </c>
      <c r="B146" s="39" t="s">
        <v>105</v>
      </c>
      <c r="C146" s="39" t="s">
        <v>365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366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367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223</v>
      </c>
      <c r="B149" s="39" t="s">
        <v>105</v>
      </c>
      <c r="C149" s="39" t="s">
        <v>365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366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367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229</v>
      </c>
      <c r="B152" s="39" t="s">
        <v>105</v>
      </c>
      <c r="C152" s="39" t="s">
        <v>365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366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367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106</v>
      </c>
      <c r="C155" s="39" t="s">
        <v>365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366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367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220</v>
      </c>
      <c r="B158" s="39" t="s">
        <v>105</v>
      </c>
      <c r="C158" s="39" t="s">
        <v>365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366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228</v>
      </c>
      <c r="B160" s="39" t="s">
        <v>105</v>
      </c>
      <c r="C160" s="39" t="s">
        <v>365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366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213</v>
      </c>
      <c r="B162" s="39" t="s">
        <v>100</v>
      </c>
      <c r="C162" s="39" t="s">
        <v>365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366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9DiCLuXjDs5rPJ3tPSHMDNjM5zep/2LkORzEGEepfa9jO3vnpmMHw2nD96P8yKqvcDw23XGK2mHNTNlFyBDppw==" saltValue="3Bn8zzvUDIr7+6cuqih1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189</v>
      </c>
      <c r="B1" s="41" t="s">
        <v>364</v>
      </c>
      <c r="C1" s="41"/>
      <c r="D1" s="4" t="s">
        <v>140</v>
      </c>
      <c r="E1" s="4" t="s">
        <v>141</v>
      </c>
      <c r="F1" s="4" t="s">
        <v>142</v>
      </c>
      <c r="G1" s="4" t="s">
        <v>143</v>
      </c>
      <c r="H1" s="29"/>
    </row>
    <row r="2" spans="1:8" x14ac:dyDescent="0.25">
      <c r="A2" s="31" t="s">
        <v>198</v>
      </c>
      <c r="B2" s="27" t="s">
        <v>122</v>
      </c>
      <c r="C2" s="31" t="s">
        <v>365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366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217</v>
      </c>
      <c r="B4" s="27" t="s">
        <v>122</v>
      </c>
      <c r="C4" s="31" t="s">
        <v>365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366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216</v>
      </c>
      <c r="B6" s="27" t="s">
        <v>122</v>
      </c>
      <c r="C6" s="31" t="s">
        <v>365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366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219</v>
      </c>
      <c r="B8" s="27" t="s">
        <v>260</v>
      </c>
      <c r="C8" s="31" t="s">
        <v>365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244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362</v>
      </c>
      <c r="D11" s="121"/>
      <c r="E11" s="121"/>
      <c r="F11" s="121"/>
      <c r="G11" s="121"/>
    </row>
    <row r="12" spans="1:8" ht="13" x14ac:dyDescent="0.3">
      <c r="A12" s="41" t="s">
        <v>189</v>
      </c>
      <c r="B12" s="41" t="s">
        <v>364</v>
      </c>
      <c r="C12" s="4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1" t="s">
        <v>198</v>
      </c>
      <c r="B13" s="27" t="s">
        <v>122</v>
      </c>
      <c r="C13" s="31" t="s">
        <v>365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366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217</v>
      </c>
      <c r="B15" s="27" t="s">
        <v>122</v>
      </c>
      <c r="C15" s="31" t="s">
        <v>365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366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216</v>
      </c>
      <c r="B17" s="27" t="s">
        <v>122</v>
      </c>
      <c r="C17" s="31" t="s">
        <v>365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366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219</v>
      </c>
      <c r="B19" s="27" t="s">
        <v>260</v>
      </c>
      <c r="C19" s="31" t="s">
        <v>365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244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363</v>
      </c>
      <c r="D22" s="121"/>
      <c r="E22" s="121"/>
      <c r="F22" s="121"/>
      <c r="G22" s="121"/>
    </row>
    <row r="23" spans="1:7" ht="13" x14ac:dyDescent="0.3">
      <c r="A23" s="41" t="s">
        <v>189</v>
      </c>
      <c r="B23" s="41" t="s">
        <v>364</v>
      </c>
      <c r="C23" s="4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1" t="s">
        <v>198</v>
      </c>
      <c r="B24" s="27" t="s">
        <v>122</v>
      </c>
      <c r="C24" s="31" t="s">
        <v>365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366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217</v>
      </c>
      <c r="B26" s="27" t="s">
        <v>122</v>
      </c>
      <c r="C26" s="31" t="s">
        <v>365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366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216</v>
      </c>
      <c r="B28" s="27" t="s">
        <v>122</v>
      </c>
      <c r="C28" s="31" t="s">
        <v>365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366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219</v>
      </c>
      <c r="B30" s="27" t="s">
        <v>260</v>
      </c>
      <c r="C30" s="31" t="s">
        <v>365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244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pKkYeBOWcwRftF7kNJNvHBWAsxEyOe1vsMQN6SbtOjeApKAN8z2e7+lqcn3iLZM3k/HK9uDikO+iVeUGHtVm8Q==" saltValue="zIQo6VwZBujt99ZGJRGdb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2025-07-04T03:03:13Z</dcterms:modified>
</cp:coreProperties>
</file>