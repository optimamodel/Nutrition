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"/>
    </mc:Choice>
  </mc:AlternateContent>
  <xr:revisionPtr revIDLastSave="0" documentId="8_{9E0D0289-6683-49AC-975F-40F6C6C9AF48}" xr6:coauthVersionLast="47" xr6:coauthVersionMax="47" xr10:uidLastSave="{00000000-0000-0000-0000-000000000000}"/>
  <bookViews>
    <workbookView xWindow="-110" yWindow="-110" windowWidth="19420" windowHeight="1042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B6371D6E-7D64-4A19-A4DA-D81C3077BCE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<sst xmlns="http://schemas.openxmlformats.org/spreadsheetml/2006/main" count="2167" uniqueCount="369">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</sst>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H19323VJpR294Mf9pMShcYSVsHwpnyvnvun6RxZfEK9wQeaLVi9xhD9iTqCBZI+H1bOSpz5HbfpXH3e1KzdtSQ==" saltValue="1E9+R9pU6MxzQaphuRbTX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OKVCOjRTv4EoPhWdRCz15GEaZ+7PWWwSh24ZO+sF7bIodzfzGu8P+PQdZN7kKX6To+JEWA/zuNkoEu9YqfuvnQ==" saltValue="yK9AgF+yZnG+1v7kENy/f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11"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CTjgU9tBGPnoUG0vyEvqAecwFw8Tm+MH02x1Zj0Qb/kfC2m/FW0ZJRWGa1HIXxv/Wh90C0o4Vp1nH2H5WQD13g==" saltValue="DSokCl97bjZx4drO9L+aE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132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137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BjUsVJ+EOC+9NYw54f+/6BZnA4Mv9THgyeFBQy2aSM1BZaN3gfuB+aXeeVULlGrPvIVatciCwrW4uIjvQknyQ==" saltValue="cG7TienrZyQ4khB0vd/th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fE6jsW/grMGNWUN8xgIEeDSXCctvcachJlxjKQIYPuo4ml3moQtDuH1UmaXYoieuMTure7yeH4JOYHOhXMBmhw==" saltValue="dgtyLaHujITIhkQyQKbfX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p0+nGqI9vXUTL0+JDiAVSRp6g3UH0Uk/A2V2ukC7UsISNJLKH+4eSk4AFajXmWid1uOuaSQSwwITwzUHpo5csg==" saltValue="WaNhhhuTmpWbLLwe0pzm/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5z+8hbNB2Kl3+9TAWeUBp90YnIJKZnckbOld2JYTzeZDl/W0FdInGdElHIp9s5zuyDCASC5F+0Vczu6e3LFL3g==" saltValue="uhoKwFSm2YHDkkUxeWX1lQ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Q6ST3K6mUnthLZuGRBKBrsMwKjChLeChU14XV6ZzW6k0n/EIOKvXjbRPU6w9Ky0chOT1NBGBiLZrb1LJOYgcMw==" saltValue="kGRdoOJLYvH5IODh94/R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ABW6KZsbrQkxT0NLTPw4s0yaCT5Dlbj4V0+473eBvJ2GquHGsodZj2syA+YQajq0VwzbxY8EwUIpT3pn5Nw+BQ==" saltValue="CbeEaBTbOQn3B/WZMl5m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PfXjQFAwT2j68inwY5COxXGUFlvIkt0RrvFZf9sm8AighH9GZYWLonv+T1LjJHEecMtPwDxNdZXaJZlM5Y1DRw==" saltValue="DA71IZEun9mQsGS6MLEPQ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A2" sqref="A2:B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221</v>
      </c>
      <c r="B5" s="62" t="s">
        <v>234</v>
      </c>
      <c r="C5" s="62"/>
    </row>
    <row r="6" spans="1:3" x14ac:dyDescent="0.25">
      <c r="A6" s="66" t="s">
        <v>218</v>
      </c>
      <c r="B6" s="67" t="s">
        <v>234</v>
      </c>
      <c r="C6" s="67"/>
    </row>
    <row r="7" spans="1:3" x14ac:dyDescent="0.25">
      <c r="A7" s="66" t="s">
        <v>229</v>
      </c>
      <c r="B7" s="67" t="s">
        <v>234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PpItXjYvmBe/1PtWnJy2M6fV/UDqVRTrFMe8+a6tC64ax0ZTi979nJNH5Pw+Ak+BhMTf0qsMYcpXDYDXn4LBQg==" saltValue="XsiqtAzrMynWlG65cV+u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OGd94b5K6KrTAlGU8MS6wX1ldqtO6bX/OZ5BHmX1cQWlF3Gu/dcvhO2JpNJNLBGaL4jiWChRUkXcYl/jfZYZkA==" saltValue="LLvmDdC6b5lMTON7595T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VRExqdJk2V5qbxeGvi2J/U8HK4aAndcadBnLjGxwhgZzOSoTkoBkoXjGYyZh997cz13ekjvxWIzFwT5VHFyztQ==" saltValue="Eb870y4DVmSTdahpo0cE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F9" sqref="F9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TsYBt5grrE/Z53+XJPwrrLh9RObNGnYXE2wcnbI1WNduBHGN+oLeBuf4lVYY+6vncduHEU5/VKK9IE3iclw4pA==" saltValue="oVVrfHUHfz6pdGoCg2+t1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UTdbzI3pfnE5VIeYrRiEcr/wqy82wibF2mH2qyqp4uqH3jjVxgoAHn/dRo6qwN+D1UEtO8Q4tH0nUJbdPwDZA==" saltValue="x3UFXHjhlQjgLgzFmtD7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ZYXuBo64Eb9twulANpaOUlcZ9691EaL2RzN7taC0Oa0SJSP99gVzPHmN8AeF67yr6WpNpcsUyit7dyscrovKyQ==" saltValue="HBxTvrxRrZEqaVsmoMGaM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L13TRjgYMEE6dPIiKMY0sfIKsFWpCOQL3DKpwu9knkM9oO8mKNBVCHusvtlt6xYNuOVoKXUT8x+2CngPAbdQXw==" saltValue="hDRQUcr4bRS36GL0eFeF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D17" sqref="D1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 t="s">
        <v>7</v>
      </c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6OMJjrPsk7Ikl/gFZWFNJppmPQn4mFfWl30DLTU5n1VDK2Sb3lfZE5kX7LD0KWPA0TXWu4CTcdC2NZU1uuIYew==" saltValue="9XrEtUmknDHp+R9G7aJ8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LwrIVExY5MXkYvixLjcDPw+CN6jcti71CfqgoAZVBh20invSCjiWec7B5dFgd5dan721hcQPiDsoKlwCvykJWg==" saltValue="1daP56fs+4x7NW4nvb1t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Wqujlo7njSYldG0Hr9eDtk+0FTgpgV2AsAsTMyaEJlBnADMvNZG1QFoaE1Srhm8q/v45eaXFof6xLgEwIxJWVQ==" saltValue="4tgu4jN6HjmJbKTrqExvEw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mJU+B7YAyorK6h79z6nG1VIDy+cMnlqfNnSpZzxhr+nTwr5Mq4oC1b8cMSoGQSE9VWup7v7P5wLBO0s658ATOQ==" saltValue="aZvO0LzL+h67WHCwNmmy4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iC6hZlgTO7qDeg+i2nPI52P3xOYDcHSGyLmu86heseLE+Q1WuwryH+T8XZfQPT1SExzreO/y7ABqNEKnlwSRYg==" saltValue="h8TahLiP4jfaK3bvymg6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FPOv2fA8BGunkz6CuhtJvCWmwu3VvX//eeXCDdMYhVDb7YiOlxEr8m5HMMjp/qC7RLiEuemTFYYGt8CTdkpk2g==" saltValue="ha1hytHWP2mGYg+oYIfi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9Fkq+LIzBPjH9YzdJQmq3FdlpxSPCovCJ9pKFArypE1O4KbZOPQnlVEX1yJsge4nteDyD2E1KrfOr/AvHdu5hQ==" saltValue="rkeNfy9Oa/li4tKQHdGg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BIuEQ8aWlCMeLAK8vmZBtwQ3bKri3xZdQFKIPdB7h0MwVs05LjHhubTQCtrE8zgWXaY4NS45XKaS+K4LzLI0Uw==" saltValue="fErcDirD/Dc99ut3lxvA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ynHJZiciF1URJ9OEcskFHaks7iFbKuQKAYb78z7ljsEwnkh5tPflLpbiIELV1Bb1ua3ZmxpasioneV/GdXL9YA==" saltValue="FRDtz2cPnD8voy5os2Hu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17" sqref="H17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368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366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199</v>
      </c>
      <c r="B19" s="39" t="s">
        <v>237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238</v>
      </c>
      <c r="C21" s="39" t="s">
        <v>365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367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204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202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203</v>
      </c>
      <c r="B27" s="39" t="s">
        <v>102</v>
      </c>
      <c r="C27" s="39" t="s">
        <v>365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366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226</v>
      </c>
      <c r="B29" s="39" t="s">
        <v>105</v>
      </c>
      <c r="C29" s="39" t="s">
        <v>365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366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367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227</v>
      </c>
      <c r="B32" s="39" t="s">
        <v>105</v>
      </c>
      <c r="C32" s="39" t="s">
        <v>365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366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367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225</v>
      </c>
      <c r="B35" s="39" t="s">
        <v>105</v>
      </c>
      <c r="C35" s="39" t="s">
        <v>365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366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367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224</v>
      </c>
      <c r="B38" s="39" t="s">
        <v>105</v>
      </c>
      <c r="C38" s="39" t="s">
        <v>365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366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367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223</v>
      </c>
      <c r="B41" s="39" t="s">
        <v>105</v>
      </c>
      <c r="C41" s="39" t="s">
        <v>365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366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367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229</v>
      </c>
      <c r="B44" s="39" t="s">
        <v>105</v>
      </c>
      <c r="C44" s="39" t="s">
        <v>365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366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367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106</v>
      </c>
      <c r="C47" s="39" t="s">
        <v>365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366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367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220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228</v>
      </c>
      <c r="B52" s="39" t="s">
        <v>105</v>
      </c>
      <c r="C52" s="39" t="s">
        <v>365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366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213</v>
      </c>
      <c r="B54" s="39" t="s">
        <v>100</v>
      </c>
      <c r="C54" s="39" t="s">
        <v>365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366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362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189</v>
      </c>
      <c r="B58" s="29" t="s">
        <v>364</v>
      </c>
      <c r="C58" s="96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39" t="s">
        <v>222</v>
      </c>
      <c r="B59" s="39" t="s">
        <v>105</v>
      </c>
      <c r="C59" s="39" t="s">
        <v>365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366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367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221</v>
      </c>
      <c r="B62" s="39" t="s">
        <v>237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238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214</v>
      </c>
      <c r="B66" s="39" t="s">
        <v>237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238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234</v>
      </c>
      <c r="B70" s="39" t="s">
        <v>237</v>
      </c>
      <c r="C70" s="39" t="s">
        <v>365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367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238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368</v>
      </c>
      <c r="C74" s="39" t="s">
        <v>365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366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199</v>
      </c>
      <c r="B76" s="39" t="s">
        <v>237</v>
      </c>
      <c r="C76" s="39" t="s">
        <v>365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367</v>
      </c>
      <c r="D77" s="120">
        <f t="shared" ref="D77:E80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238</v>
      </c>
      <c r="C78" s="39" t="s">
        <v>365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367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204</v>
      </c>
      <c r="B80" s="39" t="s">
        <v>102</v>
      </c>
      <c r="C80" s="39" t="s">
        <v>365</v>
      </c>
      <c r="D80" s="120">
        <f t="shared" si="1"/>
        <v>1</v>
      </c>
      <c r="E80" s="120">
        <f t="shared" si="1"/>
        <v>0</v>
      </c>
      <c r="F80" s="120">
        <f t="shared" ref="F80:H85" si="2">IF($C23="Affected fraction",F23,IF(F23=1,1,F23*0.9))</f>
        <v>0</v>
      </c>
      <c r="G80" s="120">
        <f t="shared" si="2"/>
        <v>0</v>
      </c>
      <c r="H80" s="120">
        <f t="shared" si="2"/>
        <v>0</v>
      </c>
    </row>
    <row r="81" spans="1:8" x14ac:dyDescent="0.25">
      <c r="C81" s="39" t="s">
        <v>366</v>
      </c>
      <c r="D81" s="120">
        <v>0.11</v>
      </c>
      <c r="E81" s="120">
        <f>IF($C24="Affected fraction",E24,IF(E24=1,1,E24*0.9))</f>
        <v>0</v>
      </c>
      <c r="F81" s="120">
        <f t="shared" si="2"/>
        <v>0</v>
      </c>
      <c r="G81" s="120">
        <f t="shared" si="2"/>
        <v>0</v>
      </c>
      <c r="H81" s="120">
        <f t="shared" si="2"/>
        <v>0</v>
      </c>
    </row>
    <row r="82" spans="1:8" x14ac:dyDescent="0.25">
      <c r="A82" s="39" t="s">
        <v>202</v>
      </c>
      <c r="B82" s="39" t="s">
        <v>102</v>
      </c>
      <c r="C82" s="39" t="s">
        <v>365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2"/>
        <v>0</v>
      </c>
      <c r="G82" s="120">
        <f t="shared" si="2"/>
        <v>0</v>
      </c>
      <c r="H82" s="120">
        <f t="shared" si="2"/>
        <v>0</v>
      </c>
    </row>
    <row r="83" spans="1:8" x14ac:dyDescent="0.25">
      <c r="C83" s="39" t="s">
        <v>366</v>
      </c>
      <c r="D83" s="120">
        <v>0.11</v>
      </c>
      <c r="E83" s="120">
        <f>IF($C26="Affected fraction",E26,IF(E26=1,1,E26*0.9))</f>
        <v>0</v>
      </c>
      <c r="F83" s="120">
        <f t="shared" si="2"/>
        <v>0</v>
      </c>
      <c r="G83" s="120">
        <f t="shared" si="2"/>
        <v>0</v>
      </c>
      <c r="H83" s="120">
        <f t="shared" si="2"/>
        <v>0</v>
      </c>
    </row>
    <row r="84" spans="1:8" x14ac:dyDescent="0.25">
      <c r="A84" s="39" t="s">
        <v>203</v>
      </c>
      <c r="B84" s="39" t="s">
        <v>102</v>
      </c>
      <c r="C84" s="39" t="s">
        <v>365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2"/>
        <v>0</v>
      </c>
      <c r="G84" s="120">
        <f t="shared" si="2"/>
        <v>0</v>
      </c>
      <c r="H84" s="120">
        <f t="shared" si="2"/>
        <v>0</v>
      </c>
    </row>
    <row r="85" spans="1:8" x14ac:dyDescent="0.25">
      <c r="C85" s="39" t="s">
        <v>366</v>
      </c>
      <c r="D85" s="120">
        <v>0.11</v>
      </c>
      <c r="E85" s="120">
        <f>IF($C28="Affected fraction",E28,IF(E28=1,1,E28*0.9))</f>
        <v>0</v>
      </c>
      <c r="F85" s="120">
        <f t="shared" si="2"/>
        <v>0</v>
      </c>
      <c r="G85" s="120">
        <f t="shared" si="2"/>
        <v>0</v>
      </c>
      <c r="H85" s="120">
        <f t="shared" si="2"/>
        <v>0</v>
      </c>
    </row>
    <row r="86" spans="1:8" x14ac:dyDescent="0.25">
      <c r="A86" s="39" t="s">
        <v>226</v>
      </c>
      <c r="B86" s="39" t="s">
        <v>105</v>
      </c>
      <c r="C86" s="39" t="s">
        <v>365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366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367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227</v>
      </c>
      <c r="B89" s="39" t="s">
        <v>105</v>
      </c>
      <c r="C89" s="39" t="s">
        <v>365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366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367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225</v>
      </c>
      <c r="B92" s="39" t="s">
        <v>105</v>
      </c>
      <c r="C92" s="39" t="s">
        <v>365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366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367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224</v>
      </c>
      <c r="B95" s="39" t="s">
        <v>105</v>
      </c>
      <c r="C95" s="39" t="s">
        <v>365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366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367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223</v>
      </c>
      <c r="B98" s="39" t="s">
        <v>105</v>
      </c>
      <c r="C98" s="39" t="s">
        <v>365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366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367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229</v>
      </c>
      <c r="B101" s="39" t="s">
        <v>105</v>
      </c>
      <c r="C101" s="39" t="s">
        <v>365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366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367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106</v>
      </c>
      <c r="C104" s="39" t="s">
        <v>365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366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367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220</v>
      </c>
      <c r="B107" s="39" t="s">
        <v>105</v>
      </c>
      <c r="C107" s="39" t="s">
        <v>365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366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228</v>
      </c>
      <c r="B109" s="39" t="s">
        <v>105</v>
      </c>
      <c r="C109" s="39" t="s">
        <v>365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366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213</v>
      </c>
      <c r="B111" s="39" t="s">
        <v>100</v>
      </c>
      <c r="C111" s="39" t="s">
        <v>365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366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363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189</v>
      </c>
      <c r="B115" s="29" t="s">
        <v>364</v>
      </c>
      <c r="C115" s="96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39" t="s">
        <v>222</v>
      </c>
      <c r="B116" s="39" t="s">
        <v>105</v>
      </c>
      <c r="C116" s="39" t="s">
        <v>365</v>
      </c>
      <c r="D116" s="120">
        <f t="shared" ref="D116:E118" si="3">IF($C2="Affected fraction",D2,IF(D2=1,1,D2*1.05))</f>
        <v>0</v>
      </c>
      <c r="E116" s="120">
        <f t="shared" si="3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366</v>
      </c>
      <c r="D117" s="120">
        <f t="shared" si="3"/>
        <v>0</v>
      </c>
      <c r="E117" s="120">
        <f t="shared" si="3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367</v>
      </c>
      <c r="D118" s="120">
        <f t="shared" si="3"/>
        <v>0</v>
      </c>
      <c r="E118" s="120">
        <f t="shared" si="3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221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238</v>
      </c>
      <c r="C125" s="39" t="s">
        <v>365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367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234</v>
      </c>
      <c r="B127" s="39" t="s">
        <v>237</v>
      </c>
      <c r="C127" s="39" t="s">
        <v>365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367</v>
      </c>
      <c r="D128" s="120">
        <f t="shared" ref="D128:E130" si="4">IF($C14="Affected fraction",D14,IF(D14=1,1,D14*1.05))</f>
        <v>0</v>
      </c>
      <c r="E128" s="120">
        <f t="shared" si="4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238</v>
      </c>
      <c r="C129" s="39" t="s">
        <v>365</v>
      </c>
      <c r="D129" s="120">
        <f t="shared" si="4"/>
        <v>0</v>
      </c>
      <c r="E129" s="120">
        <f t="shared" si="4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367</v>
      </c>
      <c r="D130" s="120">
        <f t="shared" si="4"/>
        <v>0</v>
      </c>
      <c r="E130" s="120">
        <f t="shared" si="4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368</v>
      </c>
      <c r="C131" s="39" t="s">
        <v>365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366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199</v>
      </c>
      <c r="B133" s="39" t="s">
        <v>237</v>
      </c>
      <c r="C133" s="39" t="s">
        <v>365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367</v>
      </c>
      <c r="D134" s="120">
        <f t="shared" ref="D134:E136" si="5">IF($C20="Affected fraction",D20,IF(D20=1,1,D20*1.05))</f>
        <v>0</v>
      </c>
      <c r="E134" s="120">
        <f t="shared" si="5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238</v>
      </c>
      <c r="C135" s="39" t="s">
        <v>365</v>
      </c>
      <c r="D135" s="120">
        <f t="shared" si="5"/>
        <v>0</v>
      </c>
      <c r="E135" s="120">
        <f t="shared" si="5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367</v>
      </c>
      <c r="D136" s="120">
        <f t="shared" si="5"/>
        <v>0</v>
      </c>
      <c r="E136" s="120">
        <f t="shared" si="5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204</v>
      </c>
      <c r="B137" s="39" t="s">
        <v>102</v>
      </c>
      <c r="C137" s="39" t="s">
        <v>365</v>
      </c>
      <c r="D137" s="120">
        <f>IF($C80="Affected fraction",D80,IF(D80=1,1,D80*0.9))</f>
        <v>1</v>
      </c>
      <c r="E137" s="120">
        <f t="shared" ref="E137:H142" si="6">IF($C23="Affected fraction",E23,IF(E23=1,1,E23*1.05))</f>
        <v>0</v>
      </c>
      <c r="F137" s="120">
        <f t="shared" si="6"/>
        <v>0</v>
      </c>
      <c r="G137" s="120">
        <f t="shared" si="6"/>
        <v>0</v>
      </c>
      <c r="H137" s="120">
        <f t="shared" si="6"/>
        <v>0</v>
      </c>
    </row>
    <row r="138" spans="1:8" x14ac:dyDescent="0.25">
      <c r="C138" s="39" t="s">
        <v>366</v>
      </c>
      <c r="D138" s="120">
        <v>0.16</v>
      </c>
      <c r="E138" s="120">
        <f t="shared" si="6"/>
        <v>0</v>
      </c>
      <c r="F138" s="120">
        <f t="shared" si="6"/>
        <v>0</v>
      </c>
      <c r="G138" s="120">
        <f t="shared" si="6"/>
        <v>0</v>
      </c>
      <c r="H138" s="120">
        <f t="shared" si="6"/>
        <v>0</v>
      </c>
    </row>
    <row r="139" spans="1:8" x14ac:dyDescent="0.25">
      <c r="A139" s="39" t="s">
        <v>202</v>
      </c>
      <c r="B139" s="39" t="s">
        <v>102</v>
      </c>
      <c r="C139" s="39" t="s">
        <v>365</v>
      </c>
      <c r="D139" s="120">
        <f>IF($C82="Affected fraction",D82,IF(D82=1,1,D82*0.9))</f>
        <v>1</v>
      </c>
      <c r="E139" s="120">
        <f t="shared" si="6"/>
        <v>0</v>
      </c>
      <c r="F139" s="120">
        <f t="shared" si="6"/>
        <v>0</v>
      </c>
      <c r="G139" s="120">
        <f t="shared" si="6"/>
        <v>0</v>
      </c>
      <c r="H139" s="120">
        <f t="shared" si="6"/>
        <v>0</v>
      </c>
    </row>
    <row r="140" spans="1:8" x14ac:dyDescent="0.25">
      <c r="C140" s="39" t="s">
        <v>366</v>
      </c>
      <c r="D140" s="120">
        <v>0.16</v>
      </c>
      <c r="E140" s="120">
        <f t="shared" si="6"/>
        <v>0</v>
      </c>
      <c r="F140" s="120">
        <f t="shared" si="6"/>
        <v>0</v>
      </c>
      <c r="G140" s="120">
        <f t="shared" si="6"/>
        <v>0</v>
      </c>
      <c r="H140" s="120">
        <f t="shared" si="6"/>
        <v>0</v>
      </c>
    </row>
    <row r="141" spans="1:8" x14ac:dyDescent="0.25">
      <c r="A141" s="39" t="s">
        <v>203</v>
      </c>
      <c r="B141" s="39" t="s">
        <v>102</v>
      </c>
      <c r="C141" s="39" t="s">
        <v>365</v>
      </c>
      <c r="D141" s="120">
        <f>IF($C84="Affected fraction",D84,IF(D84=1,1,D84*0.9))</f>
        <v>1</v>
      </c>
      <c r="E141" s="120">
        <f t="shared" si="6"/>
        <v>0</v>
      </c>
      <c r="F141" s="120">
        <f t="shared" si="6"/>
        <v>0</v>
      </c>
      <c r="G141" s="120">
        <f t="shared" si="6"/>
        <v>0</v>
      </c>
      <c r="H141" s="120">
        <f t="shared" si="6"/>
        <v>0</v>
      </c>
    </row>
    <row r="142" spans="1:8" x14ac:dyDescent="0.25">
      <c r="C142" s="39" t="s">
        <v>366</v>
      </c>
      <c r="D142" s="120">
        <v>0.16</v>
      </c>
      <c r="E142" s="120">
        <f t="shared" si="6"/>
        <v>0</v>
      </c>
      <c r="F142" s="120">
        <f t="shared" si="6"/>
        <v>0</v>
      </c>
      <c r="G142" s="120">
        <f t="shared" si="6"/>
        <v>0</v>
      </c>
      <c r="H142" s="120">
        <f t="shared" si="6"/>
        <v>0</v>
      </c>
    </row>
    <row r="143" spans="1:8" x14ac:dyDescent="0.25">
      <c r="A143" s="39" t="s">
        <v>226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225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224</v>
      </c>
      <c r="B152" s="39" t="s">
        <v>105</v>
      </c>
      <c r="C152" s="39" t="s">
        <v>365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366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367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223</v>
      </c>
      <c r="B155" s="39" t="s">
        <v>105</v>
      </c>
      <c r="C155" s="39" t="s">
        <v>365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229</v>
      </c>
      <c r="B158" s="39" t="s">
        <v>105</v>
      </c>
      <c r="C158" s="39" t="s">
        <v>365</v>
      </c>
      <c r="D158" s="120">
        <f t="shared" ref="D158:H159" si="7">IF($C101="Affected fraction",D101,IF(D101=1,1,D101*0.9))</f>
        <v>0</v>
      </c>
      <c r="E158" s="120">
        <f t="shared" si="7"/>
        <v>1</v>
      </c>
      <c r="F158" s="120">
        <f t="shared" si="7"/>
        <v>1</v>
      </c>
      <c r="G158" s="120">
        <f t="shared" si="7"/>
        <v>1</v>
      </c>
      <c r="H158" s="120">
        <f t="shared" si="7"/>
        <v>1</v>
      </c>
    </row>
    <row r="159" spans="1:8" x14ac:dyDescent="0.25">
      <c r="C159" s="39" t="s">
        <v>366</v>
      </c>
      <c r="D159" s="120">
        <f t="shared" si="7"/>
        <v>0</v>
      </c>
      <c r="E159" s="120">
        <f t="shared" si="7"/>
        <v>0</v>
      </c>
      <c r="F159" s="120">
        <f t="shared" si="7"/>
        <v>0</v>
      </c>
      <c r="G159" s="120">
        <f t="shared" si="7"/>
        <v>0</v>
      </c>
      <c r="H159" s="120">
        <f t="shared" si="7"/>
        <v>0</v>
      </c>
    </row>
    <row r="160" spans="1:8" x14ac:dyDescent="0.25">
      <c r="C160" s="39" t="s">
        <v>367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106</v>
      </c>
      <c r="C161" s="39" t="s">
        <v>365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366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367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220</v>
      </c>
      <c r="B164" s="39" t="s">
        <v>105</v>
      </c>
      <c r="C164" s="39" t="s">
        <v>365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366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228</v>
      </c>
      <c r="B166" s="39" t="s">
        <v>105</v>
      </c>
      <c r="C166" s="39" t="s">
        <v>365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366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213</v>
      </c>
      <c r="B168" s="39" t="s">
        <v>100</v>
      </c>
      <c r="C168" s="39" t="s">
        <v>365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366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zOkiB1OmAzQuXPtpkcOA7TwcqhDwW9DcMY0wUhOePk1WKjnCO7cT7nbYbNt2eKvusaANDpux9PC+HpGEJfEg8g==" saltValue="nDEDdTkkF3/19yeQzMQ9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xYo42p3sTptkGB65EsRaZaHhsqzRq0obOurTg1ZjNDmo6EhU3k+HhegO0FDuK9FkDrZ9bmdI3F0VQTYUEDAzjw==" saltValue="bHB82szahGSRo42fd1Jv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2025-07-30T01:34:47Z</dcterms:modified>
</cp:coreProperties>
</file>