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E243309B-4E6A-4A9B-A5B3-D41FD901C9C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state="hidden" r:id="rId6"/>
    <sheet name="Perte économique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 localSheetId="6">'[1]Baseline year population inputs'!$C$41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7">'Données pop de l''année de ref'!$C$39</definedName>
    <definedName name="stillbirth" localSheetId="6">'[1]Baseline year population inputs'!$C$42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<sst xmlns="http://schemas.openxmlformats.org/spreadsheetml/2006/main" count="2093" uniqueCount="337">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</sst>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13</v>
      </c>
      <c r="B1" s="30" t="s">
        <v>5</v>
      </c>
      <c r="C1" s="30" t="s">
        <v>66</v>
      </c>
    </row>
    <row r="2" spans="1:3" ht="16" customHeight="1" x14ac:dyDescent="0.3">
      <c r="A2" s="8" t="s">
        <v>14</v>
      </c>
      <c r="B2" s="30"/>
      <c r="C2" s="30"/>
    </row>
    <row r="3" spans="1:3" ht="16" customHeight="1" x14ac:dyDescent="0.3">
      <c r="A3" s="1"/>
      <c r="B3" s="5" t="s">
        <v>15</v>
      </c>
      <c r="C3" s="48">
        <v>2017</v>
      </c>
    </row>
    <row r="4" spans="1:3" ht="16" customHeight="1" x14ac:dyDescent="0.3">
      <c r="A4" s="1"/>
      <c r="B4" s="5" t="s">
        <v>16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0">
        <v>9862402</v>
      </c>
    </row>
    <row r="8" spans="1:3" ht="15" customHeight="1" x14ac:dyDescent="0.25">
      <c r="B8" s="5" t="s">
        <v>19</v>
      </c>
      <c r="C8" s="51">
        <v>0.28199999999999997</v>
      </c>
    </row>
    <row r="9" spans="1:3" ht="15" customHeight="1" x14ac:dyDescent="0.25">
      <c r="B9" s="5" t="s">
        <v>20</v>
      </c>
      <c r="C9" s="52">
        <v>1</v>
      </c>
    </row>
    <row r="10" spans="1:3" ht="15" customHeight="1" x14ac:dyDescent="0.25">
      <c r="B10" s="5" t="s">
        <v>21</v>
      </c>
      <c r="C10" s="52">
        <v>0.23</v>
      </c>
    </row>
    <row r="11" spans="1:3" ht="15" customHeight="1" x14ac:dyDescent="0.25">
      <c r="B11" s="5" t="s">
        <v>22</v>
      </c>
      <c r="C11" s="51">
        <v>0.51</v>
      </c>
    </row>
    <row r="12" spans="1:3" ht="15" customHeight="1" x14ac:dyDescent="0.25">
      <c r="B12" s="5" t="s">
        <v>23</v>
      </c>
      <c r="C12" s="51">
        <v>0.37</v>
      </c>
    </row>
    <row r="13" spans="1:3" ht="15" customHeight="1" x14ac:dyDescent="0.25">
      <c r="B13" s="5" t="s">
        <v>24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2">
        <v>0.3</v>
      </c>
    </row>
    <row r="17" spans="1:3" ht="15" customHeight="1" x14ac:dyDescent="0.25">
      <c r="B17" s="5" t="s">
        <v>27</v>
      </c>
      <c r="C17" s="52">
        <v>0.1</v>
      </c>
    </row>
    <row r="18" spans="1:3" ht="15" customHeight="1" x14ac:dyDescent="0.25">
      <c r="B18" s="5" t="s">
        <v>28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30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2">
        <v>0.127</v>
      </c>
    </row>
    <row r="24" spans="1:3" ht="15" customHeight="1" x14ac:dyDescent="0.25">
      <c r="B24" s="15" t="s">
        <v>33</v>
      </c>
      <c r="C24" s="52">
        <v>0.45200000000000001</v>
      </c>
    </row>
    <row r="25" spans="1:3" ht="15" customHeight="1" x14ac:dyDescent="0.25">
      <c r="B25" s="15" t="s">
        <v>34</v>
      </c>
      <c r="C25" s="52">
        <v>0.33400000000000002</v>
      </c>
    </row>
    <row r="26" spans="1:3" ht="15" customHeight="1" x14ac:dyDescent="0.25">
      <c r="B26" s="15" t="s">
        <v>35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4" t="s">
        <v>37</v>
      </c>
      <c r="C29" s="53">
        <v>0.20799999999999999</v>
      </c>
    </row>
    <row r="30" spans="1:3" ht="14.25" customHeight="1" x14ac:dyDescent="0.25">
      <c r="B30" s="24" t="s">
        <v>38</v>
      </c>
      <c r="C30" s="53">
        <v>0.63700000000000001</v>
      </c>
    </row>
    <row r="31" spans="1:3" ht="14.25" customHeight="1" x14ac:dyDescent="0.25">
      <c r="B31" s="24" t="s">
        <v>39</v>
      </c>
      <c r="C31" s="53">
        <v>0.11899999999999999</v>
      </c>
    </row>
    <row r="32" spans="1:3" ht="14.25" customHeight="1" x14ac:dyDescent="0.25">
      <c r="B32" s="24" t="s">
        <v>40</v>
      </c>
      <c r="C32" s="53">
        <v>3.5999999999999997E-2</v>
      </c>
    </row>
    <row r="33" spans="1:5" ht="13" x14ac:dyDescent="0.25">
      <c r="B33" s="26" t="s">
        <v>41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4">
        <v>25</v>
      </c>
    </row>
    <row r="38" spans="1:5" ht="15" customHeight="1" x14ac:dyDescent="0.25">
      <c r="B38" s="11" t="s">
        <v>45</v>
      </c>
      <c r="C38" s="54">
        <v>43</v>
      </c>
      <c r="D38" s="12"/>
      <c r="E38" s="13"/>
    </row>
    <row r="39" spans="1:5" ht="15" customHeight="1" x14ac:dyDescent="0.25">
      <c r="B39" s="11" t="s">
        <v>46</v>
      </c>
      <c r="C39" s="54">
        <v>67</v>
      </c>
      <c r="D39" s="12"/>
      <c r="E39" s="12"/>
    </row>
    <row r="40" spans="1:5" ht="15" customHeight="1" x14ac:dyDescent="0.25">
      <c r="B40" s="11" t="s">
        <v>47</v>
      </c>
      <c r="C40" s="54">
        <v>4.01</v>
      </c>
    </row>
    <row r="41" spans="1:5" ht="15" customHeight="1" x14ac:dyDescent="0.25">
      <c r="B41" s="11" t="s">
        <v>48</v>
      </c>
      <c r="C41" s="52">
        <v>0.13</v>
      </c>
    </row>
    <row r="42" spans="1:5" ht="15" customHeight="1" x14ac:dyDescent="0.25">
      <c r="B42" s="11" t="s">
        <v>49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2">
        <v>3.1E-2</v>
      </c>
      <c r="D45" s="12"/>
    </row>
    <row r="46" spans="1:5" ht="15.75" customHeight="1" x14ac:dyDescent="0.25">
      <c r="B46" s="11" t="s">
        <v>52</v>
      </c>
      <c r="C46" s="52">
        <v>0.109</v>
      </c>
      <c r="D46" s="12"/>
    </row>
    <row r="47" spans="1:5" ht="15.75" customHeight="1" x14ac:dyDescent="0.25">
      <c r="B47" s="11" t="s">
        <v>53</v>
      </c>
      <c r="C47" s="52">
        <v>0.36499999999999999</v>
      </c>
      <c r="D47" s="12"/>
      <c r="E47" s="13"/>
    </row>
    <row r="48" spans="1:5" ht="15" customHeight="1" x14ac:dyDescent="0.25">
      <c r="B48" s="11" t="s">
        <v>54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55">
        <v>1.66</v>
      </c>
      <c r="D51" s="12"/>
    </row>
    <row r="52" spans="1:4" ht="15" customHeight="1" x14ac:dyDescent="0.25">
      <c r="B52" s="11" t="s">
        <v>57</v>
      </c>
      <c r="C52" s="55">
        <v>1.66</v>
      </c>
    </row>
    <row r="53" spans="1:4" ht="15.75" customHeight="1" x14ac:dyDescent="0.25">
      <c r="B53" s="11" t="s">
        <v>58</v>
      </c>
      <c r="C53" s="55">
        <v>5.64</v>
      </c>
    </row>
    <row r="54" spans="1:4" ht="15.75" customHeight="1" x14ac:dyDescent="0.25">
      <c r="B54" s="11" t="s">
        <v>59</v>
      </c>
      <c r="C54" s="55">
        <v>5.43</v>
      </c>
    </row>
    <row r="55" spans="1:4" ht="15.75" customHeight="1" x14ac:dyDescent="0.25">
      <c r="B55" s="11" t="s">
        <v>60</v>
      </c>
      <c r="C55" s="55">
        <v>1.91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1">
        <v>0.2</v>
      </c>
    </row>
    <row r="59" spans="1:4" ht="15.75" customHeight="1" x14ac:dyDescent="0.25">
      <c r="B59" s="11" t="s">
        <v>63</v>
      </c>
      <c r="C59" s="51">
        <v>0.42</v>
      </c>
    </row>
    <row r="60" spans="1:4" ht="15.75" customHeight="1" x14ac:dyDescent="0.25">
      <c r="B60" s="11" t="s">
        <v>64</v>
      </c>
      <c r="C60" s="51">
        <v>4.5999999999999999E-2</v>
      </c>
    </row>
    <row r="61" spans="1:4" ht="15.75" customHeight="1" x14ac:dyDescent="0.25">
      <c r="B61" s="11" t="s">
        <v>65</v>
      </c>
      <c r="C61" s="51">
        <v>1.4E-2</v>
      </c>
    </row>
    <row r="62" spans="1:4" ht="15.75" customHeight="1" x14ac:dyDescent="0.25">
      <c r="B62" s="11" t="s">
        <v>67</v>
      </c>
      <c r="C62" s="51">
        <v>0.02</v>
      </c>
    </row>
    <row r="63" spans="1:4" ht="15.75" customHeight="1" x14ac:dyDescent="0.3">
      <c r="A63" s="4"/>
    </row>
  </sheetData>
  <sheetProtection algorithmName="SHA-512" hashValue="1ssUKEHHlhM640dXHxuSKtD7+stqNsBczvINE3Jp7/HTdd1ttIHGmEQ56BRJSH1MLdgACDcMWdOzz9sCM6TX7Q==" saltValue="bXkeR0b5BlLoGd4x57sr2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8mc0Xmr0DI7q/2MLnWA9crEnlD34FVmWCjdGM99uYz0CNnyRqbX1biCjFKFyUkuSU0z1+sg5gVmGq9p1UwBVhw==" saltValue="WLluSsn+eln6XhHVJ3+/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77</v>
      </c>
      <c r="B2" s="30" t="s">
        <v>8</v>
      </c>
      <c r="C2" s="30" t="s">
        <v>109</v>
      </c>
      <c r="D2" s="30"/>
      <c r="E2" s="30"/>
      <c r="F2" s="30"/>
      <c r="G2" s="30"/>
    </row>
    <row r="3" spans="1:8" ht="15.75" customHeight="1" x14ac:dyDescent="0.25">
      <c r="B3" s="19" t="s">
        <v>78</v>
      </c>
      <c r="C3" s="58">
        <v>2.7000000000000001E-3</v>
      </c>
    </row>
    <row r="4" spans="1:8" ht="15.75" customHeight="1" x14ac:dyDescent="0.25">
      <c r="B4" s="19" t="s">
        <v>79</v>
      </c>
      <c r="C4" s="58">
        <v>0.1966</v>
      </c>
    </row>
    <row r="5" spans="1:8" ht="15.75" customHeight="1" x14ac:dyDescent="0.25">
      <c r="B5" s="19" t="s">
        <v>80</v>
      </c>
      <c r="C5" s="58">
        <v>6.2100000000000002E-2</v>
      </c>
    </row>
    <row r="6" spans="1:8" ht="15.75" customHeight="1" x14ac:dyDescent="0.25">
      <c r="B6" s="19" t="s">
        <v>81</v>
      </c>
      <c r="C6" s="58">
        <v>0.29289999999999999</v>
      </c>
    </row>
    <row r="7" spans="1:8" ht="15.75" customHeight="1" x14ac:dyDescent="0.25">
      <c r="B7" s="19" t="s">
        <v>82</v>
      </c>
      <c r="C7" s="58">
        <v>0.24709999999999999</v>
      </c>
    </row>
    <row r="8" spans="1:8" ht="15.75" customHeight="1" x14ac:dyDescent="0.25">
      <c r="B8" s="19" t="s">
        <v>83</v>
      </c>
      <c r="C8" s="58">
        <v>4.7999999999999996E-3</v>
      </c>
    </row>
    <row r="9" spans="1:8" ht="15.75" customHeight="1" x14ac:dyDescent="0.25">
      <c r="B9" s="19" t="s">
        <v>84</v>
      </c>
      <c r="C9" s="58">
        <v>0.13200000000000001</v>
      </c>
    </row>
    <row r="10" spans="1:8" ht="15.75" customHeight="1" x14ac:dyDescent="0.25">
      <c r="B10" s="19" t="s">
        <v>85</v>
      </c>
      <c r="C10" s="58">
        <v>6.1800000000000001E-2</v>
      </c>
    </row>
    <row r="11" spans="1:8" ht="15.75" customHeight="1" x14ac:dyDescent="0.25">
      <c r="B11" s="26" t="s">
        <v>41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0" t="s">
        <v>8</v>
      </c>
      <c r="C13" s="18" t="s">
        <v>96</v>
      </c>
      <c r="D13" s="18" t="s">
        <v>97</v>
      </c>
      <c r="E13" s="18" t="s">
        <v>98</v>
      </c>
      <c r="F13" s="18" t="s">
        <v>99</v>
      </c>
      <c r="G13" s="19"/>
    </row>
    <row r="14" spans="1:8" ht="15.75" customHeight="1" x14ac:dyDescent="0.25">
      <c r="B14" s="19" t="s">
        <v>87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88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89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91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92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93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94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95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41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0" t="s">
        <v>8</v>
      </c>
      <c r="C25" s="30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8">
        <v>0.10082724000000001</v>
      </c>
    </row>
    <row r="27" spans="1:8" ht="15.75" customHeight="1" x14ac:dyDescent="0.25">
      <c r="B27" s="19" t="s">
        <v>102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104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105</v>
      </c>
      <c r="C31" s="58">
        <v>3.9028409999999999E-2</v>
      </c>
    </row>
    <row r="32" spans="1:8" ht="15.75" customHeight="1" x14ac:dyDescent="0.25">
      <c r="B32" s="19" t="s">
        <v>106</v>
      </c>
      <c r="C32" s="58">
        <v>8.5254999999999999E-4</v>
      </c>
    </row>
    <row r="33" spans="2:3" ht="15.75" customHeight="1" x14ac:dyDescent="0.25">
      <c r="B33" s="19" t="s">
        <v>107</v>
      </c>
      <c r="C33" s="58">
        <v>6.8467810000000004E-2</v>
      </c>
    </row>
    <row r="34" spans="2:3" ht="15.75" customHeight="1" x14ac:dyDescent="0.25">
      <c r="B34" s="19" t="s">
        <v>108</v>
      </c>
      <c r="C34" s="58">
        <v>0.38127283000000001</v>
      </c>
    </row>
    <row r="35" spans="2:3" ht="15.75" customHeight="1" x14ac:dyDescent="0.25">
      <c r="B35" s="26" t="s">
        <v>41</v>
      </c>
      <c r="C35" s="113">
        <f>SUM(C26:C34)</f>
        <v>1</v>
      </c>
    </row>
  </sheetData>
  <sheetProtection algorithmName="SHA-512" hashValue="3kZBfhog9wcAXcIaeX/auSosqLyScAU4bKiF3J1R2OhMCHsYtT7X3b4uETnrjv2tW7FyRahyyqaCBhHYkx8YvQ==" saltValue="ND8Dtmbf5kqOKPY1BXuNS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113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114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115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116</v>
      </c>
      <c r="B8" s="5" t="s">
        <v>117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118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119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120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127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KsCq8l+ngycmUtCW0kOPBMhz+5zZYW8VzWFLaT0Plh9/ZETCOc4E2bfeO2yedItxh+ZXBiMa+jJN4ub8J1ElQ==" saltValue="sA8l96n2oKG40QCEoP02L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1" t="s">
        <v>129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130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131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132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huD76IaftLdtdFenGVyOk0oCfteAe5EF8gX8BeL89dGc/x4B4fWe5kLI5KRKW4H0i0jSkOQGcA0IL+IyHXUIiw==" saltValue="w+7Siy/6HYD2oW7rRC7St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143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143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143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100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137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138</v>
      </c>
      <c r="B10" s="45" t="s">
        <v>139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140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43</v>
      </c>
      <c r="B13" s="45" t="s">
        <v>141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142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xxUl5dBwuSQ60kqAwWBosWHW6PqyK8TqioHM99jHjbfxefR00/kjw8t6QgSOhC9RVm0NE9EwjJv9c8piRLkNLA==" saltValue="Rl4Q0ib0y03xWRmVc8yDHg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12</v>
      </c>
      <c r="B1" s="29" t="s">
        <v>144</v>
      </c>
    </row>
    <row r="2" spans="1:2" x14ac:dyDescent="0.25">
      <c r="A2" s="27" t="s">
        <v>145</v>
      </c>
      <c r="B2" s="116">
        <v>10</v>
      </c>
    </row>
    <row r="3" spans="1:2" x14ac:dyDescent="0.25">
      <c r="A3" s="27" t="s">
        <v>150</v>
      </c>
      <c r="B3" s="116">
        <v>10</v>
      </c>
    </row>
    <row r="4" spans="1:2" x14ac:dyDescent="0.25">
      <c r="A4" s="27" t="s">
        <v>146</v>
      </c>
      <c r="B4" s="116">
        <v>50</v>
      </c>
    </row>
    <row r="5" spans="1:2" x14ac:dyDescent="0.25">
      <c r="A5" s="27" t="s">
        <v>147</v>
      </c>
      <c r="B5" s="116">
        <v>100</v>
      </c>
    </row>
    <row r="6" spans="1:2" x14ac:dyDescent="0.25">
      <c r="A6" s="27" t="s">
        <v>148</v>
      </c>
      <c r="B6" s="116">
        <v>5</v>
      </c>
    </row>
    <row r="7" spans="1:2" x14ac:dyDescent="0.25">
      <c r="A7" s="27" t="s">
        <v>149</v>
      </c>
      <c r="B7" s="116">
        <v>5</v>
      </c>
    </row>
  </sheetData>
  <sheetProtection algorithmName="SHA-512" hashValue="3p+OiXSjnkfSgldqT3PfMGP4434cHvoVq8bbWyPgwC/qkfWcCFi7wxisyYM1TGU9di70YH/V4HcJS83baZqh8A==" saltValue="10/4k08kic9fW96yv1bxhA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151</v>
      </c>
      <c r="B1" s="38" t="s">
        <v>152</v>
      </c>
      <c r="C1" s="38" t="s">
        <v>153</v>
      </c>
      <c r="D1" s="38" t="s">
        <v>154</v>
      </c>
      <c r="E1" s="38" t="s">
        <v>155</v>
      </c>
    </row>
    <row r="2" spans="1:5" ht="13" x14ac:dyDescent="0.3">
      <c r="A2" s="36" t="s">
        <v>157</v>
      </c>
      <c r="B2" s="34" t="s">
        <v>100</v>
      </c>
      <c r="C2" s="62"/>
      <c r="D2" s="62"/>
      <c r="E2" s="44" t="str">
        <f>IF(E$7="","",E$7)</f>
        <v/>
      </c>
    </row>
    <row r="3" spans="1:5" x14ac:dyDescent="0.25">
      <c r="B3" s="34" t="s">
        <v>109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96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97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98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156</v>
      </c>
      <c r="C7" s="33"/>
      <c r="D7" s="32"/>
      <c r="E7" s="62"/>
    </row>
    <row r="9" spans="1:5" ht="13" x14ac:dyDescent="0.3">
      <c r="A9" s="36" t="s">
        <v>158</v>
      </c>
      <c r="B9" s="34" t="s">
        <v>100</v>
      </c>
      <c r="C9" s="62"/>
      <c r="D9" s="62"/>
      <c r="E9" s="44" t="str">
        <f>IF(E$7="","",E$7)</f>
        <v/>
      </c>
    </row>
    <row r="10" spans="1:5" x14ac:dyDescent="0.25">
      <c r="B10" s="34" t="s">
        <v>109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96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97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98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156</v>
      </c>
      <c r="C14" s="33"/>
      <c r="D14" s="32"/>
      <c r="E14" s="62"/>
    </row>
    <row r="16" spans="1:5" ht="13" x14ac:dyDescent="0.3">
      <c r="A16" s="36" t="s">
        <v>159</v>
      </c>
      <c r="B16" s="34" t="s">
        <v>100</v>
      </c>
      <c r="C16" s="62"/>
      <c r="D16" s="62"/>
      <c r="E16" s="44" t="str">
        <f>IF(E$7="","",E$7)</f>
        <v/>
      </c>
    </row>
    <row r="17" spans="2:5" x14ac:dyDescent="0.25">
      <c r="B17" s="34" t="s">
        <v>109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96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97</v>
      </c>
      <c r="C19" s="62"/>
      <c r="D19" s="62"/>
      <c r="E19" s="44" t="str">
        <f>IF(E$7="","",E$7)</f>
        <v/>
      </c>
    </row>
    <row r="20" spans="2:5" x14ac:dyDescent="0.25">
      <c r="B20" s="34" t="s">
        <v>98</v>
      </c>
      <c r="C20" s="62"/>
      <c r="D20" s="62"/>
      <c r="E20" s="44" t="str">
        <f>IF(E$7="","",E$7)</f>
        <v/>
      </c>
    </row>
    <row r="21" spans="2:5" x14ac:dyDescent="0.25">
      <c r="B21" s="34" t="s">
        <v>156</v>
      </c>
      <c r="C21" s="33"/>
      <c r="D21" s="32"/>
      <c r="E21" s="62"/>
    </row>
  </sheetData>
  <sheetProtection algorithmName="SHA-512" hashValue="IBZGngRnl7RBerxWsXFvM9sSzAeYlbpn0K8FSKmfQqQSHwndOcc8RHvRk6ggqkFs6FXsgFMQyPlniicq4bIGAg==" saltValue="rqpFVBTlbwQZ1XDcbNUl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162</v>
      </c>
      <c r="C1" s="47" t="s">
        <v>6</v>
      </c>
      <c r="D1" s="47" t="s">
        <v>163</v>
      </c>
    </row>
    <row r="2" spans="1:4" ht="13" x14ac:dyDescent="0.3">
      <c r="A2" s="47" t="s">
        <v>160</v>
      </c>
      <c r="B2" s="34" t="s">
        <v>161</v>
      </c>
      <c r="C2" s="34" t="s">
        <v>165</v>
      </c>
      <c r="D2" s="62"/>
    </row>
    <row r="3" spans="1:4" ht="13" x14ac:dyDescent="0.3">
      <c r="A3" s="47" t="s">
        <v>164</v>
      </c>
      <c r="B3" s="34" t="s">
        <v>153</v>
      </c>
      <c r="C3" s="34" t="s">
        <v>154</v>
      </c>
      <c r="D3" s="62"/>
    </row>
  </sheetData>
  <sheetProtection algorithmName="SHA-512" hashValue="KOTN2qblLZopn/UG4/Vmkv3tyZU/Db28CITqirFh3y396JuDBXOmUa3pYeVvHnNG76+LtUDgQSGgCpR1u6plFQ==" saltValue="UcnSDrfDpWKbfL3SOQtw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160</v>
      </c>
      <c r="B1" s="40" t="str">
        <f>"Couverture de l'année de référence ("&amp;start_year&amp;")"</f>
        <v>Couverture de l'année de référence (2017)</v>
      </c>
      <c r="C1" s="40" t="s">
        <v>166</v>
      </c>
      <c r="D1" s="40" t="s">
        <v>202</v>
      </c>
      <c r="E1" s="40" t="s">
        <v>167</v>
      </c>
      <c r="F1" s="40" t="s">
        <v>203</v>
      </c>
      <c r="G1" s="40" t="s">
        <v>204</v>
      </c>
    </row>
    <row r="2" spans="1:7" ht="15.75" customHeight="1" x14ac:dyDescent="0.25">
      <c r="A2" s="39" t="s">
        <v>168</v>
      </c>
      <c r="B2" s="63">
        <v>0</v>
      </c>
      <c r="C2" s="63">
        <v>0.95</v>
      </c>
      <c r="D2" s="64">
        <v>25</v>
      </c>
      <c r="E2" s="64" t="s">
        <v>201</v>
      </c>
      <c r="F2" s="63">
        <v>1</v>
      </c>
      <c r="G2" s="63">
        <v>1</v>
      </c>
    </row>
    <row r="3" spans="1:7" ht="15.75" customHeight="1" x14ac:dyDescent="0.25">
      <c r="A3" s="39" t="s">
        <v>169</v>
      </c>
      <c r="B3" s="63">
        <v>0</v>
      </c>
      <c r="C3" s="63">
        <v>0.95</v>
      </c>
      <c r="D3" s="64">
        <v>1</v>
      </c>
      <c r="E3" s="64" t="s">
        <v>201</v>
      </c>
      <c r="F3" s="63">
        <v>1</v>
      </c>
      <c r="G3" s="63">
        <v>1</v>
      </c>
    </row>
    <row r="4" spans="1:7" ht="15.75" customHeight="1" x14ac:dyDescent="0.25">
      <c r="A4" s="39" t="s">
        <v>170</v>
      </c>
      <c r="B4" s="63">
        <v>0</v>
      </c>
      <c r="C4" s="63">
        <v>0.95</v>
      </c>
      <c r="D4" s="64">
        <v>90</v>
      </c>
      <c r="E4" s="64" t="s">
        <v>201</v>
      </c>
      <c r="F4" s="63">
        <v>1</v>
      </c>
      <c r="G4" s="63">
        <v>1</v>
      </c>
    </row>
    <row r="5" spans="1:7" ht="15.75" customHeight="1" x14ac:dyDescent="0.25">
      <c r="A5" s="39" t="s">
        <v>171</v>
      </c>
      <c r="B5" s="63">
        <v>0</v>
      </c>
      <c r="C5" s="63">
        <v>0.95</v>
      </c>
      <c r="D5" s="64">
        <v>1</v>
      </c>
      <c r="E5" s="64" t="s">
        <v>201</v>
      </c>
      <c r="F5" s="63">
        <v>1</v>
      </c>
      <c r="G5" s="63">
        <v>1</v>
      </c>
    </row>
    <row r="6" spans="1:7" ht="15.75" customHeight="1" x14ac:dyDescent="0.25">
      <c r="A6" s="39" t="s">
        <v>172</v>
      </c>
      <c r="B6" s="63">
        <v>0</v>
      </c>
      <c r="C6" s="63">
        <v>0.95</v>
      </c>
      <c r="D6" s="64">
        <v>0.82</v>
      </c>
      <c r="E6" s="64" t="s">
        <v>201</v>
      </c>
      <c r="F6" s="63">
        <v>1</v>
      </c>
      <c r="G6" s="63">
        <v>1</v>
      </c>
    </row>
    <row r="7" spans="1:7" ht="15.75" customHeight="1" x14ac:dyDescent="0.25">
      <c r="A7" s="39" t="s">
        <v>173</v>
      </c>
      <c r="B7" s="63">
        <v>0.36</v>
      </c>
      <c r="C7" s="63">
        <v>0.95</v>
      </c>
      <c r="D7" s="64">
        <v>0.25</v>
      </c>
      <c r="E7" s="64" t="s">
        <v>201</v>
      </c>
      <c r="F7" s="63">
        <v>1</v>
      </c>
      <c r="G7" s="63">
        <v>1</v>
      </c>
    </row>
    <row r="8" spans="1:7" ht="15.75" customHeight="1" x14ac:dyDescent="0.25">
      <c r="A8" s="39" t="s">
        <v>174</v>
      </c>
      <c r="B8" s="63">
        <v>0</v>
      </c>
      <c r="C8" s="63">
        <v>0.95</v>
      </c>
      <c r="D8" s="64">
        <v>0.75</v>
      </c>
      <c r="E8" s="64" t="s">
        <v>201</v>
      </c>
      <c r="F8" s="63">
        <v>1</v>
      </c>
      <c r="G8" s="63">
        <v>1</v>
      </c>
    </row>
    <row r="9" spans="1:7" ht="15.75" customHeight="1" x14ac:dyDescent="0.25">
      <c r="A9" s="39" t="s">
        <v>175</v>
      </c>
      <c r="B9" s="63">
        <v>0</v>
      </c>
      <c r="C9" s="63">
        <v>0.95</v>
      </c>
      <c r="D9" s="64">
        <v>0.19</v>
      </c>
      <c r="E9" s="64" t="s">
        <v>201</v>
      </c>
      <c r="F9" s="63">
        <v>1</v>
      </c>
      <c r="G9" s="63">
        <v>1</v>
      </c>
    </row>
    <row r="10" spans="1:7" ht="15.75" customHeight="1" x14ac:dyDescent="0.25">
      <c r="A10" s="45" t="s">
        <v>176</v>
      </c>
      <c r="B10" s="63">
        <v>0</v>
      </c>
      <c r="C10" s="63">
        <v>0.95</v>
      </c>
      <c r="D10" s="64">
        <v>0.73</v>
      </c>
      <c r="E10" s="64" t="s">
        <v>201</v>
      </c>
      <c r="F10" s="63">
        <v>1</v>
      </c>
      <c r="G10" s="63">
        <v>1</v>
      </c>
    </row>
    <row r="11" spans="1:7" ht="15.75" customHeight="1" x14ac:dyDescent="0.25">
      <c r="A11" s="45" t="s">
        <v>177</v>
      </c>
      <c r="B11" s="63">
        <v>0</v>
      </c>
      <c r="C11" s="63">
        <v>0.95</v>
      </c>
      <c r="D11" s="64">
        <v>1.78</v>
      </c>
      <c r="E11" s="64" t="s">
        <v>201</v>
      </c>
      <c r="F11" s="63">
        <v>1</v>
      </c>
      <c r="G11" s="63">
        <v>1</v>
      </c>
    </row>
    <row r="12" spans="1:7" ht="15.75" customHeight="1" x14ac:dyDescent="0.25">
      <c r="A12" s="45" t="s">
        <v>178</v>
      </c>
      <c r="B12" s="63">
        <v>0</v>
      </c>
      <c r="C12" s="63">
        <v>0.95</v>
      </c>
      <c r="D12" s="64">
        <v>0.24</v>
      </c>
      <c r="E12" s="64" t="s">
        <v>201</v>
      </c>
      <c r="F12" s="63">
        <v>1</v>
      </c>
      <c r="G12" s="63">
        <v>1</v>
      </c>
    </row>
    <row r="13" spans="1:7" ht="15.75" customHeight="1" x14ac:dyDescent="0.25">
      <c r="A13" s="45" t="s">
        <v>179</v>
      </c>
      <c r="B13" s="63">
        <v>0</v>
      </c>
      <c r="C13" s="63">
        <v>0.95</v>
      </c>
      <c r="D13" s="64">
        <v>0.55000000000000004</v>
      </c>
      <c r="E13" s="64" t="s">
        <v>201</v>
      </c>
      <c r="F13" s="63">
        <v>1</v>
      </c>
      <c r="G13" s="63">
        <v>1</v>
      </c>
    </row>
    <row r="14" spans="1:7" ht="15.75" customHeight="1" x14ac:dyDescent="0.25">
      <c r="A14" s="5" t="s">
        <v>180</v>
      </c>
      <c r="B14" s="63">
        <v>0</v>
      </c>
      <c r="C14" s="63">
        <v>0.95</v>
      </c>
      <c r="D14" s="64">
        <v>0.73</v>
      </c>
      <c r="E14" s="64" t="s">
        <v>201</v>
      </c>
      <c r="F14" s="63">
        <v>1</v>
      </c>
      <c r="G14" s="63">
        <v>1</v>
      </c>
    </row>
    <row r="15" spans="1:7" ht="15.75" customHeight="1" x14ac:dyDescent="0.25">
      <c r="A15" s="5" t="s">
        <v>181</v>
      </c>
      <c r="B15" s="63">
        <v>0</v>
      </c>
      <c r="C15" s="63">
        <v>0.95</v>
      </c>
      <c r="D15" s="64">
        <v>1.78</v>
      </c>
      <c r="E15" s="64" t="s">
        <v>201</v>
      </c>
      <c r="F15" s="63">
        <v>1</v>
      </c>
      <c r="G15" s="63">
        <v>1</v>
      </c>
    </row>
    <row r="16" spans="1:7" ht="15.75" customHeight="1" x14ac:dyDescent="0.25">
      <c r="A16" s="39" t="s">
        <v>182</v>
      </c>
      <c r="B16" s="63">
        <v>0.9</v>
      </c>
      <c r="C16" s="63">
        <v>0.95</v>
      </c>
      <c r="D16" s="64">
        <v>2.06</v>
      </c>
      <c r="E16" s="64" t="s">
        <v>201</v>
      </c>
      <c r="F16" s="63">
        <v>1</v>
      </c>
      <c r="G16" s="63">
        <v>1</v>
      </c>
    </row>
    <row r="17" spans="1:7" ht="15.75" customHeight="1" x14ac:dyDescent="0.25">
      <c r="A17" s="39" t="s">
        <v>183</v>
      </c>
      <c r="B17" s="63">
        <v>0.80800000000000005</v>
      </c>
      <c r="C17" s="63">
        <v>0.95</v>
      </c>
      <c r="D17" s="64">
        <v>0.05</v>
      </c>
      <c r="E17" s="64" t="s">
        <v>201</v>
      </c>
      <c r="F17" s="63">
        <v>1</v>
      </c>
      <c r="G17" s="63">
        <v>1</v>
      </c>
    </row>
    <row r="18" spans="1:7" ht="16" customHeight="1" x14ac:dyDescent="0.25">
      <c r="A18" s="39" t="s">
        <v>157</v>
      </c>
      <c r="B18" s="63">
        <v>0</v>
      </c>
      <c r="C18" s="63">
        <v>0.95</v>
      </c>
      <c r="D18" s="64">
        <v>5</v>
      </c>
      <c r="E18" s="64" t="s">
        <v>201</v>
      </c>
      <c r="F18" s="63">
        <v>1</v>
      </c>
      <c r="G18" s="63">
        <v>1</v>
      </c>
    </row>
    <row r="19" spans="1:7" ht="15.75" customHeight="1" x14ac:dyDescent="0.25">
      <c r="A19" s="39" t="s">
        <v>158</v>
      </c>
      <c r="B19" s="63">
        <v>0</v>
      </c>
      <c r="C19" s="63">
        <v>0.95</v>
      </c>
      <c r="D19" s="64">
        <v>5</v>
      </c>
      <c r="E19" s="64" t="s">
        <v>201</v>
      </c>
      <c r="F19" s="63">
        <v>1</v>
      </c>
      <c r="G19" s="63">
        <v>1</v>
      </c>
    </row>
    <row r="20" spans="1:7" ht="15.75" customHeight="1" x14ac:dyDescent="0.25">
      <c r="A20" s="39" t="s">
        <v>159</v>
      </c>
      <c r="B20" s="63">
        <v>0</v>
      </c>
      <c r="C20" s="63">
        <v>0.95</v>
      </c>
      <c r="D20" s="64">
        <v>5</v>
      </c>
      <c r="E20" s="64" t="s">
        <v>201</v>
      </c>
      <c r="F20" s="63">
        <v>1</v>
      </c>
      <c r="G20" s="63">
        <v>1</v>
      </c>
    </row>
    <row r="21" spans="1:7" ht="15.75" customHeight="1" x14ac:dyDescent="0.25">
      <c r="A21" s="39" t="s">
        <v>184</v>
      </c>
      <c r="B21" s="63">
        <v>0</v>
      </c>
      <c r="C21" s="63">
        <v>0.95</v>
      </c>
      <c r="D21" s="64">
        <v>8.84</v>
      </c>
      <c r="E21" s="64" t="s">
        <v>201</v>
      </c>
      <c r="F21" s="63">
        <v>1</v>
      </c>
      <c r="G21" s="63">
        <v>1</v>
      </c>
    </row>
    <row r="22" spans="1:7" ht="15.75" customHeight="1" x14ac:dyDescent="0.25">
      <c r="A22" s="39" t="s">
        <v>185</v>
      </c>
      <c r="B22" s="63">
        <v>0</v>
      </c>
      <c r="C22" s="63">
        <v>0.95</v>
      </c>
      <c r="D22" s="64">
        <v>50</v>
      </c>
      <c r="E22" s="64" t="s">
        <v>201</v>
      </c>
      <c r="F22" s="63">
        <v>1</v>
      </c>
      <c r="G22" s="63">
        <v>1</v>
      </c>
    </row>
    <row r="23" spans="1:7" ht="15.75" customHeight="1" x14ac:dyDescent="0.25">
      <c r="A23" s="39" t="s">
        <v>186</v>
      </c>
      <c r="B23" s="63">
        <v>0.50800000000000001</v>
      </c>
      <c r="C23" s="63">
        <v>0.95</v>
      </c>
      <c r="D23" s="64">
        <v>2.61</v>
      </c>
      <c r="E23" s="64" t="s">
        <v>201</v>
      </c>
      <c r="F23" s="63">
        <v>1</v>
      </c>
      <c r="G23" s="63">
        <v>1</v>
      </c>
    </row>
    <row r="24" spans="1:7" ht="15.75" customHeight="1" x14ac:dyDescent="0.25">
      <c r="A24" s="39" t="s">
        <v>187</v>
      </c>
      <c r="B24" s="63">
        <v>0</v>
      </c>
      <c r="C24" s="63">
        <v>0.95</v>
      </c>
      <c r="D24" s="64">
        <v>1</v>
      </c>
      <c r="E24" s="64" t="s">
        <v>201</v>
      </c>
      <c r="F24" s="63">
        <v>1</v>
      </c>
      <c r="G24" s="63">
        <v>1</v>
      </c>
    </row>
    <row r="25" spans="1:7" ht="15.75" customHeight="1" x14ac:dyDescent="0.25">
      <c r="A25" s="39" t="s">
        <v>188</v>
      </c>
      <c r="B25" s="63">
        <v>0</v>
      </c>
      <c r="C25" s="63">
        <v>0.95</v>
      </c>
      <c r="D25" s="64">
        <v>1</v>
      </c>
      <c r="E25" s="64" t="s">
        <v>201</v>
      </c>
      <c r="F25" s="63">
        <v>1</v>
      </c>
      <c r="G25" s="63">
        <v>1</v>
      </c>
    </row>
    <row r="26" spans="1:7" ht="15.75" customHeight="1" x14ac:dyDescent="0.25">
      <c r="A26" s="39" t="s">
        <v>189</v>
      </c>
      <c r="B26" s="63">
        <v>0.1</v>
      </c>
      <c r="C26" s="63">
        <v>0.95</v>
      </c>
      <c r="D26" s="64">
        <v>4.6500000000000004</v>
      </c>
      <c r="E26" s="64" t="s">
        <v>201</v>
      </c>
      <c r="F26" s="63">
        <v>1</v>
      </c>
      <c r="G26" s="63">
        <v>1</v>
      </c>
    </row>
    <row r="27" spans="1:7" ht="15.75" customHeight="1" x14ac:dyDescent="0.25">
      <c r="A27" s="39" t="s">
        <v>190</v>
      </c>
      <c r="B27" s="63">
        <v>0.3538</v>
      </c>
      <c r="C27" s="63">
        <v>0.95</v>
      </c>
      <c r="D27" s="64">
        <v>3.78</v>
      </c>
      <c r="E27" s="64" t="s">
        <v>201</v>
      </c>
      <c r="F27" s="63">
        <v>1</v>
      </c>
      <c r="G27" s="63">
        <v>1</v>
      </c>
    </row>
    <row r="28" spans="1:7" ht="15.75" customHeight="1" x14ac:dyDescent="0.25">
      <c r="A28" s="39" t="s">
        <v>191</v>
      </c>
      <c r="B28" s="63">
        <v>0</v>
      </c>
      <c r="C28" s="63">
        <v>0.95</v>
      </c>
      <c r="D28" s="64">
        <v>1</v>
      </c>
      <c r="E28" s="64" t="s">
        <v>201</v>
      </c>
      <c r="F28" s="63">
        <v>1</v>
      </c>
      <c r="G28" s="63">
        <v>1</v>
      </c>
    </row>
    <row r="29" spans="1:7" ht="15.75" customHeight="1" x14ac:dyDescent="0.25">
      <c r="A29" s="39" t="s">
        <v>192</v>
      </c>
      <c r="B29" s="63">
        <v>0</v>
      </c>
      <c r="C29" s="63">
        <v>0.95</v>
      </c>
      <c r="D29" s="64">
        <v>48</v>
      </c>
      <c r="E29" s="64" t="s">
        <v>201</v>
      </c>
      <c r="F29" s="63">
        <v>1</v>
      </c>
      <c r="G29" s="63">
        <v>1</v>
      </c>
    </row>
    <row r="30" spans="1:7" ht="15.75" customHeight="1" x14ac:dyDescent="0.25">
      <c r="A30" s="39" t="s">
        <v>205</v>
      </c>
      <c r="B30" s="63">
        <v>0</v>
      </c>
      <c r="C30" s="63">
        <v>0.95</v>
      </c>
      <c r="D30" s="64">
        <v>64</v>
      </c>
      <c r="E30" s="64" t="s">
        <v>201</v>
      </c>
      <c r="F30" s="63">
        <v>1</v>
      </c>
      <c r="G30" s="63">
        <v>1</v>
      </c>
    </row>
    <row r="31" spans="1:7" ht="15.75" customHeight="1" x14ac:dyDescent="0.25">
      <c r="A31" s="39" t="s">
        <v>161</v>
      </c>
      <c r="B31" s="63">
        <v>0</v>
      </c>
      <c r="C31" s="63">
        <v>0.95</v>
      </c>
      <c r="D31" s="64">
        <v>65</v>
      </c>
      <c r="E31" s="64" t="s">
        <v>201</v>
      </c>
      <c r="F31" s="63">
        <v>1</v>
      </c>
      <c r="G31" s="63">
        <v>1</v>
      </c>
    </row>
    <row r="32" spans="1:7" ht="15.75" customHeight="1" x14ac:dyDescent="0.25">
      <c r="A32" s="39" t="s">
        <v>193</v>
      </c>
      <c r="B32" s="63">
        <v>0.89970000000000006</v>
      </c>
      <c r="C32" s="63">
        <v>0.95</v>
      </c>
      <c r="D32" s="64">
        <v>0.41</v>
      </c>
      <c r="E32" s="64" t="s">
        <v>201</v>
      </c>
      <c r="F32" s="63">
        <v>1</v>
      </c>
      <c r="G32" s="63">
        <v>1</v>
      </c>
    </row>
    <row r="33" spans="1:7" ht="15.75" customHeight="1" x14ac:dyDescent="0.25">
      <c r="A33" s="39" t="s">
        <v>194</v>
      </c>
      <c r="B33" s="63">
        <v>0.80700000000000005</v>
      </c>
      <c r="C33" s="63">
        <v>0.95</v>
      </c>
      <c r="D33" s="64">
        <v>0.9</v>
      </c>
      <c r="E33" s="64" t="s">
        <v>201</v>
      </c>
      <c r="F33" s="63">
        <v>1</v>
      </c>
      <c r="G33" s="63">
        <v>1</v>
      </c>
    </row>
    <row r="34" spans="1:7" ht="15.75" customHeight="1" x14ac:dyDescent="0.25">
      <c r="A34" s="39" t="s">
        <v>195</v>
      </c>
      <c r="B34" s="63">
        <v>0.73199999999999998</v>
      </c>
      <c r="C34" s="63">
        <v>0.95</v>
      </c>
      <c r="D34" s="64">
        <v>0.9</v>
      </c>
      <c r="E34" s="64" t="s">
        <v>201</v>
      </c>
      <c r="F34" s="63">
        <v>1</v>
      </c>
      <c r="G34" s="63">
        <v>1</v>
      </c>
    </row>
    <row r="35" spans="1:7" ht="15.75" customHeight="1" x14ac:dyDescent="0.25">
      <c r="A35" s="39" t="s">
        <v>196</v>
      </c>
      <c r="B35" s="63">
        <v>0.316</v>
      </c>
      <c r="C35" s="63">
        <v>0.95</v>
      </c>
      <c r="D35" s="64">
        <v>79</v>
      </c>
      <c r="E35" s="64" t="s">
        <v>201</v>
      </c>
      <c r="F35" s="63">
        <v>1</v>
      </c>
      <c r="G35" s="63">
        <v>1</v>
      </c>
    </row>
    <row r="36" spans="1:7" ht="15.75" customHeight="1" x14ac:dyDescent="0.25">
      <c r="A36" s="39" t="s">
        <v>197</v>
      </c>
      <c r="B36" s="63">
        <v>0.59699999999999998</v>
      </c>
      <c r="C36" s="63">
        <v>0.95</v>
      </c>
      <c r="D36" s="64">
        <v>31</v>
      </c>
      <c r="E36" s="64" t="s">
        <v>201</v>
      </c>
      <c r="F36" s="63">
        <v>1</v>
      </c>
      <c r="G36" s="63">
        <v>1</v>
      </c>
    </row>
    <row r="37" spans="1:7" ht="15.75" customHeight="1" x14ac:dyDescent="0.25">
      <c r="A37" s="39" t="s">
        <v>198</v>
      </c>
      <c r="B37" s="63">
        <v>0.19900000000000001</v>
      </c>
      <c r="C37" s="63">
        <v>0.95</v>
      </c>
      <c r="D37" s="64">
        <v>102</v>
      </c>
      <c r="E37" s="64" t="s">
        <v>201</v>
      </c>
      <c r="F37" s="63">
        <v>1</v>
      </c>
      <c r="G37" s="63">
        <v>1</v>
      </c>
    </row>
    <row r="38" spans="1:7" ht="15.75" customHeight="1" x14ac:dyDescent="0.25">
      <c r="A38" s="39" t="s">
        <v>199</v>
      </c>
      <c r="B38" s="63">
        <v>0.13400000000000001</v>
      </c>
      <c r="C38" s="63">
        <v>0.95</v>
      </c>
      <c r="D38" s="64">
        <v>5.53</v>
      </c>
      <c r="E38" s="64" t="s">
        <v>201</v>
      </c>
      <c r="F38" s="63">
        <v>1</v>
      </c>
      <c r="G38" s="63">
        <v>1</v>
      </c>
    </row>
    <row r="39" spans="1:7" ht="15.75" customHeight="1" x14ac:dyDescent="0.25">
      <c r="A39" s="39" t="s">
        <v>200</v>
      </c>
      <c r="B39" s="63">
        <v>0</v>
      </c>
      <c r="C39" s="63">
        <v>0.95</v>
      </c>
      <c r="D39" s="64">
        <v>1</v>
      </c>
      <c r="E39" s="64" t="s">
        <v>201</v>
      </c>
      <c r="F39" s="63">
        <v>1</v>
      </c>
      <c r="G39" s="63">
        <v>1</v>
      </c>
    </row>
  </sheetData>
  <sheetProtection algorithmName="SHA-512" hashValue="cAb2BLA3Rf9zkXk6Qy+XWYblC2bpGXoUD//jQnIa+4A9aiJlVhR/wLgK3+cHSjDmEjoODYZlwcGHIc9LGJyAHg==" saltValue="OLU2TaTM74sCz8wEcjtozg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160</v>
      </c>
      <c r="B1" s="29" t="s">
        <v>206</v>
      </c>
      <c r="C1" s="29" t="s">
        <v>207</v>
      </c>
    </row>
    <row r="2" spans="1:3" x14ac:dyDescent="0.25">
      <c r="A2" s="65" t="s">
        <v>180</v>
      </c>
      <c r="B2" s="62" t="s">
        <v>190</v>
      </c>
      <c r="C2" s="62"/>
    </row>
    <row r="3" spans="1:3" x14ac:dyDescent="0.25">
      <c r="A3" s="65" t="s">
        <v>181</v>
      </c>
      <c r="B3" s="62" t="s">
        <v>190</v>
      </c>
      <c r="C3" s="62"/>
    </row>
    <row r="4" spans="1:3" x14ac:dyDescent="0.25">
      <c r="A4" s="66" t="s">
        <v>192</v>
      </c>
      <c r="B4" s="62" t="s">
        <v>185</v>
      </c>
      <c r="C4" s="62"/>
    </row>
    <row r="5" spans="1:3" x14ac:dyDescent="0.25">
      <c r="A5" s="66" t="s">
        <v>189</v>
      </c>
      <c r="B5" s="62" t="s">
        <v>185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YCEdJsrzxM92U+0cq2X1FSFSXOEwSXb6DP4N0gvLJ8x+DQFM0uEu+NnUT+qq/X/5Pup/yXhHp0g8rtrUjlb3fw==" saltValue="als1hxLdF1aLz3YPt17n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160</v>
      </c>
    </row>
    <row r="2" spans="1:1" x14ac:dyDescent="0.25">
      <c r="A2" s="35" t="s">
        <v>172</v>
      </c>
    </row>
    <row r="3" spans="1:1" x14ac:dyDescent="0.25">
      <c r="A3" s="35" t="s">
        <v>182</v>
      </c>
    </row>
    <row r="4" spans="1:1" x14ac:dyDescent="0.25">
      <c r="A4" s="35" t="s">
        <v>186</v>
      </c>
    </row>
    <row r="5" spans="1:1" x14ac:dyDescent="0.25">
      <c r="A5" s="35" t="s">
        <v>194</v>
      </c>
    </row>
    <row r="6" spans="1:1" x14ac:dyDescent="0.25">
      <c r="A6" s="35" t="s">
        <v>195</v>
      </c>
    </row>
    <row r="7" spans="1:1" x14ac:dyDescent="0.25">
      <c r="A7" s="35" t="s">
        <v>196</v>
      </c>
    </row>
    <row r="8" spans="1:1" x14ac:dyDescent="0.25">
      <c r="A8" s="35" t="s">
        <v>197</v>
      </c>
    </row>
    <row r="9" spans="1:1" x14ac:dyDescent="0.25">
      <c r="A9" s="35" t="s">
        <v>198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x40i24ZKEegB4ZvjwvRWSYO0cwkHgiYgsqrz41LadYrcCG97NGZjSuj4Uc+eZqxJekH8add00LhFmWnqcUii/g==" saltValue="ku06dmrMe4cr7b2c8sgg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209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208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wQTPLWA4sbk2bCZ1ICKjdbeFEH8HGbrsI2bi86ehfOU4mwb2CQnMJCjeIGx1VSXxP1A+VaatxKDI/O+rOWekEA==" saltValue="afAYKdRYcpU8Ih7DwZuY/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171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184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185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189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205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161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193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199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169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180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181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182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5" t="s">
        <v>172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176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177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178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179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175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183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186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194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195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196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197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198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D0PSK3Q/iMDyfvAOf6rV2ks0Y/NOWoapuU713S2BEqEgg8DAEKF4Vopbt79Bvs/0DE6PbfoVYn30EAY6c2qRVQ==" saltValue="PKkbvk9Yu1lwfwjtfpY1P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yAwNK0XzqA2cZxpXW5RgXBuUNNndrMHgU8PyXL+aqHp39FmXpLmDgQBYrBkwk0yxoL2bJ+vwX/eT/2NKRUsgaw==" saltValue="p1aZw5BhaHeJYHG2S7de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216</v>
      </c>
      <c r="B1" s="29" t="s">
        <v>215</v>
      </c>
      <c r="C1" s="29" t="s">
        <v>4</v>
      </c>
      <c r="D1" s="29" t="s">
        <v>144</v>
      </c>
      <c r="E1" s="29" t="s">
        <v>225</v>
      </c>
    </row>
    <row r="2" spans="1:5" ht="14" x14ac:dyDescent="0.3">
      <c r="A2" s="28" t="s">
        <v>217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218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219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221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222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223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224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oq8yY5FzW0KlzdDystv4m+Y7XOGZ/D+CoF7yk9KJm853dl+ZLrt04RFCg5Gm1kKJm/Ja5KUR3kM3mf8986I7Ig==" saltValue="lD/Yl5Z96WKreqDzcep8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211</v>
      </c>
      <c r="B1" s="71" t="s">
        <v>160</v>
      </c>
      <c r="C1" s="43" t="s">
        <v>109</v>
      </c>
      <c r="D1" s="43" t="s">
        <v>96</v>
      </c>
      <c r="E1" s="43" t="s">
        <v>97</v>
      </c>
      <c r="F1" s="43" t="s">
        <v>98</v>
      </c>
      <c r="G1" s="43" t="s">
        <v>99</v>
      </c>
      <c r="H1" s="43" t="s">
        <v>122</v>
      </c>
      <c r="I1" s="43" t="s">
        <v>123</v>
      </c>
      <c r="J1" s="43" t="s">
        <v>124</v>
      </c>
      <c r="K1" s="43" t="s">
        <v>125</v>
      </c>
      <c r="L1" s="43" t="s">
        <v>69</v>
      </c>
      <c r="M1" s="43" t="s">
        <v>70</v>
      </c>
      <c r="N1" s="43" t="s">
        <v>71</v>
      </c>
      <c r="O1" s="43" t="s">
        <v>72</v>
      </c>
    </row>
    <row r="2" spans="1:15" ht="15.75" customHeight="1" x14ac:dyDescent="0.35">
      <c r="A2" s="43" t="s">
        <v>86</v>
      </c>
      <c r="B2" s="39" t="s">
        <v>170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171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157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158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159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184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185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189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191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192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205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161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193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199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100</v>
      </c>
      <c r="B18" s="39" t="s">
        <v>168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169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180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181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182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187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188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190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75</v>
      </c>
      <c r="B27" s="39" t="s">
        <v>172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176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177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178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179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175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183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186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194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195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196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197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198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d2dc5Ttu+8O0c1ObZSzb1DRJsUSft3fVwRxnFfNklZUcMnL8NVRsdAklXZNkwmKdHCCz7RggFQ8p+MgsbVzVWA==" saltValue="MN3eqsY9qywxXFdhDPxv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39" t="s">
        <v>168</v>
      </c>
      <c r="B2" s="101"/>
      <c r="C2" s="101"/>
      <c r="D2" s="101"/>
      <c r="E2" s="101"/>
      <c r="F2" s="101"/>
      <c r="G2" s="101"/>
      <c r="H2" s="101"/>
      <c r="I2" s="101" t="s">
        <v>7</v>
      </c>
      <c r="J2" s="101"/>
      <c r="K2" s="101"/>
    </row>
    <row r="3" spans="1:11" x14ac:dyDescent="0.25">
      <c r="A3" s="39" t="s">
        <v>169</v>
      </c>
      <c r="B3" s="101"/>
      <c r="C3" s="101"/>
      <c r="D3" s="101"/>
      <c r="E3" s="101"/>
      <c r="F3" s="101"/>
      <c r="G3" s="101"/>
      <c r="H3" s="101" t="s">
        <v>7</v>
      </c>
      <c r="I3" s="101"/>
      <c r="J3" s="101"/>
      <c r="K3" s="101"/>
    </row>
    <row r="4" spans="1:11" x14ac:dyDescent="0.25">
      <c r="A4" s="39" t="s">
        <v>170</v>
      </c>
      <c r="B4" s="101"/>
      <c r="C4" s="101"/>
      <c r="D4" s="101" t="s">
        <v>7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171</v>
      </c>
      <c r="B5" s="101"/>
      <c r="C5" s="101" t="s">
        <v>7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172</v>
      </c>
      <c r="B6" s="101"/>
      <c r="C6" s="101"/>
      <c r="D6" s="101"/>
      <c r="E6" s="101"/>
      <c r="F6" s="101"/>
      <c r="G6" s="101"/>
      <c r="H6" s="101"/>
      <c r="I6" s="101"/>
      <c r="J6" s="101" t="s">
        <v>7</v>
      </c>
      <c r="K6" s="101" t="s">
        <v>7</v>
      </c>
    </row>
    <row r="7" spans="1:11" x14ac:dyDescent="0.25">
      <c r="A7" s="39" t="s">
        <v>173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/>
      <c r="J7" s="101"/>
      <c r="K7" s="101"/>
    </row>
    <row r="8" spans="1:11" x14ac:dyDescent="0.25">
      <c r="A8" s="39" t="s">
        <v>174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/>
      <c r="J8" s="101"/>
      <c r="K8" s="101"/>
    </row>
    <row r="9" spans="1:11" x14ac:dyDescent="0.25">
      <c r="A9" s="39" t="s">
        <v>175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/>
      <c r="J9" s="101"/>
      <c r="K9" s="101"/>
    </row>
    <row r="10" spans="1:11" x14ac:dyDescent="0.25">
      <c r="A10" s="45" t="s">
        <v>176</v>
      </c>
      <c r="B10" s="101"/>
      <c r="C10" s="101" t="s">
        <v>7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177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178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179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180</v>
      </c>
      <c r="B14" s="101"/>
      <c r="C14" s="101" t="s">
        <v>7</v>
      </c>
      <c r="D14" s="101"/>
      <c r="E14" s="101"/>
      <c r="F14" s="101"/>
      <c r="G14" s="101"/>
      <c r="H14" s="101"/>
      <c r="I14" s="101" t="s">
        <v>7</v>
      </c>
      <c r="J14" s="101"/>
      <c r="K14" s="101"/>
    </row>
    <row r="15" spans="1:11" x14ac:dyDescent="0.25">
      <c r="A15" s="72" t="s">
        <v>181</v>
      </c>
      <c r="B15" s="101"/>
      <c r="C15" s="101" t="s">
        <v>7</v>
      </c>
      <c r="D15" s="101"/>
      <c r="E15" s="101"/>
      <c r="F15" s="101"/>
      <c r="G15" s="101"/>
      <c r="H15" s="101"/>
      <c r="I15" s="101" t="s">
        <v>7</v>
      </c>
      <c r="J15" s="101"/>
      <c r="K15" s="101"/>
    </row>
    <row r="16" spans="1:11" x14ac:dyDescent="0.25">
      <c r="A16" s="39" t="s">
        <v>182</v>
      </c>
      <c r="B16" s="101"/>
      <c r="C16" s="101" t="s">
        <v>7</v>
      </c>
      <c r="D16" s="101"/>
      <c r="E16" s="101"/>
      <c r="F16" s="101"/>
      <c r="G16" s="101"/>
      <c r="H16" s="101" t="s">
        <v>7</v>
      </c>
      <c r="I16" s="101" t="s">
        <v>7</v>
      </c>
      <c r="J16" s="101"/>
      <c r="K16" s="101"/>
    </row>
    <row r="17" spans="1:11" x14ac:dyDescent="0.25">
      <c r="A17" s="39" t="s">
        <v>183</v>
      </c>
      <c r="B17" s="101"/>
      <c r="C17" s="101" t="s">
        <v>7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157</v>
      </c>
      <c r="B18" s="101" t="s">
        <v>7</v>
      </c>
      <c r="C18" s="101"/>
      <c r="D18" s="101"/>
      <c r="E18" s="101"/>
      <c r="F18" s="101" t="s">
        <v>7</v>
      </c>
      <c r="G18" s="101"/>
      <c r="H18" s="101"/>
      <c r="I18" s="101"/>
      <c r="J18" s="101"/>
      <c r="K18" s="101"/>
    </row>
    <row r="19" spans="1:11" x14ac:dyDescent="0.25">
      <c r="A19" s="39" t="s">
        <v>158</v>
      </c>
      <c r="B19" s="101" t="s">
        <v>7</v>
      </c>
      <c r="C19" s="101"/>
      <c r="D19" s="101"/>
      <c r="E19" s="101"/>
      <c r="F19" s="101" t="s">
        <v>7</v>
      </c>
      <c r="G19" s="101"/>
      <c r="H19" s="101"/>
      <c r="I19" s="101"/>
      <c r="J19" s="101"/>
      <c r="K19" s="101"/>
    </row>
    <row r="20" spans="1:11" x14ac:dyDescent="0.25">
      <c r="A20" s="39" t="s">
        <v>159</v>
      </c>
      <c r="B20" s="101" t="s">
        <v>7</v>
      </c>
      <c r="C20" s="101"/>
      <c r="D20" s="101"/>
      <c r="E20" s="101"/>
      <c r="F20" s="101" t="s">
        <v>7</v>
      </c>
      <c r="G20" s="101"/>
      <c r="H20" s="101"/>
      <c r="I20" s="101"/>
      <c r="J20" s="101"/>
      <c r="K20" s="101"/>
    </row>
    <row r="21" spans="1:11" x14ac:dyDescent="0.25">
      <c r="A21" s="39" t="s">
        <v>184</v>
      </c>
      <c r="B21" s="101"/>
      <c r="C21" s="101"/>
      <c r="D21" s="101"/>
      <c r="E21" s="101"/>
      <c r="F21" s="101"/>
      <c r="G21" s="101"/>
      <c r="H21" s="101" t="s">
        <v>7</v>
      </c>
      <c r="I21" s="101" t="s">
        <v>7</v>
      </c>
      <c r="J21" s="101"/>
      <c r="K21" s="101"/>
    </row>
    <row r="22" spans="1:11" x14ac:dyDescent="0.25">
      <c r="A22" s="39" t="s">
        <v>185</v>
      </c>
      <c r="B22" s="101" t="s">
        <v>7</v>
      </c>
      <c r="C22" s="101" t="s">
        <v>7</v>
      </c>
      <c r="D22" s="101" t="s">
        <v>7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186</v>
      </c>
      <c r="B23" s="101"/>
      <c r="C23" s="101" t="s">
        <v>7</v>
      </c>
      <c r="D23" s="101"/>
      <c r="E23" s="101"/>
      <c r="F23" s="101"/>
      <c r="G23" s="101"/>
      <c r="H23" s="101"/>
      <c r="I23" s="101" t="s">
        <v>7</v>
      </c>
      <c r="J23" s="101"/>
      <c r="K23" s="101"/>
    </row>
    <row r="24" spans="1:11" x14ac:dyDescent="0.25">
      <c r="A24" s="39" t="s">
        <v>187</v>
      </c>
      <c r="B24" s="101"/>
      <c r="C24" s="101"/>
      <c r="D24" s="101"/>
      <c r="E24" s="101"/>
      <c r="F24" s="101"/>
      <c r="G24" s="101"/>
      <c r="H24" s="101" t="s">
        <v>7</v>
      </c>
      <c r="I24" s="101"/>
      <c r="J24" s="101"/>
      <c r="K24" s="101"/>
    </row>
    <row r="25" spans="1:11" x14ac:dyDescent="0.25">
      <c r="A25" s="39" t="s">
        <v>188</v>
      </c>
      <c r="B25" s="101"/>
      <c r="C25" s="101"/>
      <c r="D25" s="101"/>
      <c r="E25" s="101"/>
      <c r="F25" s="101"/>
      <c r="G25" s="101"/>
      <c r="H25" s="101" t="s">
        <v>7</v>
      </c>
      <c r="I25" s="101"/>
      <c r="J25" s="101"/>
      <c r="K25" s="101"/>
    </row>
    <row r="26" spans="1:11" x14ac:dyDescent="0.25">
      <c r="A26" s="39" t="s">
        <v>189</v>
      </c>
      <c r="B26" s="101"/>
      <c r="C26" s="101" t="s">
        <v>7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190</v>
      </c>
      <c r="B27" s="101"/>
      <c r="C27" s="101" t="s">
        <v>7</v>
      </c>
      <c r="D27" s="101"/>
      <c r="E27" s="101"/>
      <c r="F27" s="101"/>
      <c r="G27" s="101"/>
      <c r="H27" s="101"/>
      <c r="I27" s="101" t="s">
        <v>7</v>
      </c>
      <c r="J27" s="101"/>
      <c r="K27" s="101"/>
    </row>
    <row r="28" spans="1:11" x14ac:dyDescent="0.25">
      <c r="A28" s="39" t="s">
        <v>191</v>
      </c>
      <c r="B28" s="101"/>
      <c r="C28" s="101"/>
      <c r="D28" s="101"/>
      <c r="E28" s="101"/>
      <c r="F28" s="101"/>
      <c r="G28" s="101"/>
      <c r="H28" s="101" t="s">
        <v>7</v>
      </c>
      <c r="I28" s="101"/>
      <c r="J28" s="101"/>
      <c r="K28" s="101"/>
    </row>
    <row r="29" spans="1:11" x14ac:dyDescent="0.25">
      <c r="A29" s="39" t="s">
        <v>192</v>
      </c>
      <c r="B29" s="101" t="s">
        <v>7</v>
      </c>
      <c r="C29" s="101"/>
      <c r="D29" s="101" t="s">
        <v>7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205</v>
      </c>
      <c r="B30" s="101" t="s">
        <v>7</v>
      </c>
      <c r="C30" s="101" t="s">
        <v>7</v>
      </c>
      <c r="D30" s="101" t="s">
        <v>7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161</v>
      </c>
      <c r="B31" s="101"/>
      <c r="C31" s="101"/>
      <c r="D31" s="101"/>
      <c r="E31" s="101" t="s">
        <v>7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193</v>
      </c>
      <c r="B32" s="101"/>
      <c r="C32" s="101"/>
      <c r="D32" s="101"/>
      <c r="E32" s="101"/>
      <c r="F32" s="101"/>
      <c r="G32" s="101" t="s">
        <v>7</v>
      </c>
      <c r="H32" s="101" t="s">
        <v>7</v>
      </c>
      <c r="I32" s="101"/>
      <c r="J32" s="101"/>
      <c r="K32" s="101"/>
    </row>
    <row r="33" spans="1:11" x14ac:dyDescent="0.25">
      <c r="A33" s="39" t="s">
        <v>194</v>
      </c>
      <c r="B33" s="101"/>
      <c r="C33" s="101"/>
      <c r="D33" s="101"/>
      <c r="E33" s="101"/>
      <c r="F33" s="101"/>
      <c r="G33" s="101" t="s">
        <v>7</v>
      </c>
      <c r="H33" s="101" t="s">
        <v>7</v>
      </c>
      <c r="I33" s="101"/>
      <c r="J33" s="101"/>
      <c r="K33" s="101"/>
    </row>
    <row r="34" spans="1:11" x14ac:dyDescent="0.25">
      <c r="A34" s="39" t="s">
        <v>195</v>
      </c>
      <c r="B34" s="101"/>
      <c r="C34" s="101"/>
      <c r="D34" s="101"/>
      <c r="E34" s="101"/>
      <c r="F34" s="101"/>
      <c r="G34" s="101" t="s">
        <v>7</v>
      </c>
      <c r="H34" s="101" t="s">
        <v>7</v>
      </c>
      <c r="I34" s="101"/>
      <c r="J34" s="101"/>
      <c r="K34" s="101"/>
    </row>
    <row r="35" spans="1:11" x14ac:dyDescent="0.25">
      <c r="A35" s="39" t="s">
        <v>196</v>
      </c>
      <c r="B35" s="101"/>
      <c r="C35" s="101"/>
      <c r="D35" s="101"/>
      <c r="E35" s="101"/>
      <c r="F35" s="101"/>
      <c r="G35" s="101" t="s">
        <v>7</v>
      </c>
      <c r="H35" s="101" t="s">
        <v>7</v>
      </c>
      <c r="I35" s="101"/>
      <c r="J35" s="101"/>
      <c r="K35" s="101"/>
    </row>
    <row r="36" spans="1:11" x14ac:dyDescent="0.25">
      <c r="A36" s="39" t="s">
        <v>197</v>
      </c>
      <c r="B36" s="101"/>
      <c r="C36" s="101"/>
      <c r="D36" s="101"/>
      <c r="E36" s="101"/>
      <c r="F36" s="101"/>
      <c r="G36" s="101" t="s">
        <v>7</v>
      </c>
      <c r="H36" s="101" t="s">
        <v>7</v>
      </c>
      <c r="I36" s="101"/>
      <c r="J36" s="101"/>
      <c r="K36" s="101"/>
    </row>
    <row r="37" spans="1:11" x14ac:dyDescent="0.25">
      <c r="A37" s="39" t="s">
        <v>198</v>
      </c>
      <c r="B37" s="101"/>
      <c r="C37" s="101"/>
      <c r="D37" s="101"/>
      <c r="E37" s="101"/>
      <c r="F37" s="101"/>
      <c r="G37" s="101" t="s">
        <v>7</v>
      </c>
      <c r="H37" s="101" t="s">
        <v>7</v>
      </c>
      <c r="I37" s="101"/>
      <c r="J37" s="101"/>
      <c r="K37" s="101"/>
    </row>
    <row r="38" spans="1:11" x14ac:dyDescent="0.25">
      <c r="A38" s="39" t="s">
        <v>199</v>
      </c>
      <c r="B38" s="101"/>
      <c r="C38" s="101"/>
      <c r="D38" s="101"/>
      <c r="E38" s="101"/>
      <c r="F38" s="101"/>
      <c r="G38" s="101"/>
      <c r="H38" s="101" t="s">
        <v>7</v>
      </c>
      <c r="I38" s="101"/>
      <c r="J38" s="101"/>
      <c r="K38" s="101"/>
    </row>
    <row r="39" spans="1:11" x14ac:dyDescent="0.25">
      <c r="A39" s="39" t="s">
        <v>200</v>
      </c>
      <c r="B39" s="101" t="s">
        <v>7</v>
      </c>
      <c r="C39" s="101"/>
      <c r="D39" s="101"/>
      <c r="E39" s="101"/>
      <c r="F39" s="101"/>
      <c r="G39" s="101" t="s">
        <v>7</v>
      </c>
      <c r="H39" s="101" t="s">
        <v>7</v>
      </c>
      <c r="I39" s="101"/>
      <c r="J39" s="101"/>
      <c r="K39" s="101"/>
    </row>
  </sheetData>
  <sheetProtection algorithmName="SHA-512" hashValue="sN79CQMb0pIXafv/1oKd/xV1hgrFON8twz/x+zyfTGYtbgSR/uVCDc8EKgVcPuS+hvTX1ialbR9OZdZMMqfZhw==" saltValue="rIusfrKhD1Os5do3ih5QG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27" t="s">
        <v>109</v>
      </c>
      <c r="B2" s="101" t="s">
        <v>7</v>
      </c>
      <c r="C2" s="101" t="s">
        <v>7</v>
      </c>
      <c r="D2" s="101" t="s">
        <v>7</v>
      </c>
      <c r="E2" s="101" t="s">
        <v>7</v>
      </c>
      <c r="F2" s="101" t="s">
        <v>7</v>
      </c>
      <c r="G2" s="101" t="s">
        <v>7</v>
      </c>
      <c r="H2" s="101" t="s">
        <v>7</v>
      </c>
      <c r="I2" s="101"/>
      <c r="J2" s="101"/>
      <c r="K2" s="101"/>
    </row>
    <row r="3" spans="1:11" x14ac:dyDescent="0.25">
      <c r="A3" s="27" t="s">
        <v>96</v>
      </c>
      <c r="B3" s="101" t="s">
        <v>7</v>
      </c>
      <c r="C3" s="101" t="s">
        <v>7</v>
      </c>
      <c r="D3" s="101" t="s">
        <v>7</v>
      </c>
      <c r="E3" s="101" t="s">
        <v>7</v>
      </c>
      <c r="F3" s="101" t="s">
        <v>7</v>
      </c>
      <c r="G3" s="101" t="s">
        <v>7</v>
      </c>
      <c r="H3" s="101" t="s">
        <v>7</v>
      </c>
      <c r="I3" s="101"/>
      <c r="J3" s="101"/>
      <c r="K3" s="101"/>
    </row>
    <row r="4" spans="1:11" x14ac:dyDescent="0.25">
      <c r="A4" s="27" t="s">
        <v>97</v>
      </c>
      <c r="B4" s="101" t="s">
        <v>7</v>
      </c>
      <c r="C4" s="101" t="s">
        <v>7</v>
      </c>
      <c r="D4" s="101" t="s">
        <v>7</v>
      </c>
      <c r="E4" s="101" t="s">
        <v>7</v>
      </c>
      <c r="F4" s="101" t="s">
        <v>7</v>
      </c>
      <c r="G4" s="101" t="s">
        <v>7</v>
      </c>
      <c r="H4" s="101" t="s">
        <v>7</v>
      </c>
      <c r="I4" s="101"/>
      <c r="J4" s="101"/>
      <c r="K4" s="101"/>
    </row>
    <row r="5" spans="1:11" x14ac:dyDescent="0.25">
      <c r="A5" s="27" t="s">
        <v>98</v>
      </c>
      <c r="B5" s="101" t="s">
        <v>7</v>
      </c>
      <c r="C5" s="101" t="s">
        <v>7</v>
      </c>
      <c r="D5" s="101" t="s">
        <v>7</v>
      </c>
      <c r="E5" s="101" t="s">
        <v>7</v>
      </c>
      <c r="F5" s="101" t="s">
        <v>7</v>
      </c>
      <c r="G5" s="101" t="s">
        <v>7</v>
      </c>
      <c r="H5" s="101" t="s">
        <v>7</v>
      </c>
      <c r="I5" s="101"/>
      <c r="J5" s="101"/>
      <c r="K5" s="101"/>
    </row>
    <row r="6" spans="1:11" x14ac:dyDescent="0.25">
      <c r="A6" s="27" t="s">
        <v>99</v>
      </c>
      <c r="B6" s="101" t="s">
        <v>7</v>
      </c>
      <c r="C6" s="101" t="s">
        <v>7</v>
      </c>
      <c r="D6" s="101" t="s">
        <v>7</v>
      </c>
      <c r="E6" s="101" t="s">
        <v>7</v>
      </c>
      <c r="F6" s="101" t="s">
        <v>7</v>
      </c>
      <c r="G6" s="101" t="s">
        <v>7</v>
      </c>
      <c r="H6" s="101" t="s">
        <v>7</v>
      </c>
      <c r="I6" s="101"/>
      <c r="J6" s="101"/>
      <c r="K6" s="101"/>
    </row>
    <row r="7" spans="1:11" x14ac:dyDescent="0.25">
      <c r="A7" s="27" t="s">
        <v>122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 t="s">
        <v>7</v>
      </c>
      <c r="J7" s="101"/>
      <c r="K7" s="101"/>
    </row>
    <row r="8" spans="1:11" x14ac:dyDescent="0.25">
      <c r="A8" s="27" t="s">
        <v>123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 t="s">
        <v>7</v>
      </c>
      <c r="J8" s="101"/>
      <c r="K8" s="101"/>
    </row>
    <row r="9" spans="1:11" x14ac:dyDescent="0.25">
      <c r="A9" s="27" t="s">
        <v>124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 t="s">
        <v>7</v>
      </c>
      <c r="J9" s="101"/>
      <c r="K9" s="101"/>
    </row>
    <row r="10" spans="1:11" x14ac:dyDescent="0.25">
      <c r="A10" s="27" t="s">
        <v>125</v>
      </c>
      <c r="B10" s="101"/>
      <c r="C10" s="101" t="s">
        <v>7</v>
      </c>
      <c r="D10" s="101"/>
      <c r="E10" s="101"/>
      <c r="F10" s="101"/>
      <c r="G10" s="101"/>
      <c r="H10" s="101" t="s">
        <v>7</v>
      </c>
      <c r="I10" s="101" t="s">
        <v>7</v>
      </c>
      <c r="J10" s="101"/>
      <c r="K10" s="101"/>
    </row>
    <row r="11" spans="1:11" x14ac:dyDescent="0.25">
      <c r="A11" s="27" t="s">
        <v>69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 t="s">
        <v>7</v>
      </c>
      <c r="K11" s="101" t="s">
        <v>7</v>
      </c>
    </row>
    <row r="12" spans="1:11" x14ac:dyDescent="0.25">
      <c r="A12" s="27" t="s">
        <v>70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 t="s">
        <v>7</v>
      </c>
    </row>
    <row r="13" spans="1:11" x14ac:dyDescent="0.25">
      <c r="A13" s="27" t="s">
        <v>71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 t="s">
        <v>7</v>
      </c>
    </row>
    <row r="14" spans="1:11" x14ac:dyDescent="0.25">
      <c r="A14" s="27" t="s">
        <v>72</v>
      </c>
      <c r="B14" s="101"/>
      <c r="C14" s="101" t="s">
        <v>7</v>
      </c>
      <c r="D14" s="101"/>
      <c r="E14" s="101"/>
      <c r="F14" s="101"/>
      <c r="G14" s="101"/>
      <c r="H14" s="101"/>
      <c r="I14" s="101"/>
      <c r="J14" s="101"/>
      <c r="K14" s="101" t="s">
        <v>7</v>
      </c>
    </row>
  </sheetData>
  <sheetProtection algorithmName="SHA-512" hashValue="JXNSv5CHaWrJwYl/igEU/oJV0f+GLV7XnY3STGouXRIjLH2zaXGiq+nQEJEhCxK1Drg3P1W9uxMgtSm9oOv5Nw==" saltValue="l8js7r/D6t94t3L9suV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231</v>
      </c>
      <c r="B1" s="29" t="s">
        <v>152</v>
      </c>
      <c r="C1" s="29" t="s">
        <v>164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10" ht="13" x14ac:dyDescent="0.3">
      <c r="A2" s="29" t="s">
        <v>232</v>
      </c>
      <c r="B2" s="117" t="s">
        <v>100</v>
      </c>
      <c r="C2" s="27" t="s">
        <v>153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154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109</v>
      </c>
      <c r="C5" s="27" t="s">
        <v>153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154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96</v>
      </c>
      <c r="C8" s="27" t="s">
        <v>153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154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97</v>
      </c>
      <c r="C11" s="27" t="s">
        <v>153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154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98</v>
      </c>
      <c r="C14" s="27" t="s">
        <v>153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154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156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233</v>
      </c>
      <c r="B19" s="117" t="s">
        <v>100</v>
      </c>
      <c r="C19" s="27" t="s">
        <v>153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154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109</v>
      </c>
      <c r="C22" s="27" t="s">
        <v>153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154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96</v>
      </c>
      <c r="C25" s="27" t="s">
        <v>153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154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97</v>
      </c>
      <c r="C28" s="27" t="s">
        <v>153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154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98</v>
      </c>
      <c r="C31" s="27" t="s">
        <v>153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154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156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234</v>
      </c>
      <c r="B36" s="117" t="s">
        <v>100</v>
      </c>
      <c r="C36" s="27" t="s">
        <v>153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154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109</v>
      </c>
      <c r="C39" s="27" t="s">
        <v>153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154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96</v>
      </c>
      <c r="C42" s="27" t="s">
        <v>153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154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97</v>
      </c>
      <c r="C45" s="27" t="s">
        <v>153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154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98</v>
      </c>
      <c r="C48" s="27" t="s">
        <v>153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154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156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231</v>
      </c>
      <c r="B54" s="29" t="s">
        <v>152</v>
      </c>
      <c r="C54" s="29" t="s">
        <v>164</v>
      </c>
      <c r="D54" s="29" t="s">
        <v>109</v>
      </c>
      <c r="E54" s="29" t="s">
        <v>96</v>
      </c>
      <c r="F54" s="29" t="s">
        <v>97</v>
      </c>
      <c r="G54" s="29" t="s">
        <v>98</v>
      </c>
      <c r="H54" s="29" t="s">
        <v>99</v>
      </c>
    </row>
    <row r="55" spans="1:8" ht="13" x14ac:dyDescent="0.3">
      <c r="A55" s="29" t="s">
        <v>236</v>
      </c>
      <c r="B55" s="117" t="s">
        <v>100</v>
      </c>
      <c r="C55" s="27" t="s">
        <v>153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154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109</v>
      </c>
      <c r="C58" s="27" t="s">
        <v>153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154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96</v>
      </c>
      <c r="C61" s="27" t="s">
        <v>153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154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97</v>
      </c>
      <c r="C64" s="27" t="s">
        <v>153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154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98</v>
      </c>
      <c r="C67" s="27" t="s">
        <v>153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154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156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237</v>
      </c>
      <c r="B72" s="117" t="s">
        <v>100</v>
      </c>
      <c r="C72" s="27" t="s">
        <v>153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154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109</v>
      </c>
      <c r="C75" s="27" t="s">
        <v>153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154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96</v>
      </c>
      <c r="C78" s="27" t="s">
        <v>153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154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97</v>
      </c>
      <c r="C81" s="27" t="s">
        <v>153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154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98</v>
      </c>
      <c r="C84" s="27" t="s">
        <v>153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154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156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238</v>
      </c>
      <c r="B89" s="117" t="s">
        <v>100</v>
      </c>
      <c r="C89" s="27" t="s">
        <v>153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154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109</v>
      </c>
      <c r="C92" s="27" t="s">
        <v>153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154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96</v>
      </c>
      <c r="C95" s="27" t="s">
        <v>153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154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97</v>
      </c>
      <c r="C98" s="27" t="s">
        <v>153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154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98</v>
      </c>
      <c r="C101" s="27" t="s">
        <v>153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154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156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239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231</v>
      </c>
      <c r="B107" s="29" t="s">
        <v>152</v>
      </c>
      <c r="C107" s="29" t="s">
        <v>164</v>
      </c>
      <c r="D107" s="29" t="s">
        <v>109</v>
      </c>
      <c r="E107" s="29" t="s">
        <v>96</v>
      </c>
      <c r="F107" s="29" t="s">
        <v>97</v>
      </c>
      <c r="G107" s="29" t="s">
        <v>98</v>
      </c>
      <c r="H107" s="29" t="s">
        <v>99</v>
      </c>
    </row>
    <row r="108" spans="1:8" ht="13" x14ac:dyDescent="0.3">
      <c r="A108" s="29" t="s">
        <v>240</v>
      </c>
      <c r="B108" s="117" t="s">
        <v>100</v>
      </c>
      <c r="C108" s="27" t="s">
        <v>153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154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109</v>
      </c>
      <c r="C111" s="27" t="s">
        <v>153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154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96</v>
      </c>
      <c r="C114" s="27" t="s">
        <v>153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154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155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97</v>
      </c>
      <c r="C117" s="27" t="s">
        <v>153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154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155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98</v>
      </c>
      <c r="C120" s="27" t="s">
        <v>153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154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155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156</v>
      </c>
      <c r="C123" s="27" t="s">
        <v>155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241</v>
      </c>
      <c r="B125" s="117" t="s">
        <v>100</v>
      </c>
      <c r="C125" s="27" t="s">
        <v>153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154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155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109</v>
      </c>
      <c r="C128" s="27" t="s">
        <v>153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154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155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96</v>
      </c>
      <c r="C131" s="27" t="s">
        <v>153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154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155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97</v>
      </c>
      <c r="C134" s="27" t="s">
        <v>153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154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155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98</v>
      </c>
      <c r="C137" s="27" t="s">
        <v>153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154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155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156</v>
      </c>
      <c r="C140" s="27" t="s">
        <v>155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242</v>
      </c>
      <c r="B142" s="117" t="s">
        <v>100</v>
      </c>
      <c r="C142" s="27" t="s">
        <v>153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154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155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109</v>
      </c>
      <c r="C145" s="27" t="s">
        <v>153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154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155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96</v>
      </c>
      <c r="C148" s="27" t="s">
        <v>153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154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155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97</v>
      </c>
      <c r="C151" s="27" t="s">
        <v>153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154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155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98</v>
      </c>
      <c r="C154" s="27" t="s">
        <v>153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154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155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156</v>
      </c>
      <c r="C157" s="27" t="s">
        <v>155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uWYAnvDgJ5vIc4Ld1c5SLfilnndhq6nLzoaHloCYk/+7IxlRAZ9gib+OJ2TCjnnWVs0+JHIhw05mE4Pgtx2Wbg==" saltValue="NUI9Xt2O7LiyweWoLDoeJ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243</v>
      </c>
    </row>
    <row r="2" spans="1:6" ht="15.75" customHeight="1" x14ac:dyDescent="0.3">
      <c r="B2" s="80"/>
      <c r="C2" s="81" t="s">
        <v>54</v>
      </c>
      <c r="D2" s="82" t="s">
        <v>53</v>
      </c>
      <c r="E2" s="82" t="s">
        <v>52</v>
      </c>
      <c r="F2" s="82" t="s">
        <v>51</v>
      </c>
    </row>
    <row r="3" spans="1:6" ht="15.75" customHeight="1" x14ac:dyDescent="0.3">
      <c r="A3" s="29" t="s">
        <v>244</v>
      </c>
      <c r="B3" s="83"/>
      <c r="C3" s="84"/>
      <c r="D3" s="85"/>
      <c r="E3" s="85"/>
      <c r="F3" s="85"/>
    </row>
    <row r="4" spans="1:6" ht="15.75" customHeight="1" x14ac:dyDescent="0.25">
      <c r="B4" s="72" t="s">
        <v>37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38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39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40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249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245</v>
      </c>
      <c r="C11" s="87"/>
      <c r="D11" s="88"/>
      <c r="E11" s="88"/>
      <c r="F11" s="88"/>
    </row>
    <row r="12" spans="1:6" ht="15.75" customHeight="1" x14ac:dyDescent="0.3">
      <c r="A12" s="29" t="s">
        <v>246</v>
      </c>
      <c r="C12" s="86"/>
      <c r="D12" s="75"/>
      <c r="E12" s="75"/>
      <c r="F12" s="75"/>
    </row>
    <row r="13" spans="1:6" ht="15.75" customHeight="1" x14ac:dyDescent="0.25">
      <c r="B13" s="45" t="s">
        <v>247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119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120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248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78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79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80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81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82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83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84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85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243</v>
      </c>
    </row>
    <row r="29" spans="1:6" ht="15.75" customHeight="1" x14ac:dyDescent="0.3">
      <c r="B29" s="80"/>
      <c r="C29" s="81" t="s">
        <v>54</v>
      </c>
      <c r="D29" s="82" t="s">
        <v>53</v>
      </c>
      <c r="E29" s="82" t="s">
        <v>52</v>
      </c>
      <c r="F29" s="82" t="s">
        <v>51</v>
      </c>
    </row>
    <row r="30" spans="1:6" ht="15.75" customHeight="1" x14ac:dyDescent="0.3">
      <c r="A30" s="29" t="s">
        <v>250</v>
      </c>
      <c r="B30" s="83"/>
      <c r="C30" s="84"/>
      <c r="D30" s="85"/>
      <c r="E30" s="85"/>
      <c r="F30" s="85"/>
    </row>
    <row r="31" spans="1:6" ht="15.75" customHeight="1" x14ac:dyDescent="0.25">
      <c r="B31" s="72" t="s">
        <v>37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38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39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40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262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245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251</v>
      </c>
      <c r="C39" s="86"/>
      <c r="D39" s="75"/>
      <c r="E39" s="75"/>
      <c r="F39" s="75"/>
    </row>
    <row r="40" spans="1:6" ht="15.75" customHeight="1" x14ac:dyDescent="0.25">
      <c r="B40" s="45" t="s">
        <v>256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257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258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78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79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80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81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82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83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84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85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239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243</v>
      </c>
    </row>
    <row r="56" spans="1:6" ht="15.75" customHeight="1" x14ac:dyDescent="0.3">
      <c r="B56" s="80"/>
      <c r="C56" s="81" t="s">
        <v>54</v>
      </c>
      <c r="D56" s="82" t="s">
        <v>53</v>
      </c>
      <c r="E56" s="82" t="s">
        <v>52</v>
      </c>
      <c r="F56" s="82" t="s">
        <v>51</v>
      </c>
    </row>
    <row r="57" spans="1:6" ht="15.75" customHeight="1" x14ac:dyDescent="0.3">
      <c r="A57" s="29" t="s">
        <v>253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37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38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39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40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263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245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254</v>
      </c>
      <c r="C66" s="86"/>
      <c r="D66" s="75"/>
      <c r="E66" s="75"/>
      <c r="F66" s="75"/>
    </row>
    <row r="67" spans="1:6" ht="15.75" customHeight="1" x14ac:dyDescent="0.25">
      <c r="B67" s="45" t="s">
        <v>259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260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261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255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78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79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80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81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82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83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84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85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LsRT7ZobiY0D+Bkl4mijYKunHwECWckhbdZarIlZ8h/6GdYBoNX57ev2Gacc+M2JMJy0BVXqiY9paNPShhiVaA==" saltValue="lC74ADeIpxa+X+bJqLjb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264</v>
      </c>
    </row>
    <row r="2" spans="1:16" ht="13" x14ac:dyDescent="0.3">
      <c r="A2" s="92" t="s">
        <v>226</v>
      </c>
      <c r="B2" s="41" t="s">
        <v>265</v>
      </c>
      <c r="C2" s="41" t="s">
        <v>266</v>
      </c>
      <c r="D2" s="82" t="s">
        <v>109</v>
      </c>
      <c r="E2" s="82" t="s">
        <v>96</v>
      </c>
      <c r="F2" s="82" t="s">
        <v>97</v>
      </c>
      <c r="G2" s="82" t="s">
        <v>98</v>
      </c>
      <c r="H2" s="82" t="s">
        <v>99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87</v>
      </c>
      <c r="C3" s="31" t="s">
        <v>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267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268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269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88</v>
      </c>
      <c r="C7" s="31" t="s">
        <v>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267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268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269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9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267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268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269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91</v>
      </c>
      <c r="C15" s="31" t="s">
        <v>9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267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268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269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89</v>
      </c>
      <c r="C19" s="31" t="s">
        <v>9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267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268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269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95</v>
      </c>
      <c r="C23" s="31" t="s">
        <v>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267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268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269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278</v>
      </c>
    </row>
    <row r="29" spans="1:16" ht="13" x14ac:dyDescent="0.3">
      <c r="A29" s="92" t="s">
        <v>279</v>
      </c>
      <c r="B29" s="29" t="s">
        <v>265</v>
      </c>
      <c r="C29" s="29" t="s">
        <v>270</v>
      </c>
      <c r="D29" s="82" t="s">
        <v>109</v>
      </c>
      <c r="E29" s="82" t="s">
        <v>96</v>
      </c>
      <c r="F29" s="82" t="s">
        <v>97</v>
      </c>
      <c r="G29" s="82" t="s">
        <v>98</v>
      </c>
      <c r="H29" s="82" t="s">
        <v>99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87</v>
      </c>
      <c r="C30" s="31" t="s">
        <v>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267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209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208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88</v>
      </c>
      <c r="C34" s="31" t="s">
        <v>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267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209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208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267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209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208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91</v>
      </c>
      <c r="C42" s="31" t="s">
        <v>9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267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209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208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89</v>
      </c>
      <c r="C46" s="31" t="s">
        <v>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267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209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208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95</v>
      </c>
      <c r="C50" s="31" t="s">
        <v>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267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209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208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271</v>
      </c>
    </row>
    <row r="56" spans="1:16" ht="26" x14ac:dyDescent="0.3">
      <c r="A56" s="92" t="s">
        <v>121</v>
      </c>
      <c r="B56" s="29" t="s">
        <v>265</v>
      </c>
      <c r="C56" s="80" t="s">
        <v>272</v>
      </c>
      <c r="D56" s="82" t="s">
        <v>122</v>
      </c>
      <c r="E56" s="82" t="s">
        <v>123</v>
      </c>
      <c r="F56" s="82" t="s">
        <v>124</v>
      </c>
      <c r="G56" s="82" t="s">
        <v>125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101</v>
      </c>
      <c r="C57" s="31" t="s">
        <v>273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274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102</v>
      </c>
      <c r="C59" s="31" t="s">
        <v>273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274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273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274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275</v>
      </c>
    </row>
    <row r="65" spans="1:16" ht="26" x14ac:dyDescent="0.3">
      <c r="A65" s="92" t="s">
        <v>128</v>
      </c>
      <c r="B65" s="29" t="s">
        <v>265</v>
      </c>
      <c r="C65" s="80" t="s">
        <v>276</v>
      </c>
      <c r="D65" s="82" t="s">
        <v>109</v>
      </c>
      <c r="E65" s="82" t="s">
        <v>96</v>
      </c>
      <c r="F65" s="82" t="s">
        <v>97</v>
      </c>
      <c r="G65" s="82" t="s">
        <v>98</v>
      </c>
      <c r="H65" s="95" t="s">
        <v>99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78</v>
      </c>
      <c r="C66" s="31" t="s">
        <v>129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130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131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132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79</v>
      </c>
      <c r="C70" s="31" t="s">
        <v>129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130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131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132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80</v>
      </c>
      <c r="C74" s="31" t="s">
        <v>129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130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131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132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82</v>
      </c>
      <c r="C78" s="31" t="s">
        <v>129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130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131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132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87</v>
      </c>
      <c r="C82" s="31" t="s">
        <v>129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130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131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132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88</v>
      </c>
      <c r="C86" s="31" t="s">
        <v>129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130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131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132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129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130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131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132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89</v>
      </c>
      <c r="C94" s="31" t="s">
        <v>129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130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131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132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92</v>
      </c>
      <c r="C98" s="31" t="s">
        <v>129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130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131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132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277</v>
      </c>
    </row>
    <row r="104" spans="1:16" ht="26" x14ac:dyDescent="0.3">
      <c r="A104" s="92" t="s">
        <v>87</v>
      </c>
      <c r="B104" s="96" t="s">
        <v>132</v>
      </c>
      <c r="C104" s="80" t="s">
        <v>276</v>
      </c>
      <c r="D104" s="82" t="s">
        <v>109</v>
      </c>
      <c r="E104" s="82" t="s">
        <v>96</v>
      </c>
      <c r="F104" s="82" t="s">
        <v>97</v>
      </c>
      <c r="G104" s="82" t="s">
        <v>98</v>
      </c>
      <c r="H104" s="95" t="s">
        <v>99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129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130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131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132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264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226</v>
      </c>
      <c r="B112" s="41" t="s">
        <v>265</v>
      </c>
      <c r="C112" s="41" t="s">
        <v>266</v>
      </c>
      <c r="D112" s="82" t="s">
        <v>109</v>
      </c>
      <c r="E112" s="82" t="s">
        <v>96</v>
      </c>
      <c r="F112" s="82" t="s">
        <v>97</v>
      </c>
      <c r="G112" s="82" t="s">
        <v>98</v>
      </c>
      <c r="H112" s="82" t="s">
        <v>99</v>
      </c>
    </row>
    <row r="113" spans="1:8" ht="13" x14ac:dyDescent="0.3">
      <c r="A113" s="29"/>
      <c r="B113" s="27" t="s">
        <v>87</v>
      </c>
      <c r="C113" s="31" t="s">
        <v>9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267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268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269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88</v>
      </c>
      <c r="C117" s="31" t="s">
        <v>9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267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268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269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9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267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268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269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91</v>
      </c>
      <c r="C125" s="31" t="s">
        <v>9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267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268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269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89</v>
      </c>
      <c r="C129" s="31" t="s">
        <v>9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267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268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269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95</v>
      </c>
      <c r="C133" s="31" t="s">
        <v>9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267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268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269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278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279</v>
      </c>
      <c r="B139" s="29" t="s">
        <v>265</v>
      </c>
      <c r="C139" s="29" t="s">
        <v>270</v>
      </c>
      <c r="D139" s="82" t="s">
        <v>109</v>
      </c>
      <c r="E139" s="82" t="s">
        <v>96</v>
      </c>
      <c r="F139" s="82" t="s">
        <v>97</v>
      </c>
      <c r="G139" s="82" t="s">
        <v>98</v>
      </c>
      <c r="H139" s="82" t="s">
        <v>99</v>
      </c>
    </row>
    <row r="140" spans="1:8" ht="13" x14ac:dyDescent="0.3">
      <c r="A140" s="29"/>
      <c r="B140" s="27" t="s">
        <v>87</v>
      </c>
      <c r="C140" s="31" t="s">
        <v>9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267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209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208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88</v>
      </c>
      <c r="C144" s="31" t="s">
        <v>9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267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209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208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9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267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209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208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91</v>
      </c>
      <c r="C152" s="31" t="s">
        <v>9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267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209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208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89</v>
      </c>
      <c r="C156" s="31" t="s">
        <v>9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267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209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208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95</v>
      </c>
      <c r="C160" s="31" t="s">
        <v>9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267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209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208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271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121</v>
      </c>
      <c r="B166" s="29" t="s">
        <v>265</v>
      </c>
      <c r="C166" s="80" t="s">
        <v>272</v>
      </c>
      <c r="D166" s="82" t="s">
        <v>122</v>
      </c>
      <c r="E166" s="82" t="s">
        <v>123</v>
      </c>
      <c r="F166" s="82" t="s">
        <v>124</v>
      </c>
      <c r="G166" s="82" t="s">
        <v>125</v>
      </c>
      <c r="H166" s="93"/>
    </row>
    <row r="167" spans="1:8" ht="13" x14ac:dyDescent="0.3">
      <c r="A167" s="29"/>
      <c r="B167" s="27" t="s">
        <v>101</v>
      </c>
      <c r="C167" s="31" t="s">
        <v>273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274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102</v>
      </c>
      <c r="C169" s="31" t="s">
        <v>273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274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273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274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275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128</v>
      </c>
      <c r="B175" s="29" t="s">
        <v>265</v>
      </c>
      <c r="C175" s="80" t="s">
        <v>276</v>
      </c>
      <c r="D175" s="82" t="s">
        <v>109</v>
      </c>
      <c r="E175" s="82" t="s">
        <v>96</v>
      </c>
      <c r="F175" s="82" t="s">
        <v>97</v>
      </c>
      <c r="G175" s="82" t="s">
        <v>98</v>
      </c>
      <c r="H175" s="95" t="s">
        <v>99</v>
      </c>
    </row>
    <row r="176" spans="1:8" ht="13" x14ac:dyDescent="0.3">
      <c r="A176" s="96"/>
      <c r="B176" s="27" t="s">
        <v>78</v>
      </c>
      <c r="C176" s="31" t="s">
        <v>129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130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131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132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79</v>
      </c>
      <c r="C180" s="31" t="s">
        <v>129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130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131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132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80</v>
      </c>
      <c r="C184" s="31" t="s">
        <v>129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130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131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132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82</v>
      </c>
      <c r="C188" s="31" t="s">
        <v>129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130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131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132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87</v>
      </c>
      <c r="C192" s="31" t="s">
        <v>129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130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131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132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88</v>
      </c>
      <c r="C196" s="31" t="s">
        <v>129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130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131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132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129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130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131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132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89</v>
      </c>
      <c r="C204" s="31" t="s">
        <v>129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130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131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132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92</v>
      </c>
      <c r="C208" s="31" t="s">
        <v>129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130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131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132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277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87</v>
      </c>
      <c r="B214" s="96" t="s">
        <v>132</v>
      </c>
      <c r="C214" s="80" t="s">
        <v>276</v>
      </c>
      <c r="D214" s="82" t="s">
        <v>109</v>
      </c>
      <c r="E214" s="82" t="s">
        <v>96</v>
      </c>
      <c r="F214" s="82" t="s">
        <v>97</v>
      </c>
      <c r="G214" s="82" t="s">
        <v>98</v>
      </c>
      <c r="H214" s="95" t="s">
        <v>99</v>
      </c>
    </row>
    <row r="215" spans="1:9" ht="13" x14ac:dyDescent="0.3">
      <c r="A215" s="29"/>
      <c r="C215" s="31" t="s">
        <v>129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130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131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132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239</v>
      </c>
      <c r="H220" s="106"/>
    </row>
    <row r="221" spans="1:9" ht="13" x14ac:dyDescent="0.3">
      <c r="A221" s="78" t="s">
        <v>264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226</v>
      </c>
      <c r="B222" s="41" t="s">
        <v>265</v>
      </c>
      <c r="C222" s="41" t="s">
        <v>266</v>
      </c>
      <c r="D222" s="82" t="s">
        <v>109</v>
      </c>
      <c r="E222" s="82" t="s">
        <v>96</v>
      </c>
      <c r="F222" s="82" t="s">
        <v>97</v>
      </c>
      <c r="G222" s="82" t="s">
        <v>98</v>
      </c>
      <c r="H222" s="82" t="s">
        <v>99</v>
      </c>
      <c r="I222" s="93"/>
    </row>
    <row r="223" spans="1:9" ht="13" x14ac:dyDescent="0.3">
      <c r="A223" s="29"/>
      <c r="B223" s="27" t="s">
        <v>87</v>
      </c>
      <c r="C223" s="31" t="s">
        <v>9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267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268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269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88</v>
      </c>
      <c r="C227" s="31" t="s">
        <v>9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267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268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269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9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267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268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269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91</v>
      </c>
      <c r="C235" s="31" t="s">
        <v>9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267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268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269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89</v>
      </c>
      <c r="C239" s="31" t="s">
        <v>9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267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268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269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95</v>
      </c>
      <c r="C243" s="31" t="s">
        <v>9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267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268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269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278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279</v>
      </c>
      <c r="B249" s="29" t="s">
        <v>265</v>
      </c>
      <c r="C249" s="29" t="s">
        <v>270</v>
      </c>
      <c r="D249" s="82" t="s">
        <v>109</v>
      </c>
      <c r="E249" s="82" t="s">
        <v>96</v>
      </c>
      <c r="F249" s="82" t="s">
        <v>97</v>
      </c>
      <c r="G249" s="82" t="s">
        <v>98</v>
      </c>
      <c r="H249" s="82" t="s">
        <v>99</v>
      </c>
      <c r="I249" s="93"/>
    </row>
    <row r="250" spans="1:9" ht="13" x14ac:dyDescent="0.3">
      <c r="A250" s="29"/>
      <c r="B250" s="27" t="s">
        <v>87</v>
      </c>
      <c r="C250" s="31" t="s">
        <v>9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267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209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208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88</v>
      </c>
      <c r="C254" s="31" t="s">
        <v>9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267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209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208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9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267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209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208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91</v>
      </c>
      <c r="C262" s="31" t="s">
        <v>9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267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209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208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89</v>
      </c>
      <c r="C266" s="31" t="s">
        <v>9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267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209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208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95</v>
      </c>
      <c r="C270" s="31" t="s">
        <v>9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267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209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208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271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121</v>
      </c>
      <c r="B276" s="29" t="s">
        <v>265</v>
      </c>
      <c r="C276" s="80" t="s">
        <v>272</v>
      </c>
      <c r="D276" s="82" t="s">
        <v>122</v>
      </c>
      <c r="E276" s="82" t="s">
        <v>123</v>
      </c>
      <c r="F276" s="82" t="s">
        <v>124</v>
      </c>
      <c r="G276" s="82" t="s">
        <v>125</v>
      </c>
      <c r="H276" s="93"/>
    </row>
    <row r="277" spans="1:9" ht="13" x14ac:dyDescent="0.3">
      <c r="A277" s="29"/>
      <c r="B277" s="27" t="s">
        <v>101</v>
      </c>
      <c r="C277" s="31" t="s">
        <v>273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274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102</v>
      </c>
      <c r="C279" s="31" t="s">
        <v>273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274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273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274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275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128</v>
      </c>
      <c r="B285" s="29" t="s">
        <v>265</v>
      </c>
      <c r="C285" s="80" t="s">
        <v>276</v>
      </c>
      <c r="D285" s="82" t="s">
        <v>109</v>
      </c>
      <c r="E285" s="82" t="s">
        <v>96</v>
      </c>
      <c r="F285" s="82" t="s">
        <v>97</v>
      </c>
      <c r="G285" s="82" t="s">
        <v>98</v>
      </c>
      <c r="H285" s="95" t="s">
        <v>99</v>
      </c>
      <c r="I285" s="93"/>
    </row>
    <row r="286" spans="1:9" ht="13" x14ac:dyDescent="0.3">
      <c r="A286" s="96"/>
      <c r="B286" s="27" t="s">
        <v>78</v>
      </c>
      <c r="C286" s="31" t="s">
        <v>129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130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131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132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79</v>
      </c>
      <c r="C290" s="31" t="s">
        <v>129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130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131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132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80</v>
      </c>
      <c r="C294" s="31" t="s">
        <v>129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130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131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132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82</v>
      </c>
      <c r="C298" s="31" t="s">
        <v>129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130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131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132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87</v>
      </c>
      <c r="C302" s="31" t="s">
        <v>129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130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131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132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88</v>
      </c>
      <c r="C306" s="31" t="s">
        <v>129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130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131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132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129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130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131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132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89</v>
      </c>
      <c r="C314" s="31" t="s">
        <v>129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130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131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132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92</v>
      </c>
      <c r="C318" s="31" t="s">
        <v>129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130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131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132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277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87</v>
      </c>
      <c r="B324" s="96" t="s">
        <v>132</v>
      </c>
      <c r="C324" s="80" t="s">
        <v>276</v>
      </c>
      <c r="D324" s="82" t="s">
        <v>109</v>
      </c>
      <c r="E324" s="82" t="s">
        <v>96</v>
      </c>
      <c r="F324" s="82" t="s">
        <v>97</v>
      </c>
      <c r="G324" s="82" t="s">
        <v>98</v>
      </c>
      <c r="H324" s="95" t="s">
        <v>99</v>
      </c>
      <c r="I324" s="93"/>
    </row>
    <row r="325" spans="1:9" ht="13" x14ac:dyDescent="0.3">
      <c r="A325" s="29"/>
      <c r="C325" s="31" t="s">
        <v>129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130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131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132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1g90pY3sX26DL+B1wtkivg9UmN+LuBXadvT4HFjlPARr/X9Aa5aRhzWUrgjoU9q/YEwYU5a0KdVbpHQ1+nkX/g==" saltValue="sh2pDj3js0LtRrAsbTna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233</v>
      </c>
    </row>
    <row r="2" spans="1:7" ht="14.25" customHeight="1" x14ac:dyDescent="0.3">
      <c r="A2" s="96" t="s">
        <v>0</v>
      </c>
      <c r="B2" s="41"/>
      <c r="C2" s="29" t="s">
        <v>109</v>
      </c>
      <c r="D2" s="29" t="s">
        <v>96</v>
      </c>
      <c r="E2" s="29" t="s">
        <v>97</v>
      </c>
      <c r="F2" s="29" t="s">
        <v>98</v>
      </c>
      <c r="G2" s="29" t="s">
        <v>99</v>
      </c>
    </row>
    <row r="3" spans="1:7" ht="14.25" customHeight="1" x14ac:dyDescent="0.25">
      <c r="B3" s="45" t="s">
        <v>280</v>
      </c>
      <c r="C3" s="104" t="s">
        <v>10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281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282</v>
      </c>
    </row>
    <row r="6" spans="1:7" ht="14.25" customHeight="1" x14ac:dyDescent="0.25">
      <c r="B6" s="72" t="s">
        <v>192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185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205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286</v>
      </c>
    </row>
    <row r="12" spans="1:7" ht="14.25" customHeight="1" x14ac:dyDescent="0.3">
      <c r="A12" s="83"/>
      <c r="B12" s="45" t="s">
        <v>184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283</v>
      </c>
    </row>
    <row r="15" spans="1:7" ht="14.25" customHeight="1" x14ac:dyDescent="0.3">
      <c r="A15" s="96" t="s">
        <v>279</v>
      </c>
      <c r="B15" s="72" t="s">
        <v>284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287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121</v>
      </c>
      <c r="B17" s="45" t="s">
        <v>285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288</v>
      </c>
    </row>
    <row r="20" spans="1:7" s="83" customFormat="1" ht="14.25" customHeight="1" x14ac:dyDescent="0.3">
      <c r="C20" s="43" t="s">
        <v>69</v>
      </c>
      <c r="D20" s="43" t="s">
        <v>70</v>
      </c>
      <c r="E20" s="43" t="s">
        <v>71</v>
      </c>
      <c r="F20" s="43" t="s">
        <v>72</v>
      </c>
    </row>
    <row r="21" spans="1:7" x14ac:dyDescent="0.25">
      <c r="B21" s="45" t="s">
        <v>172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233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0</v>
      </c>
      <c r="B25" s="41"/>
      <c r="C25" s="29" t="s">
        <v>109</v>
      </c>
      <c r="D25" s="29" t="s">
        <v>96</v>
      </c>
      <c r="E25" s="29" t="s">
        <v>97</v>
      </c>
      <c r="F25" s="29" t="s">
        <v>98</v>
      </c>
      <c r="G25" s="29" t="s">
        <v>99</v>
      </c>
    </row>
    <row r="26" spans="1:7" x14ac:dyDescent="0.25">
      <c r="B26" s="45" t="s">
        <v>289</v>
      </c>
      <c r="C26" s="104" t="s">
        <v>10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290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291</v>
      </c>
    </row>
    <row r="29" spans="1:7" x14ac:dyDescent="0.25">
      <c r="B29" s="72" t="s">
        <v>292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293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315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294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295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296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283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279</v>
      </c>
      <c r="B38" s="72" t="s">
        <v>297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298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121</v>
      </c>
      <c r="B40" s="45" t="s">
        <v>299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300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69</v>
      </c>
      <c r="D43" s="43" t="s">
        <v>70</v>
      </c>
      <c r="E43" s="43" t="s">
        <v>71</v>
      </c>
      <c r="F43" s="43" t="s">
        <v>72</v>
      </c>
      <c r="G43" s="83"/>
    </row>
    <row r="44" spans="1:7" x14ac:dyDescent="0.25">
      <c r="B44" s="45" t="s">
        <v>301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239</v>
      </c>
    </row>
    <row r="47" spans="1:7" ht="13" x14ac:dyDescent="0.3">
      <c r="A47" s="78" t="s">
        <v>233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0</v>
      </c>
      <c r="B48" s="41"/>
      <c r="C48" s="29" t="s">
        <v>109</v>
      </c>
      <c r="D48" s="29" t="s">
        <v>96</v>
      </c>
      <c r="E48" s="29" t="s">
        <v>97</v>
      </c>
      <c r="F48" s="29" t="s">
        <v>98</v>
      </c>
      <c r="G48" s="29" t="s">
        <v>99</v>
      </c>
    </row>
    <row r="49" spans="1:7" x14ac:dyDescent="0.25">
      <c r="B49" s="45" t="s">
        <v>302</v>
      </c>
      <c r="C49" s="104" t="s">
        <v>10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303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304</v>
      </c>
    </row>
    <row r="52" spans="1:7" x14ac:dyDescent="0.25">
      <c r="B52" s="72" t="s">
        <v>305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306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316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307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308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309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283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279</v>
      </c>
      <c r="B61" s="72" t="s">
        <v>310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311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121</v>
      </c>
      <c r="B63" s="45" t="s">
        <v>312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313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69</v>
      </c>
      <c r="D66" s="43" t="s">
        <v>70</v>
      </c>
      <c r="E66" s="43" t="s">
        <v>71</v>
      </c>
      <c r="F66" s="43" t="s">
        <v>72</v>
      </c>
      <c r="G66" s="83"/>
    </row>
    <row r="67" spans="1:7" x14ac:dyDescent="0.25">
      <c r="B67" s="45" t="s">
        <v>314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HCMYLlJXp4dvbcZoxbrbW/Xa9j+rR4B/oXXY25v6kfx0LvyRTo8qCVVmea/ZLE5/98lmvJ8TawMCftTQLpWivw==" saltValue="JGgkS25mjuKoyv5f0wBq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160</v>
      </c>
      <c r="B1" s="29"/>
      <c r="C1" s="29" t="s">
        <v>51</v>
      </c>
      <c r="D1" s="29" t="s">
        <v>53</v>
      </c>
      <c r="E1" s="29" t="s">
        <v>52</v>
      </c>
      <c r="F1" s="41" t="s">
        <v>54</v>
      </c>
    </row>
    <row r="2" spans="1:6" ht="15.75" customHeight="1" x14ac:dyDescent="0.25">
      <c r="A2" s="72" t="s">
        <v>168</v>
      </c>
      <c r="B2" s="72" t="s">
        <v>317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318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180</v>
      </c>
      <c r="B4" s="72" t="s">
        <v>317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318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181</v>
      </c>
      <c r="B6" s="72" t="s">
        <v>317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318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182</v>
      </c>
      <c r="B8" s="72" t="s">
        <v>317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318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186</v>
      </c>
      <c r="B10" s="72" t="s">
        <v>317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318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190</v>
      </c>
      <c r="B12" s="72" t="s">
        <v>317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318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160</v>
      </c>
      <c r="B16" s="29"/>
      <c r="C16" s="29" t="s">
        <v>51</v>
      </c>
      <c r="D16" s="29" t="s">
        <v>53</v>
      </c>
      <c r="E16" s="29" t="s">
        <v>52</v>
      </c>
      <c r="F16" s="41" t="s">
        <v>54</v>
      </c>
    </row>
    <row r="17" spans="1:6" ht="15.75" customHeight="1" x14ac:dyDescent="0.25">
      <c r="A17" s="72" t="s">
        <v>168</v>
      </c>
      <c r="B17" s="72" t="s">
        <v>317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318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180</v>
      </c>
      <c r="B19" s="72" t="s">
        <v>317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318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181</v>
      </c>
      <c r="B21" s="72" t="s">
        <v>317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318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182</v>
      </c>
      <c r="B23" s="72" t="s">
        <v>317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318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186</v>
      </c>
      <c r="B25" s="72" t="s">
        <v>317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318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190</v>
      </c>
      <c r="B27" s="72" t="s">
        <v>317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318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239</v>
      </c>
    </row>
    <row r="31" spans="1:6" ht="15.75" customHeight="1" x14ac:dyDescent="0.3">
      <c r="A31" s="41" t="s">
        <v>160</v>
      </c>
      <c r="B31" s="29"/>
      <c r="C31" s="29" t="s">
        <v>51</v>
      </c>
      <c r="D31" s="29" t="s">
        <v>53</v>
      </c>
      <c r="E31" s="29" t="s">
        <v>52</v>
      </c>
      <c r="F31" s="41" t="s">
        <v>54</v>
      </c>
    </row>
    <row r="32" spans="1:6" ht="15.75" customHeight="1" x14ac:dyDescent="0.25">
      <c r="A32" s="72" t="s">
        <v>168</v>
      </c>
      <c r="B32" s="72" t="s">
        <v>317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318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180</v>
      </c>
      <c r="B34" s="72" t="s">
        <v>317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318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181</v>
      </c>
      <c r="B36" s="72" t="s">
        <v>317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318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182</v>
      </c>
      <c r="B38" s="72" t="s">
        <v>317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318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186</v>
      </c>
      <c r="B40" s="72" t="s">
        <v>317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318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190</v>
      </c>
      <c r="B42" s="72" t="s">
        <v>317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318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/rKioSXERQIk4hTercQQ7bRRzkWDj7FMLnnsWEdqp8myqe7dSJUu8QvpabnkNEJiE7b9nUO8jOCCuk+xSo0AlA==" saltValue="//bY5EkFLu5JaFMzfz8Y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109</v>
      </c>
      <c r="D1" s="82" t="s">
        <v>96</v>
      </c>
      <c r="E1" s="82" t="s">
        <v>97</v>
      </c>
      <c r="F1" s="82" t="s">
        <v>98</v>
      </c>
      <c r="G1" s="82" t="s">
        <v>99</v>
      </c>
      <c r="H1" s="82" t="s">
        <v>69</v>
      </c>
      <c r="I1" s="82" t="s">
        <v>70</v>
      </c>
      <c r="J1" s="82" t="s">
        <v>71</v>
      </c>
      <c r="K1" s="82" t="s">
        <v>72</v>
      </c>
      <c r="L1" s="82" t="s">
        <v>122</v>
      </c>
      <c r="M1" s="82" t="s">
        <v>123</v>
      </c>
      <c r="N1" s="82" t="s">
        <v>124</v>
      </c>
      <c r="O1" s="82" t="s">
        <v>125</v>
      </c>
    </row>
    <row r="2" spans="1:15" ht="13" x14ac:dyDescent="0.3">
      <c r="A2" s="29" t="s">
        <v>319</v>
      </c>
    </row>
    <row r="3" spans="1:15" x14ac:dyDescent="0.25">
      <c r="B3" s="45" t="s">
        <v>171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176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177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178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179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180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181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182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185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186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189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190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205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320</v>
      </c>
      <c r="B17" s="45"/>
    </row>
    <row r="18" spans="1:15" x14ac:dyDescent="0.25">
      <c r="B18" s="72" t="s">
        <v>173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174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175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183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26" x14ac:dyDescent="0.3">
      <c r="A24" s="29"/>
      <c r="B24" s="29"/>
      <c r="C24" s="82" t="s">
        <v>109</v>
      </c>
      <c r="D24" s="82" t="s">
        <v>96</v>
      </c>
      <c r="E24" s="82" t="s">
        <v>97</v>
      </c>
      <c r="F24" s="82" t="s">
        <v>98</v>
      </c>
      <c r="G24" s="82" t="s">
        <v>99</v>
      </c>
      <c r="H24" s="82" t="s">
        <v>69</v>
      </c>
      <c r="I24" s="82" t="s">
        <v>70</v>
      </c>
      <c r="J24" s="82" t="s">
        <v>71</v>
      </c>
      <c r="K24" s="82" t="s">
        <v>72</v>
      </c>
      <c r="L24" s="82" t="s">
        <v>122</v>
      </c>
      <c r="M24" s="82" t="s">
        <v>123</v>
      </c>
      <c r="N24" s="82" t="s">
        <v>124</v>
      </c>
      <c r="O24" s="82" t="s">
        <v>125</v>
      </c>
    </row>
    <row r="25" spans="1:15" ht="13" x14ac:dyDescent="0.3">
      <c r="A25" s="29" t="s">
        <v>321</v>
      </c>
    </row>
    <row r="26" spans="1:15" x14ac:dyDescent="0.25">
      <c r="B26" s="45" t="s">
        <v>171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176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177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178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179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180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182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185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186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189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190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205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323</v>
      </c>
      <c r="B40" s="45"/>
    </row>
    <row r="41" spans="1:15" x14ac:dyDescent="0.25">
      <c r="B41" s="72" t="s">
        <v>173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174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175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183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239</v>
      </c>
    </row>
    <row r="47" spans="1:15" ht="13" x14ac:dyDescent="0.3">
      <c r="A47" s="29"/>
      <c r="B47" s="29"/>
      <c r="C47" s="82" t="s">
        <v>109</v>
      </c>
      <c r="D47" s="82" t="s">
        <v>96</v>
      </c>
      <c r="E47" s="82" t="s">
        <v>97</v>
      </c>
      <c r="F47" s="82" t="s">
        <v>98</v>
      </c>
      <c r="G47" s="82" t="s">
        <v>99</v>
      </c>
      <c r="H47" s="82" t="s">
        <v>69</v>
      </c>
      <c r="I47" s="82" t="s">
        <v>70</v>
      </c>
      <c r="J47" s="82" t="s">
        <v>71</v>
      </c>
      <c r="K47" s="82" t="s">
        <v>72</v>
      </c>
      <c r="L47" s="82" t="s">
        <v>122</v>
      </c>
      <c r="M47" s="82" t="s">
        <v>123</v>
      </c>
      <c r="N47" s="82" t="s">
        <v>124</v>
      </c>
      <c r="O47" s="82" t="s">
        <v>125</v>
      </c>
    </row>
    <row r="48" spans="1:15" ht="13" x14ac:dyDescent="0.3">
      <c r="A48" s="29" t="s">
        <v>322</v>
      </c>
    </row>
    <row r="49" spans="1:15" x14ac:dyDescent="0.25">
      <c r="B49" s="45" t="s">
        <v>171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176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177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178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179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180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181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182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185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186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189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190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205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324</v>
      </c>
      <c r="B63" s="45"/>
    </row>
    <row r="64" spans="1:15" x14ac:dyDescent="0.25">
      <c r="B64" s="72" t="s">
        <v>173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174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175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183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KuTpi13PXfQLF8zN7148BWs80Bs4evBYZkl2GXdIQLtb0GaXqOUv9SuVMT1REs4LGqe+bY4Up0S92Wm2DuKCOg==" saltValue="utDJ4osX+VKpKn6MfocY+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109</v>
      </c>
      <c r="D1" s="29" t="s">
        <v>96</v>
      </c>
      <c r="E1" s="29" t="s">
        <v>97</v>
      </c>
      <c r="F1" s="29" t="s">
        <v>98</v>
      </c>
      <c r="G1" s="29" t="s">
        <v>99</v>
      </c>
    </row>
    <row r="2" spans="1:7" ht="13" x14ac:dyDescent="0.3">
      <c r="A2" s="29" t="s">
        <v>325</v>
      </c>
    </row>
    <row r="3" spans="1:7" x14ac:dyDescent="0.25">
      <c r="B3" s="45" t="s">
        <v>161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326</v>
      </c>
      <c r="B4" s="45"/>
      <c r="C4" s="97"/>
      <c r="D4" s="97"/>
      <c r="E4" s="97"/>
      <c r="F4" s="97"/>
      <c r="G4" s="97"/>
    </row>
    <row r="5" spans="1:7" x14ac:dyDescent="0.25">
      <c r="B5" s="72" t="s">
        <v>165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331</v>
      </c>
    </row>
    <row r="8" spans="1:7" ht="13" x14ac:dyDescent="0.3">
      <c r="A8" s="29"/>
      <c r="B8" s="41"/>
      <c r="C8" s="29" t="s">
        <v>109</v>
      </c>
      <c r="D8" s="29" t="s">
        <v>96</v>
      </c>
      <c r="E8" s="29" t="s">
        <v>97</v>
      </c>
      <c r="F8" s="29" t="s">
        <v>98</v>
      </c>
      <c r="G8" s="29" t="s">
        <v>99</v>
      </c>
    </row>
    <row r="9" spans="1:7" ht="13" x14ac:dyDescent="0.3">
      <c r="A9" s="29" t="s">
        <v>327</v>
      </c>
    </row>
    <row r="10" spans="1:7" x14ac:dyDescent="0.25">
      <c r="B10" s="45" t="s">
        <v>161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328</v>
      </c>
      <c r="B11" s="45"/>
      <c r="C11" s="97"/>
      <c r="D11" s="97"/>
      <c r="E11" s="97"/>
      <c r="F11" s="97"/>
      <c r="G11" s="97"/>
    </row>
    <row r="12" spans="1:7" x14ac:dyDescent="0.25">
      <c r="B12" s="72" t="s">
        <v>165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332</v>
      </c>
    </row>
    <row r="15" spans="1:7" ht="13" x14ac:dyDescent="0.3">
      <c r="A15" s="29"/>
      <c r="B15" s="41"/>
      <c r="C15" s="29" t="s">
        <v>109</v>
      </c>
      <c r="D15" s="29" t="s">
        <v>96</v>
      </c>
      <c r="E15" s="29" t="s">
        <v>97</v>
      </c>
      <c r="F15" s="29" t="s">
        <v>98</v>
      </c>
      <c r="G15" s="29" t="s">
        <v>99</v>
      </c>
    </row>
    <row r="16" spans="1:7" ht="13" x14ac:dyDescent="0.3">
      <c r="A16" s="29" t="s">
        <v>329</v>
      </c>
    </row>
    <row r="17" spans="1:7" x14ac:dyDescent="0.25">
      <c r="B17" s="45" t="s">
        <v>161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330</v>
      </c>
      <c r="B18" s="45"/>
      <c r="C18" s="97"/>
      <c r="D18" s="97"/>
      <c r="E18" s="97"/>
      <c r="F18" s="97"/>
      <c r="G18" s="97"/>
    </row>
    <row r="19" spans="1:7" x14ac:dyDescent="0.25">
      <c r="B19" s="72" t="s">
        <v>165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F6SldQtYN0BVQa1dQ3GbaJbClaqyt880P7h6nVqlwFVI/fapopUHQ8mfBd4907MgleT3Mbl5qiGqoDjUbKuog==" saltValue="syjEfwPSh5x9jBooO6Nw4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160</v>
      </c>
      <c r="B1" s="29" t="s">
        <v>333</v>
      </c>
      <c r="C1" s="96" t="s">
        <v>11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8" x14ac:dyDescent="0.25">
      <c r="A2" s="39" t="s">
        <v>193</v>
      </c>
      <c r="B2" s="39" t="s">
        <v>87</v>
      </c>
      <c r="C2" s="39" t="s">
        <v>334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335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336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192</v>
      </c>
      <c r="B5" s="39" t="s">
        <v>208</v>
      </c>
      <c r="C5" s="39" t="s">
        <v>334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336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209</v>
      </c>
      <c r="C7" s="39" t="s">
        <v>334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336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185</v>
      </c>
      <c r="B9" s="39" t="s">
        <v>208</v>
      </c>
      <c r="C9" s="39" t="s">
        <v>334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336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209</v>
      </c>
      <c r="C11" s="39" t="s">
        <v>334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336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205</v>
      </c>
      <c r="B13" s="39" t="s">
        <v>208</v>
      </c>
      <c r="C13" s="39" t="s">
        <v>334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336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209</v>
      </c>
      <c r="C15" s="39" t="s">
        <v>334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336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170</v>
      </c>
      <c r="B17" s="39" t="s">
        <v>208</v>
      </c>
      <c r="C17" s="39" t="s">
        <v>334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336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209</v>
      </c>
      <c r="C19" s="39" t="s">
        <v>334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336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175</v>
      </c>
      <c r="B21" s="39" t="s">
        <v>84</v>
      </c>
      <c r="C21" s="39" t="s">
        <v>334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335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173</v>
      </c>
      <c r="B23" s="39" t="s">
        <v>84</v>
      </c>
      <c r="C23" s="39" t="s">
        <v>334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335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174</v>
      </c>
      <c r="B25" s="39" t="s">
        <v>84</v>
      </c>
      <c r="C25" s="39" t="s">
        <v>334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335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197</v>
      </c>
      <c r="B27" s="39" t="s">
        <v>87</v>
      </c>
      <c r="C27" s="39" t="s">
        <v>334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335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336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198</v>
      </c>
      <c r="B30" s="39" t="s">
        <v>87</v>
      </c>
      <c r="C30" s="39" t="s">
        <v>334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335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336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196</v>
      </c>
      <c r="B33" s="39" t="s">
        <v>87</v>
      </c>
      <c r="C33" s="39" t="s">
        <v>334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335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336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195</v>
      </c>
      <c r="B36" s="39" t="s">
        <v>87</v>
      </c>
      <c r="C36" s="39" t="s">
        <v>334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335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336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194</v>
      </c>
      <c r="B39" s="39" t="s">
        <v>87</v>
      </c>
      <c r="C39" s="39" t="s">
        <v>334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335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336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200</v>
      </c>
      <c r="B42" s="39" t="s">
        <v>87</v>
      </c>
      <c r="C42" s="39" t="s">
        <v>334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335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336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88</v>
      </c>
      <c r="C45" s="39" t="s">
        <v>334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335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336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191</v>
      </c>
      <c r="B48" s="39" t="s">
        <v>87</v>
      </c>
      <c r="C48" s="39" t="s">
        <v>334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335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199</v>
      </c>
      <c r="B50" s="39" t="s">
        <v>87</v>
      </c>
      <c r="C50" s="39" t="s">
        <v>334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335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184</v>
      </c>
      <c r="B52" s="39" t="s">
        <v>82</v>
      </c>
      <c r="C52" s="39" t="s">
        <v>334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335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331</v>
      </c>
      <c r="B55" s="111"/>
      <c r="C55" s="111"/>
    </row>
    <row r="56" spans="1:8" ht="13" x14ac:dyDescent="0.3">
      <c r="A56" s="29" t="s">
        <v>160</v>
      </c>
      <c r="B56" s="29" t="s">
        <v>333</v>
      </c>
      <c r="C56" s="96" t="s">
        <v>11</v>
      </c>
      <c r="D56" s="29" t="s">
        <v>109</v>
      </c>
      <c r="E56" s="29" t="s">
        <v>96</v>
      </c>
      <c r="F56" s="29" t="s">
        <v>97</v>
      </c>
      <c r="G56" s="29" t="s">
        <v>98</v>
      </c>
      <c r="H56" s="29" t="s">
        <v>99</v>
      </c>
    </row>
    <row r="57" spans="1:8" x14ac:dyDescent="0.25">
      <c r="A57" s="39" t="s">
        <v>193</v>
      </c>
      <c r="B57" s="39" t="s">
        <v>87</v>
      </c>
      <c r="C57" s="39" t="s">
        <v>334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335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336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192</v>
      </c>
      <c r="B60" s="39" t="s">
        <v>208</v>
      </c>
      <c r="C60" s="39" t="s">
        <v>334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336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209</v>
      </c>
      <c r="C62" s="39" t="s">
        <v>334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336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185</v>
      </c>
      <c r="B64" s="39" t="s">
        <v>208</v>
      </c>
      <c r="C64" s="39" t="s">
        <v>334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336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209</v>
      </c>
      <c r="C66" s="39" t="s">
        <v>334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336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205</v>
      </c>
      <c r="B68" s="39" t="s">
        <v>208</v>
      </c>
      <c r="C68" s="39" t="s">
        <v>334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336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209</v>
      </c>
      <c r="C70" s="39" t="s">
        <v>334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336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170</v>
      </c>
      <c r="B72" s="39" t="s">
        <v>208</v>
      </c>
      <c r="C72" s="39" t="s">
        <v>334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336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209</v>
      </c>
      <c r="C74" s="39" t="s">
        <v>334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336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175</v>
      </c>
      <c r="B76" s="39" t="s">
        <v>84</v>
      </c>
      <c r="C76" s="39" t="s">
        <v>334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335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173</v>
      </c>
      <c r="B78" s="39" t="s">
        <v>84</v>
      </c>
      <c r="C78" s="39" t="s">
        <v>334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335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174</v>
      </c>
      <c r="B80" s="39" t="s">
        <v>84</v>
      </c>
      <c r="C80" s="39" t="s">
        <v>334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335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197</v>
      </c>
      <c r="B82" s="39" t="s">
        <v>87</v>
      </c>
      <c r="C82" s="39" t="s">
        <v>334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335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336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198</v>
      </c>
      <c r="B85" s="39" t="s">
        <v>87</v>
      </c>
      <c r="C85" s="39" t="s">
        <v>334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335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336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196</v>
      </c>
      <c r="B88" s="39" t="s">
        <v>87</v>
      </c>
      <c r="C88" s="39" t="s">
        <v>334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335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336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195</v>
      </c>
      <c r="B91" s="39" t="s">
        <v>87</v>
      </c>
      <c r="C91" s="39" t="s">
        <v>334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335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336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194</v>
      </c>
      <c r="B94" s="39" t="s">
        <v>87</v>
      </c>
      <c r="C94" s="39" t="s">
        <v>334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335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336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200</v>
      </c>
      <c r="B97" s="39" t="s">
        <v>87</v>
      </c>
      <c r="C97" s="39" t="s">
        <v>334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335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336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88</v>
      </c>
      <c r="C100" s="39" t="s">
        <v>334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335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336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191</v>
      </c>
      <c r="B103" s="39" t="s">
        <v>87</v>
      </c>
      <c r="C103" s="39" t="s">
        <v>334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335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199</v>
      </c>
      <c r="B105" s="39" t="s">
        <v>87</v>
      </c>
      <c r="C105" s="39" t="s">
        <v>334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335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184</v>
      </c>
      <c r="B107" s="39" t="s">
        <v>82</v>
      </c>
      <c r="C107" s="39" t="s">
        <v>334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335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332</v>
      </c>
      <c r="B110" s="111"/>
      <c r="C110" s="111"/>
    </row>
    <row r="111" spans="1:8" ht="13" x14ac:dyDescent="0.3">
      <c r="A111" s="29" t="s">
        <v>160</v>
      </c>
      <c r="B111" s="29" t="s">
        <v>333</v>
      </c>
      <c r="C111" s="96" t="s">
        <v>11</v>
      </c>
      <c r="D111" s="29" t="s">
        <v>109</v>
      </c>
      <c r="E111" s="29" t="s">
        <v>96</v>
      </c>
      <c r="F111" s="29" t="s">
        <v>97</v>
      </c>
      <c r="G111" s="29" t="s">
        <v>98</v>
      </c>
      <c r="H111" s="29" t="s">
        <v>99</v>
      </c>
    </row>
    <row r="112" spans="1:8" x14ac:dyDescent="0.25">
      <c r="A112" s="39" t="s">
        <v>193</v>
      </c>
      <c r="B112" s="39" t="s">
        <v>87</v>
      </c>
      <c r="C112" s="39" t="s">
        <v>334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335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336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192</v>
      </c>
      <c r="B115" s="39" t="s">
        <v>208</v>
      </c>
      <c r="C115" s="39" t="s">
        <v>334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336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209</v>
      </c>
      <c r="C117" s="39" t="s">
        <v>334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336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185</v>
      </c>
      <c r="B119" s="39" t="s">
        <v>208</v>
      </c>
      <c r="C119" s="39" t="s">
        <v>334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336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209</v>
      </c>
      <c r="C121" s="39" t="s">
        <v>334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336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205</v>
      </c>
      <c r="B123" s="39" t="s">
        <v>208</v>
      </c>
      <c r="C123" s="39" t="s">
        <v>334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336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209</v>
      </c>
      <c r="C125" s="39" t="s">
        <v>334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336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170</v>
      </c>
      <c r="B127" s="39" t="s">
        <v>208</v>
      </c>
      <c r="C127" s="39" t="s">
        <v>334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336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209</v>
      </c>
      <c r="C129" s="39" t="s">
        <v>334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336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175</v>
      </c>
      <c r="B131" s="39" t="s">
        <v>84</v>
      </c>
      <c r="C131" s="39" t="s">
        <v>334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335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173</v>
      </c>
      <c r="B133" s="39" t="s">
        <v>84</v>
      </c>
      <c r="C133" s="39" t="s">
        <v>334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335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174</v>
      </c>
      <c r="B135" s="39" t="s">
        <v>84</v>
      </c>
      <c r="C135" s="39" t="s">
        <v>334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335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197</v>
      </c>
      <c r="B137" s="39" t="s">
        <v>87</v>
      </c>
      <c r="C137" s="39" t="s">
        <v>334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335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336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198</v>
      </c>
      <c r="B140" s="39" t="s">
        <v>87</v>
      </c>
      <c r="C140" s="39" t="s">
        <v>334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335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336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196</v>
      </c>
      <c r="B143" s="39" t="s">
        <v>87</v>
      </c>
      <c r="C143" s="39" t="s">
        <v>334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335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336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195</v>
      </c>
      <c r="B146" s="39" t="s">
        <v>87</v>
      </c>
      <c r="C146" s="39" t="s">
        <v>334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335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336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194</v>
      </c>
      <c r="B149" s="39" t="s">
        <v>87</v>
      </c>
      <c r="C149" s="39" t="s">
        <v>334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335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336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200</v>
      </c>
      <c r="B152" s="39" t="s">
        <v>87</v>
      </c>
      <c r="C152" s="39" t="s">
        <v>334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335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336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88</v>
      </c>
      <c r="C155" s="39" t="s">
        <v>334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335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336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191</v>
      </c>
      <c r="B158" s="39" t="s">
        <v>87</v>
      </c>
      <c r="C158" s="39" t="s">
        <v>334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335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199</v>
      </c>
      <c r="B160" s="39" t="s">
        <v>87</v>
      </c>
      <c r="C160" s="39" t="s">
        <v>334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335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184</v>
      </c>
      <c r="B162" s="39" t="s">
        <v>82</v>
      </c>
      <c r="C162" s="39" t="s">
        <v>334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335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ZobVSkt+NhLVGk8JZKhnaUq9qKg5JdG2zxSf0rTCUcuNA2c5xkPpEGFLlRLX8sFm8Q5B2WfI0t9OXGZxd5K7KQ==" saltValue="QRrEb8ohOFg0BzQOt8sV+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160</v>
      </c>
      <c r="B1" s="41" t="s">
        <v>333</v>
      </c>
      <c r="C1" s="41"/>
      <c r="D1" s="29" t="s">
        <v>122</v>
      </c>
      <c r="E1" s="29" t="s">
        <v>123</v>
      </c>
      <c r="F1" s="29" t="s">
        <v>124</v>
      </c>
      <c r="G1" s="29" t="s">
        <v>125</v>
      </c>
      <c r="H1" s="29"/>
    </row>
    <row r="2" spans="1:8" x14ac:dyDescent="0.25">
      <c r="A2" s="31" t="s">
        <v>169</v>
      </c>
      <c r="B2" s="27" t="s">
        <v>104</v>
      </c>
      <c r="C2" s="31" t="s">
        <v>334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335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188</v>
      </c>
      <c r="B4" s="27" t="s">
        <v>104</v>
      </c>
      <c r="C4" s="31" t="s">
        <v>334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335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187</v>
      </c>
      <c r="B6" s="27" t="s">
        <v>104</v>
      </c>
      <c r="C6" s="31" t="s">
        <v>334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335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331</v>
      </c>
    </row>
    <row r="10" spans="1:8" ht="13" x14ac:dyDescent="0.3">
      <c r="A10" s="41" t="s">
        <v>160</v>
      </c>
      <c r="B10" s="41" t="s">
        <v>333</v>
      </c>
      <c r="C10" s="41"/>
      <c r="D10" s="29" t="s">
        <v>122</v>
      </c>
      <c r="E10" s="29" t="s">
        <v>123</v>
      </c>
      <c r="F10" s="29" t="s">
        <v>124</v>
      </c>
      <c r="G10" s="29" t="s">
        <v>125</v>
      </c>
    </row>
    <row r="11" spans="1:8" x14ac:dyDescent="0.25">
      <c r="A11" s="31" t="s">
        <v>169</v>
      </c>
      <c r="B11" s="27" t="s">
        <v>104</v>
      </c>
      <c r="C11" s="31" t="s">
        <v>334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335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188</v>
      </c>
      <c r="B13" s="27" t="s">
        <v>104</v>
      </c>
      <c r="C13" s="31" t="s">
        <v>334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335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187</v>
      </c>
      <c r="B15" s="27" t="s">
        <v>104</v>
      </c>
      <c r="C15" s="31" t="s">
        <v>334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335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332</v>
      </c>
    </row>
    <row r="19" spans="1:7" ht="13" x14ac:dyDescent="0.3">
      <c r="A19" s="41" t="s">
        <v>160</v>
      </c>
      <c r="B19" s="41" t="s">
        <v>333</v>
      </c>
      <c r="C19" s="41"/>
      <c r="D19" s="29" t="s">
        <v>122</v>
      </c>
      <c r="E19" s="29" t="s">
        <v>123</v>
      </c>
      <c r="F19" s="29" t="s">
        <v>124</v>
      </c>
      <c r="G19" s="29" t="s">
        <v>125</v>
      </c>
    </row>
    <row r="20" spans="1:7" x14ac:dyDescent="0.25">
      <c r="A20" s="31" t="s">
        <v>169</v>
      </c>
      <c r="B20" s="27" t="s">
        <v>104</v>
      </c>
      <c r="C20" s="31" t="s">
        <v>334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335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188</v>
      </c>
      <c r="B22" s="27" t="s">
        <v>104</v>
      </c>
      <c r="C22" s="31" t="s">
        <v>334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335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187</v>
      </c>
      <c r="B24" s="27" t="s">
        <v>104</v>
      </c>
      <c r="C24" s="31" t="s">
        <v>334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335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mfDb7DpCqqMk0TTsvWIB6j2jVFQrfjik1tKlYsc4WLk/hIB7dxFwZykribkHnyWzRCqB6SyDDDggMeeg+nznkw==" saltValue="i4MHYUK5XiwwOamBxsrZo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2024-08-06T08:36:54Z</dcterms:modified>
</cp:coreProperties>
</file>