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fr\"/>
    </mc:Choice>
  </mc:AlternateContent>
  <xr:revisionPtr revIDLastSave="0" documentId="8_{9B5A8AC4-E494-4138-A916-D1BE9F270C55}" xr6:coauthVersionLast="47" xr6:coauthVersionMax="47" xr10:uidLastSave="{00000000-0000-0000-0000-000000000000}"/>
  <bookViews>
    <workbookView xWindow="-110" yWindow="-110" windowWidth="19420" windowHeight="1030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B6371D6E-7D64-4A19-A4DA-D81C3077BC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<sst xmlns="http://schemas.openxmlformats.org/spreadsheetml/2006/main" count="2167" uniqueCount="369">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</sst>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bemx8kcV+BCiy04Lwq908cNwFodKA1BLok5k7G+VgfNx/hLCLUZWCjKOtVliiwu+L3YmuAodFVerjdRF2its1Q==" saltValue="KTLTNCashYo9JNKjGmacgA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eb9YkHq62q2h4Aao/klBqP3yjfsN1lk7TTXCh4Pu4NXLXtfd9lzwamutaQ5PSOZGHegSUHxjKezviK/l12Wxg==" saltValue="FImp7ygAL9tG5yMuUrRr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11"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sgaKwOaanyUrjKRv/Hmc9d3NNJiLtnP9V8uNHtwPJVwje+IvrSj9StBNr6eB+olLH4EYVAgZExoaqXMwJW0mmQ==" saltValue="sKnRwgUg2oC3XCmSD6ocY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132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137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9I8a+O0gqpoeNcKy8UBC+D6YpYWT7GWkuGqIBeMQfCHeTlraSw9+Os4YLFoa58M2DRruZl0RbRcqzl5z+ftUw==" saltValue="WV4g0x0G4ZWmIFdeMI8yAw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EpNhnREECot7OiyJCCBWnBJDgH18ajE29w6z6RHZMTe1/zigf+8TqcMTZ619FrcCY8Yk3489l+yLa6Y2rVz0sw==" saltValue="yn8wfh86Dv1W6uqtTrwtG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qFP7cnPO12WazEWQo4Qvgon5rhmyxTEhRGSl9hkWWaEbMODPBQHhofh5wHDQjh4e3ZGHcRdferWwZHcnqwRfIg==" saltValue="4UVn1D6sYbv06m23apVln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TWsN8NyfpnvvqF7p67U7STN0YWnEo2HVIMXoCxFZtMnxizcRjBK6EOK1BY4zpFieO8R/nfckMgHP28WVS4ZInw==" saltValue="r27rGyHR9jE9vy2veVtagA==" spinCount="100000" sheet="1" objects="1" scenarios="1" selectLockedCells="1"/>
  <phoneticPr fontId="27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TcqnPifnZOyc3T1Jp51RK8zsMCWlZTZcs6C3k4QQPvjbhXET9dz6Uu3Gy0P/kxDOkOgGut2rYaAI/sEf8evuWA==" saltValue="0xmxsO/Hf3dKGXRHpdla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nfG3EyDhlh75LpuCSyXgCFmMmT1SVbfIZZxh5yL7lrMmvsXZ5sjjyIKeYVVNn1B3f/Q4nstShKUD/Qa491XRng==" saltValue="g9/fjnr2P6if5gfiTplNz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3" zoomScale="70" zoomScaleNormal="70" workbookViewId="0">
      <selection activeCell="B32" sqref="B32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DyMxIbUTk59YKdjONNFv8xzpXWklRmt09qLcck//NA1zl2xsXAxR2IMwtXD1maO2IB5axO6iQTAapqyLOXcFhw==" saltValue="j5gX0knrIEStFbNjMJ9HZ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A2" sqref="A2:B7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221</v>
      </c>
      <c r="B5" s="62" t="s">
        <v>234</v>
      </c>
      <c r="C5" s="62"/>
    </row>
    <row r="6" spans="1:3" x14ac:dyDescent="0.25">
      <c r="A6" s="66" t="s">
        <v>218</v>
      </c>
      <c r="B6" s="67" t="s">
        <v>234</v>
      </c>
      <c r="C6" s="67"/>
    </row>
    <row r="7" spans="1:3" x14ac:dyDescent="0.25">
      <c r="A7" s="66" t="s">
        <v>229</v>
      </c>
      <c r="B7" s="67" t="s">
        <v>234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EsXwHB+gVa0AbiQU397t2JxDCqnyNHexvipDlnAoIYhRPIUg0PIaLsEs/wvvv30YYG4glRoZt4PPX/gDWb7XZQ==" saltValue="fXU+1SYodvBGg7jrXo30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z6dYab+7uuMW8CeaYqvwX3SL975x3TJ0lfHsiuklMl1oKpcnrKpujYryqJRKkIrRR2pgare1CpGDT+sempvfXQ==" saltValue="Lha/n+s9x0wgEJLq++UW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237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2UjolHaeUgoVQ1kEEQR0f0Y5nd71RFNMQZ9RLZ92n7aVhgcPhd8VaVDo3BPJkm7Niu5tfm38qZmUWrE1koeB8A==" saltValue="dTMXLu/BJ67a/dwhD/3L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F9" sqref="F9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DMZXiMJyx6eRzBaj7DtXwL/dqNIZi7G59MrKekdQQR/Wx3OUida4eDLfReZuq8fPiJdKq9/MyTUyzNHI3UQT1Q==" saltValue="oZk4uhWEAWi6aiHzlptJc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bd/ou1cNTorg+8fUZ+nacPCXWDdB0jIreQHWqhHQMSG2wWSsqxhgFmNiqPd2OpI50AWAHkDlgqDNmV/7dPozA==" saltValue="gxIo6+4sJkytAetjmOui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5NKKv+68I3TYxMe2qAa8ZP6CD+b9HWDju09EGnm4zx+hWCmAc/J9JpAtaO6h9zOsd0QDAuL9mzMNllNq5FRBpA==" saltValue="S2YLj9PNB4RA/iArCE8Cb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/zKD2i9+kEpbUZfJSeftZgkP59Z8maBYeIZbpPZ1xlhy5ZPR9g8kZpqZx3NqCE61ltvje3q9ytxbNW+/bvVyaw==" saltValue="yC6TWbcXZE4smSEiviJw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D17" sqref="D1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 t="s">
        <v>7</v>
      </c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eogy8/tMWXf4AX67zZd2qjjDYUPZ6jtdmnu/SULnZnrZHxTS2eZ0/sgN2Y0L+ARHk8sg97rgjdfPzI5sWaHVbw==" saltValue="la5CrRvTc6KxR203cNXjM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U0nwtCFMIBbDRH2TRmfJRllKNkStd2bAZDPsFiJCdUAeprdo3fjG5uUfekY/o+CpHzewMTz1BLolpt7BHBr6xQ==" saltValue="2anHVAqt3wORXfQ+morCE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h4TJ09Wr2V8XppjKSvxWpd1h8n08cW2TYCa05V79vE24Vf+tNe6/BY8bjps1Q0G3RQWRXXAtogpTKzZt6sotfg==" saltValue="v0SYcDj6SgGUiEsGdijE9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STay0tbQhpqEW9RTic9KCf5Xikq4AUjrjgjcaf4SDNh6xc2FpcPoBvdyhPVvrJAXJGzM9TwJUsSrfwAavpgafA==" saltValue="9eG2yv8N5haQOcJqRNjs3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UFOiRflxELkb9MCVxWUs1Q2GliSjOSlZqmgmtQlDiH+WFEKQjKFNG6MYo0YQAO1Tlp0Pkaq/+yAgweabSD1Uw==" saltValue="8zBk3UfvzIEtVbEt7l+P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PEohdj4ebJ6ZFLmjVEQeoOpYnpGS7W39uZ78SzlPlCojVvZxGrkm244Izt0zFHRxGDglDEwx32pcx5ky3VEZ0Q==" saltValue="Fe/OwrrrqdRGUK953yOz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GEhesZbxVuCEmdUCseZoUJbfd9oe1c7InbQvFk7J7QhDXIy6vlyGA+oL9K3oX8XjVWCh9d6s/BMNQk/pjelgYA==" saltValue="GgxbhyR/MUOxBbQoxKr/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qCr2z6GaEgn3Y/MIwFdG3hI8rfVY2sUAie04LdkLyIMCiUehPSPdXfUCBjyzNkcp1oWe9DxIIJLRKPAj/CuW6g==" saltValue="hoHDkacnzPxyXr+MTNh+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5Pbd4mpddAmtBaIDtszrTUUcA4YMhKHJtFSkGE0PeCCBzHWz/h6sipV/Xl6eSHE0jvGHM/j1niXPHvZZqTryjg==" saltValue="Q8roLrRiBrLiFur3xXfI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F4" sqref="F4:H4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368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366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199</v>
      </c>
      <c r="B19" s="39" t="s">
        <v>237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238</v>
      </c>
      <c r="C21" s="39" t="s">
        <v>365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367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204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202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203</v>
      </c>
      <c r="B27" s="39" t="s">
        <v>102</v>
      </c>
      <c r="C27" s="39" t="s">
        <v>365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366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226</v>
      </c>
      <c r="B29" s="39" t="s">
        <v>105</v>
      </c>
      <c r="C29" s="39" t="s">
        <v>365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366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367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227</v>
      </c>
      <c r="B32" s="39" t="s">
        <v>105</v>
      </c>
      <c r="C32" s="39" t="s">
        <v>365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366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367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225</v>
      </c>
      <c r="B35" s="39" t="s">
        <v>105</v>
      </c>
      <c r="C35" s="39" t="s">
        <v>365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366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367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224</v>
      </c>
      <c r="B38" s="39" t="s">
        <v>105</v>
      </c>
      <c r="C38" s="39" t="s">
        <v>365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366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367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223</v>
      </c>
      <c r="B41" s="39" t="s">
        <v>105</v>
      </c>
      <c r="C41" s="39" t="s">
        <v>365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366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367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229</v>
      </c>
      <c r="B44" s="39" t="s">
        <v>105</v>
      </c>
      <c r="C44" s="39" t="s">
        <v>365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366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367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106</v>
      </c>
      <c r="C47" s="39" t="s">
        <v>365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366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367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220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228</v>
      </c>
      <c r="B52" s="39" t="s">
        <v>105</v>
      </c>
      <c r="C52" s="39" t="s">
        <v>365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366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213</v>
      </c>
      <c r="B54" s="39" t="s">
        <v>100</v>
      </c>
      <c r="C54" s="39" t="s">
        <v>365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366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362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189</v>
      </c>
      <c r="B58" s="29" t="s">
        <v>364</v>
      </c>
      <c r="C58" s="96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39" t="s">
        <v>222</v>
      </c>
      <c r="B59" s="39" t="s">
        <v>105</v>
      </c>
      <c r="C59" s="39" t="s">
        <v>365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366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367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221</v>
      </c>
      <c r="B62" s="39" t="s">
        <v>237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238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214</v>
      </c>
      <c r="B66" s="39" t="s">
        <v>237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238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234</v>
      </c>
      <c r="B70" s="39" t="s">
        <v>237</v>
      </c>
      <c r="C70" s="39" t="s">
        <v>365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367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238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368</v>
      </c>
      <c r="C74" s="39" t="s">
        <v>365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366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199</v>
      </c>
      <c r="B76" s="39" t="s">
        <v>237</v>
      </c>
      <c r="C76" s="39" t="s">
        <v>365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367</v>
      </c>
      <c r="D77" s="120">
        <f t="shared" ref="D77:E80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238</v>
      </c>
      <c r="C78" s="39" t="s">
        <v>365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367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204</v>
      </c>
      <c r="B80" s="39" t="s">
        <v>102</v>
      </c>
      <c r="C80" s="39" t="s">
        <v>365</v>
      </c>
      <c r="D80" s="120">
        <f t="shared" si="1"/>
        <v>1</v>
      </c>
      <c r="E80" s="120">
        <f t="shared" si="1"/>
        <v>0</v>
      </c>
      <c r="F80" s="120">
        <f t="shared" ref="F80:H85" si="2">IF($C23="Affected fraction",F23,IF(F23=1,1,F23*0.9))</f>
        <v>0</v>
      </c>
      <c r="G80" s="120">
        <f t="shared" si="2"/>
        <v>0</v>
      </c>
      <c r="H80" s="120">
        <f t="shared" si="2"/>
        <v>0</v>
      </c>
    </row>
    <row r="81" spans="1:8" x14ac:dyDescent="0.25">
      <c r="C81" s="39" t="s">
        <v>366</v>
      </c>
      <c r="D81" s="120">
        <v>0.11</v>
      </c>
      <c r="E81" s="120">
        <f>IF($C24="Affected fraction",E24,IF(E24=1,1,E24*0.9))</f>
        <v>0</v>
      </c>
      <c r="F81" s="120">
        <f t="shared" si="2"/>
        <v>0</v>
      </c>
      <c r="G81" s="120">
        <f t="shared" si="2"/>
        <v>0</v>
      </c>
      <c r="H81" s="120">
        <f t="shared" si="2"/>
        <v>0</v>
      </c>
    </row>
    <row r="82" spans="1:8" x14ac:dyDescent="0.25">
      <c r="A82" s="39" t="s">
        <v>202</v>
      </c>
      <c r="B82" s="39" t="s">
        <v>102</v>
      </c>
      <c r="C82" s="39" t="s">
        <v>365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2"/>
        <v>0</v>
      </c>
      <c r="G82" s="120">
        <f t="shared" si="2"/>
        <v>0</v>
      </c>
      <c r="H82" s="120">
        <f t="shared" si="2"/>
        <v>0</v>
      </c>
    </row>
    <row r="83" spans="1:8" x14ac:dyDescent="0.25">
      <c r="C83" s="39" t="s">
        <v>366</v>
      </c>
      <c r="D83" s="120">
        <v>0.11</v>
      </c>
      <c r="E83" s="120">
        <f>IF($C26="Affected fraction",E26,IF(E26=1,1,E26*0.9))</f>
        <v>0</v>
      </c>
      <c r="F83" s="120">
        <f t="shared" si="2"/>
        <v>0</v>
      </c>
      <c r="G83" s="120">
        <f t="shared" si="2"/>
        <v>0</v>
      </c>
      <c r="H83" s="120">
        <f t="shared" si="2"/>
        <v>0</v>
      </c>
    </row>
    <row r="84" spans="1:8" x14ac:dyDescent="0.25">
      <c r="A84" s="39" t="s">
        <v>203</v>
      </c>
      <c r="B84" s="39" t="s">
        <v>102</v>
      </c>
      <c r="C84" s="39" t="s">
        <v>365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2"/>
        <v>0</v>
      </c>
      <c r="G84" s="120">
        <f t="shared" si="2"/>
        <v>0</v>
      </c>
      <c r="H84" s="120">
        <f t="shared" si="2"/>
        <v>0</v>
      </c>
    </row>
    <row r="85" spans="1:8" x14ac:dyDescent="0.25">
      <c r="C85" s="39" t="s">
        <v>366</v>
      </c>
      <c r="D85" s="120">
        <v>0.11</v>
      </c>
      <c r="E85" s="120">
        <f>IF($C28="Affected fraction",E28,IF(E28=1,1,E28*0.9))</f>
        <v>0</v>
      </c>
      <c r="F85" s="120">
        <f t="shared" si="2"/>
        <v>0</v>
      </c>
      <c r="G85" s="120">
        <f t="shared" si="2"/>
        <v>0</v>
      </c>
      <c r="H85" s="120">
        <f t="shared" si="2"/>
        <v>0</v>
      </c>
    </row>
    <row r="86" spans="1:8" x14ac:dyDescent="0.25">
      <c r="A86" s="39" t="s">
        <v>226</v>
      </c>
      <c r="B86" s="39" t="s">
        <v>105</v>
      </c>
      <c r="C86" s="39" t="s">
        <v>365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366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367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227</v>
      </c>
      <c r="B89" s="39" t="s">
        <v>105</v>
      </c>
      <c r="C89" s="39" t="s">
        <v>365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366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367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225</v>
      </c>
      <c r="B92" s="39" t="s">
        <v>105</v>
      </c>
      <c r="C92" s="39" t="s">
        <v>365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366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367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224</v>
      </c>
      <c r="B95" s="39" t="s">
        <v>105</v>
      </c>
      <c r="C95" s="39" t="s">
        <v>365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366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367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223</v>
      </c>
      <c r="B98" s="39" t="s">
        <v>105</v>
      </c>
      <c r="C98" s="39" t="s">
        <v>365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366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367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229</v>
      </c>
      <c r="B101" s="39" t="s">
        <v>105</v>
      </c>
      <c r="C101" s="39" t="s">
        <v>365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366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367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106</v>
      </c>
      <c r="C104" s="39" t="s">
        <v>365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366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367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220</v>
      </c>
      <c r="B107" s="39" t="s">
        <v>105</v>
      </c>
      <c r="C107" s="39" t="s">
        <v>365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366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228</v>
      </c>
      <c r="B109" s="39" t="s">
        <v>105</v>
      </c>
      <c r="C109" s="39" t="s">
        <v>365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366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213</v>
      </c>
      <c r="B111" s="39" t="s">
        <v>100</v>
      </c>
      <c r="C111" s="39" t="s">
        <v>365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366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363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189</v>
      </c>
      <c r="B115" s="29" t="s">
        <v>364</v>
      </c>
      <c r="C115" s="96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39" t="s">
        <v>222</v>
      </c>
      <c r="B116" s="39" t="s">
        <v>105</v>
      </c>
      <c r="C116" s="39" t="s">
        <v>365</v>
      </c>
      <c r="D116" s="120">
        <f t="shared" ref="D116:E118" si="3">IF($C2="Affected fraction",D2,IF(D2=1,1,D2*1.05))</f>
        <v>0</v>
      </c>
      <c r="E116" s="120">
        <f t="shared" si="3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366</v>
      </c>
      <c r="D117" s="120">
        <f t="shared" si="3"/>
        <v>0</v>
      </c>
      <c r="E117" s="120">
        <f t="shared" si="3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367</v>
      </c>
      <c r="D118" s="120">
        <f t="shared" si="3"/>
        <v>0</v>
      </c>
      <c r="E118" s="120">
        <f t="shared" si="3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221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238</v>
      </c>
      <c r="C125" s="39" t="s">
        <v>365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367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234</v>
      </c>
      <c r="B127" s="39" t="s">
        <v>237</v>
      </c>
      <c r="C127" s="39" t="s">
        <v>365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367</v>
      </c>
      <c r="D128" s="120">
        <f t="shared" ref="D128:E130" si="4">IF($C14="Affected fraction",D14,IF(D14=1,1,D14*1.05))</f>
        <v>0</v>
      </c>
      <c r="E128" s="120">
        <f t="shared" si="4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238</v>
      </c>
      <c r="C129" s="39" t="s">
        <v>365</v>
      </c>
      <c r="D129" s="120">
        <f t="shared" si="4"/>
        <v>0</v>
      </c>
      <c r="E129" s="120">
        <f t="shared" si="4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367</v>
      </c>
      <c r="D130" s="120">
        <f t="shared" si="4"/>
        <v>0</v>
      </c>
      <c r="E130" s="120">
        <f t="shared" si="4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368</v>
      </c>
      <c r="C131" s="39" t="s">
        <v>365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366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199</v>
      </c>
      <c r="B133" s="39" t="s">
        <v>237</v>
      </c>
      <c r="C133" s="39" t="s">
        <v>365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367</v>
      </c>
      <c r="D134" s="120">
        <f t="shared" ref="D134:E136" si="5">IF($C20="Affected fraction",D20,IF(D20=1,1,D20*1.05))</f>
        <v>0</v>
      </c>
      <c r="E134" s="120">
        <f t="shared" si="5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238</v>
      </c>
      <c r="C135" s="39" t="s">
        <v>365</v>
      </c>
      <c r="D135" s="120">
        <f t="shared" si="5"/>
        <v>0</v>
      </c>
      <c r="E135" s="120">
        <f t="shared" si="5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367</v>
      </c>
      <c r="D136" s="120">
        <f t="shared" si="5"/>
        <v>0</v>
      </c>
      <c r="E136" s="120">
        <f t="shared" si="5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204</v>
      </c>
      <c r="B137" s="39" t="s">
        <v>102</v>
      </c>
      <c r="C137" s="39" t="s">
        <v>365</v>
      </c>
      <c r="D137" s="120">
        <f>IF($C80="Affected fraction",D80,IF(D80=1,1,D80*0.9))</f>
        <v>1</v>
      </c>
      <c r="E137" s="120">
        <f t="shared" ref="E137:H142" si="6">IF($C23="Affected fraction",E23,IF(E23=1,1,E23*1.05))</f>
        <v>0</v>
      </c>
      <c r="F137" s="120">
        <f t="shared" si="6"/>
        <v>0</v>
      </c>
      <c r="G137" s="120">
        <f t="shared" si="6"/>
        <v>0</v>
      </c>
      <c r="H137" s="120">
        <f t="shared" si="6"/>
        <v>0</v>
      </c>
    </row>
    <row r="138" spans="1:8" x14ac:dyDescent="0.25">
      <c r="C138" s="39" t="s">
        <v>366</v>
      </c>
      <c r="D138" s="120">
        <v>0.16</v>
      </c>
      <c r="E138" s="120">
        <f t="shared" si="6"/>
        <v>0</v>
      </c>
      <c r="F138" s="120">
        <f t="shared" si="6"/>
        <v>0</v>
      </c>
      <c r="G138" s="120">
        <f t="shared" si="6"/>
        <v>0</v>
      </c>
      <c r="H138" s="120">
        <f t="shared" si="6"/>
        <v>0</v>
      </c>
    </row>
    <row r="139" spans="1:8" x14ac:dyDescent="0.25">
      <c r="A139" s="39" t="s">
        <v>202</v>
      </c>
      <c r="B139" s="39" t="s">
        <v>102</v>
      </c>
      <c r="C139" s="39" t="s">
        <v>365</v>
      </c>
      <c r="D139" s="120">
        <f>IF($C82="Affected fraction",D82,IF(D82=1,1,D82*0.9))</f>
        <v>1</v>
      </c>
      <c r="E139" s="120">
        <f t="shared" si="6"/>
        <v>0</v>
      </c>
      <c r="F139" s="120">
        <f t="shared" si="6"/>
        <v>0</v>
      </c>
      <c r="G139" s="120">
        <f t="shared" si="6"/>
        <v>0</v>
      </c>
      <c r="H139" s="120">
        <f t="shared" si="6"/>
        <v>0</v>
      </c>
    </row>
    <row r="140" spans="1:8" x14ac:dyDescent="0.25">
      <c r="C140" s="39" t="s">
        <v>366</v>
      </c>
      <c r="D140" s="120">
        <v>0.16</v>
      </c>
      <c r="E140" s="120">
        <f t="shared" si="6"/>
        <v>0</v>
      </c>
      <c r="F140" s="120">
        <f t="shared" si="6"/>
        <v>0</v>
      </c>
      <c r="G140" s="120">
        <f t="shared" si="6"/>
        <v>0</v>
      </c>
      <c r="H140" s="120">
        <f t="shared" si="6"/>
        <v>0</v>
      </c>
    </row>
    <row r="141" spans="1:8" x14ac:dyDescent="0.25">
      <c r="A141" s="39" t="s">
        <v>203</v>
      </c>
      <c r="B141" s="39" t="s">
        <v>102</v>
      </c>
      <c r="C141" s="39" t="s">
        <v>365</v>
      </c>
      <c r="D141" s="120">
        <f>IF($C84="Affected fraction",D84,IF(D84=1,1,D84*0.9))</f>
        <v>1</v>
      </c>
      <c r="E141" s="120">
        <f t="shared" si="6"/>
        <v>0</v>
      </c>
      <c r="F141" s="120">
        <f t="shared" si="6"/>
        <v>0</v>
      </c>
      <c r="G141" s="120">
        <f t="shared" si="6"/>
        <v>0</v>
      </c>
      <c r="H141" s="120">
        <f t="shared" si="6"/>
        <v>0</v>
      </c>
    </row>
    <row r="142" spans="1:8" x14ac:dyDescent="0.25">
      <c r="C142" s="39" t="s">
        <v>366</v>
      </c>
      <c r="D142" s="120">
        <v>0.16</v>
      </c>
      <c r="E142" s="120">
        <f t="shared" si="6"/>
        <v>0</v>
      </c>
      <c r="F142" s="120">
        <f t="shared" si="6"/>
        <v>0</v>
      </c>
      <c r="G142" s="120">
        <f t="shared" si="6"/>
        <v>0</v>
      </c>
      <c r="H142" s="120">
        <f t="shared" si="6"/>
        <v>0</v>
      </c>
    </row>
    <row r="143" spans="1:8" x14ac:dyDescent="0.25">
      <c r="A143" s="39" t="s">
        <v>226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225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224</v>
      </c>
      <c r="B152" s="39" t="s">
        <v>105</v>
      </c>
      <c r="C152" s="39" t="s">
        <v>365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366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367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223</v>
      </c>
      <c r="B155" s="39" t="s">
        <v>105</v>
      </c>
      <c r="C155" s="39" t="s">
        <v>365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229</v>
      </c>
      <c r="B158" s="39" t="s">
        <v>105</v>
      </c>
      <c r="C158" s="39" t="s">
        <v>365</v>
      </c>
      <c r="D158" s="120">
        <f t="shared" ref="D158:H159" si="7">IF($C101="Affected fraction",D101,IF(D101=1,1,D101*0.9))</f>
        <v>0</v>
      </c>
      <c r="E158" s="120">
        <f t="shared" si="7"/>
        <v>1</v>
      </c>
      <c r="F158" s="120">
        <f t="shared" si="7"/>
        <v>1</v>
      </c>
      <c r="G158" s="120">
        <f t="shared" si="7"/>
        <v>1</v>
      </c>
      <c r="H158" s="120">
        <f t="shared" si="7"/>
        <v>1</v>
      </c>
    </row>
    <row r="159" spans="1:8" x14ac:dyDescent="0.25">
      <c r="C159" s="39" t="s">
        <v>366</v>
      </c>
      <c r="D159" s="120">
        <f t="shared" si="7"/>
        <v>0</v>
      </c>
      <c r="E159" s="120">
        <f t="shared" si="7"/>
        <v>0</v>
      </c>
      <c r="F159" s="120">
        <f t="shared" si="7"/>
        <v>0</v>
      </c>
      <c r="G159" s="120">
        <f t="shared" si="7"/>
        <v>0</v>
      </c>
      <c r="H159" s="120">
        <f t="shared" si="7"/>
        <v>0</v>
      </c>
    </row>
    <row r="160" spans="1:8" x14ac:dyDescent="0.25">
      <c r="C160" s="39" t="s">
        <v>367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106</v>
      </c>
      <c r="C161" s="39" t="s">
        <v>365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366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367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220</v>
      </c>
      <c r="B164" s="39" t="s">
        <v>105</v>
      </c>
      <c r="C164" s="39" t="s">
        <v>365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366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228</v>
      </c>
      <c r="B166" s="39" t="s">
        <v>105</v>
      </c>
      <c r="C166" s="39" t="s">
        <v>365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366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213</v>
      </c>
      <c r="B168" s="39" t="s">
        <v>100</v>
      </c>
      <c r="C168" s="39" t="s">
        <v>365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366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gG3jizObfIhl4l5heZK/Wt1+Ymn7/0GjHx0eF3jEBp9QgACMwQT0CbawlHByoIdkqw4Fv6IbsSGAETsTSxxmsQ==" saltValue="wKNo8OvDCX+0sCABO/Oo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Ch+MRcvdhme7m2wX2Dd0vXvQS5Tnf7XLYACqxM6PoXzaEs9+Y10Oojh9Fb80A06W6ZgvlEpKhyyvELeKsWwpHA==" saltValue="3RRjK7rQbzFTc//jGPCWZ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2026-04-29T04:30:15Z</dcterms:modified>
</cp:coreProperties>
</file>