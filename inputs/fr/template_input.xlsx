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8F637FE3-0860-4975-98B2-395B61A6C92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51" r:id="rId6"/>
    <sheet name="Perte économique" sheetId="74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G20" i="70"/>
  <c r="H20" i="70"/>
  <c r="I20" i="70"/>
  <c r="J20" i="70"/>
  <c r="K20" i="70"/>
  <c r="L20" i="70"/>
  <c r="M20" i="70"/>
  <c r="N20" i="70"/>
  <c r="O20" i="70"/>
  <c r="E20" i="70"/>
  <c r="F52" i="68"/>
  <c r="E52" i="68"/>
  <c r="F29" i="68"/>
  <c r="E29" i="68"/>
  <c r="C44" i="68"/>
  <c r="G12" i="2"/>
  <c r="H12" i="2"/>
  <c r="G13" i="2"/>
  <c r="H13" i="2"/>
  <c r="I13" i="2" s="1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H74" i="72"/>
  <c r="H129" i="72" s="1"/>
  <c r="I12" i="2" l="1"/>
  <c r="D42" i="69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E64" i="70"/>
  <c r="F64" i="70"/>
  <c r="G64" i="70"/>
  <c r="H64" i="70"/>
  <c r="I64" i="70"/>
  <c r="J64" i="70"/>
  <c r="K64" i="70"/>
  <c r="L64" i="70"/>
  <c r="M64" i="70"/>
  <c r="N64" i="70"/>
  <c r="O64" i="70"/>
  <c r="D65" i="70"/>
  <c r="D66" i="70"/>
  <c r="E66" i="70"/>
  <c r="F66" i="70"/>
  <c r="G66" i="70"/>
  <c r="H66" i="70"/>
  <c r="I66" i="70"/>
  <c r="J66" i="70"/>
  <c r="K66" i="70"/>
  <c r="L66" i="70"/>
  <c r="M66" i="70"/>
  <c r="N66" i="70"/>
  <c r="O66" i="70"/>
  <c r="D67" i="70"/>
  <c r="C65" i="70"/>
  <c r="C66" i="70"/>
  <c r="C67" i="70"/>
  <c r="C64" i="70"/>
  <c r="E49" i="70"/>
  <c r="F49" i="70"/>
  <c r="G49" i="70"/>
  <c r="H49" i="70"/>
  <c r="I49" i="70"/>
  <c r="J49" i="70"/>
  <c r="K49" i="70"/>
  <c r="L49" i="70"/>
  <c r="M49" i="70"/>
  <c r="N49" i="70"/>
  <c r="O49" i="70"/>
  <c r="D50" i="70"/>
  <c r="E50" i="70"/>
  <c r="F50" i="70"/>
  <c r="G50" i="70"/>
  <c r="L50" i="70"/>
  <c r="M50" i="70"/>
  <c r="N50" i="70"/>
  <c r="O50" i="70"/>
  <c r="D51" i="70"/>
  <c r="E51" i="70"/>
  <c r="F51" i="70"/>
  <c r="G51" i="70"/>
  <c r="L51" i="70"/>
  <c r="M51" i="70"/>
  <c r="N51" i="70"/>
  <c r="O51" i="70"/>
  <c r="D52" i="70"/>
  <c r="E52" i="70"/>
  <c r="F52" i="70"/>
  <c r="G52" i="70"/>
  <c r="L52" i="70"/>
  <c r="M52" i="70"/>
  <c r="N52" i="70"/>
  <c r="O52" i="70"/>
  <c r="D53" i="70"/>
  <c r="E53" i="70"/>
  <c r="F53" i="70"/>
  <c r="G53" i="70"/>
  <c r="L53" i="70"/>
  <c r="M53" i="70"/>
  <c r="N53" i="70"/>
  <c r="O53" i="70"/>
  <c r="D54" i="70"/>
  <c r="E54" i="70"/>
  <c r="F54" i="70"/>
  <c r="G54" i="70"/>
  <c r="H54" i="70"/>
  <c r="I54" i="70"/>
  <c r="J54" i="70"/>
  <c r="K54" i="70"/>
  <c r="D55" i="70"/>
  <c r="E55" i="70"/>
  <c r="F55" i="70"/>
  <c r="G55" i="70"/>
  <c r="H55" i="70"/>
  <c r="I55" i="70"/>
  <c r="J55" i="70"/>
  <c r="K55" i="70"/>
  <c r="D56" i="70"/>
  <c r="E56" i="70"/>
  <c r="F56" i="70"/>
  <c r="G56" i="70"/>
  <c r="H56" i="70"/>
  <c r="I56" i="70"/>
  <c r="J56" i="70"/>
  <c r="K56" i="70"/>
  <c r="D57" i="70"/>
  <c r="G57" i="70"/>
  <c r="H57" i="70"/>
  <c r="I57" i="70"/>
  <c r="J57" i="70"/>
  <c r="K57" i="70"/>
  <c r="L57" i="70"/>
  <c r="M57" i="70"/>
  <c r="N57" i="70"/>
  <c r="O57" i="70"/>
  <c r="D59" i="70"/>
  <c r="H59" i="70"/>
  <c r="I59" i="70"/>
  <c r="J59" i="70"/>
  <c r="K59" i="70"/>
  <c r="L59" i="70"/>
  <c r="M59" i="70"/>
  <c r="N59" i="70"/>
  <c r="O59" i="70"/>
  <c r="D60" i="70"/>
  <c r="E60" i="70"/>
  <c r="F60" i="70"/>
  <c r="G60" i="70"/>
  <c r="H60" i="70"/>
  <c r="I60" i="70"/>
  <c r="J60" i="70"/>
  <c r="K60" i="70"/>
  <c r="D61" i="70"/>
  <c r="G61" i="70"/>
  <c r="H61" i="70"/>
  <c r="I61" i="70"/>
  <c r="J61" i="70"/>
  <c r="K61" i="70"/>
  <c r="L61" i="70"/>
  <c r="M61" i="70"/>
  <c r="N61" i="70"/>
  <c r="O61" i="70"/>
  <c r="C50" i="70"/>
  <c r="C51" i="70"/>
  <c r="C52" i="70"/>
  <c r="C53" i="70"/>
  <c r="C54" i="70"/>
  <c r="C55" i="70"/>
  <c r="C56" i="70"/>
  <c r="C57" i="70"/>
  <c r="C59" i="70"/>
  <c r="C60" i="70"/>
  <c r="C61" i="70"/>
  <c r="D41" i="70"/>
  <c r="E41" i="70"/>
  <c r="F41" i="70"/>
  <c r="G41" i="70"/>
  <c r="H41" i="70"/>
  <c r="I41" i="70"/>
  <c r="J41" i="70"/>
  <c r="K41" i="70"/>
  <c r="L41" i="70"/>
  <c r="M41" i="70"/>
  <c r="N41" i="70"/>
  <c r="O41" i="70"/>
  <c r="D42" i="70"/>
  <c r="D43" i="70"/>
  <c r="E43" i="70"/>
  <c r="F43" i="70"/>
  <c r="G43" i="70"/>
  <c r="H43" i="70"/>
  <c r="I43" i="70"/>
  <c r="J43" i="70"/>
  <c r="K43" i="70"/>
  <c r="L43" i="70"/>
  <c r="M43" i="70"/>
  <c r="N43" i="70"/>
  <c r="O43" i="70"/>
  <c r="D44" i="70"/>
  <c r="C42" i="70"/>
  <c r="C43" i="70"/>
  <c r="C44" i="70"/>
  <c r="C41" i="70"/>
  <c r="E26" i="70"/>
  <c r="F26" i="70"/>
  <c r="G26" i="70"/>
  <c r="H26" i="70"/>
  <c r="I26" i="70"/>
  <c r="J26" i="70"/>
  <c r="K26" i="70"/>
  <c r="L26" i="70"/>
  <c r="M26" i="70"/>
  <c r="N26" i="70"/>
  <c r="O26" i="70"/>
  <c r="D27" i="70"/>
  <c r="E27" i="70"/>
  <c r="F27" i="70"/>
  <c r="G27" i="70"/>
  <c r="L27" i="70"/>
  <c r="M27" i="70"/>
  <c r="N27" i="70"/>
  <c r="O27" i="70"/>
  <c r="D28" i="70"/>
  <c r="E28" i="70"/>
  <c r="F28" i="70"/>
  <c r="G28" i="70"/>
  <c r="L28" i="70"/>
  <c r="M28" i="70"/>
  <c r="N28" i="70"/>
  <c r="O28" i="70"/>
  <c r="D29" i="70"/>
  <c r="E29" i="70"/>
  <c r="F29" i="70"/>
  <c r="G29" i="70"/>
  <c r="L29" i="70"/>
  <c r="M29" i="70"/>
  <c r="N29" i="70"/>
  <c r="O29" i="70"/>
  <c r="D30" i="70"/>
  <c r="E30" i="70"/>
  <c r="F30" i="70"/>
  <c r="G30" i="70"/>
  <c r="L30" i="70"/>
  <c r="M30" i="70"/>
  <c r="N30" i="70"/>
  <c r="O30" i="70"/>
  <c r="D31" i="70"/>
  <c r="E31" i="70"/>
  <c r="F31" i="70"/>
  <c r="G31" i="70"/>
  <c r="H31" i="70"/>
  <c r="I31" i="70"/>
  <c r="J31" i="70"/>
  <c r="K31" i="70"/>
  <c r="D32" i="70"/>
  <c r="E32" i="70"/>
  <c r="F32" i="70"/>
  <c r="G32" i="70"/>
  <c r="H32" i="70"/>
  <c r="I32" i="70"/>
  <c r="J32" i="70"/>
  <c r="K32" i="70"/>
  <c r="D33" i="70"/>
  <c r="E33" i="70"/>
  <c r="F33" i="70"/>
  <c r="G33" i="70"/>
  <c r="H33" i="70"/>
  <c r="I33" i="70"/>
  <c r="J33" i="70"/>
  <c r="K33" i="70"/>
  <c r="D34" i="70"/>
  <c r="H34" i="70"/>
  <c r="I34" i="70"/>
  <c r="J34" i="70"/>
  <c r="K34" i="70"/>
  <c r="L34" i="70"/>
  <c r="M34" i="70"/>
  <c r="N34" i="70"/>
  <c r="O34" i="70"/>
  <c r="D36" i="70"/>
  <c r="H36" i="70"/>
  <c r="I36" i="70"/>
  <c r="J36" i="70"/>
  <c r="K36" i="70"/>
  <c r="L36" i="70"/>
  <c r="M36" i="70"/>
  <c r="N36" i="70"/>
  <c r="O36" i="70"/>
  <c r="D37" i="70"/>
  <c r="E37" i="70"/>
  <c r="F37" i="70"/>
  <c r="G37" i="70"/>
  <c r="H37" i="70"/>
  <c r="I37" i="70"/>
  <c r="J37" i="70"/>
  <c r="K37" i="70"/>
  <c r="D38" i="70"/>
  <c r="G38" i="70"/>
  <c r="H38" i="70"/>
  <c r="I38" i="70"/>
  <c r="J38" i="70"/>
  <c r="K38" i="70"/>
  <c r="L38" i="70"/>
  <c r="M38" i="70"/>
  <c r="N38" i="70"/>
  <c r="O38" i="70"/>
  <c r="C27" i="70"/>
  <c r="C28" i="70"/>
  <c r="C29" i="70"/>
  <c r="C30" i="70"/>
  <c r="C31" i="70"/>
  <c r="C32" i="70"/>
  <c r="C33" i="70"/>
  <c r="C34" i="70"/>
  <c r="C36" i="70"/>
  <c r="C37" i="70"/>
  <c r="C38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F74" i="72"/>
  <c r="F129" i="72" s="1"/>
  <c r="G74" i="72"/>
  <c r="G129" i="72" s="1"/>
  <c r="D75" i="72"/>
  <c r="E75" i="72"/>
  <c r="D76" i="72"/>
  <c r="D131" i="72" s="1"/>
  <c r="E76" i="72"/>
  <c r="F76" i="72"/>
  <c r="G76" i="72"/>
  <c r="H76" i="72"/>
  <c r="E77" i="72"/>
  <c r="F77" i="72"/>
  <c r="G77" i="72"/>
  <c r="H77" i="72"/>
  <c r="D78" i="72"/>
  <c r="D133" i="72" s="1"/>
  <c r="E78" i="72"/>
  <c r="F78" i="72"/>
  <c r="G78" i="72"/>
  <c r="H78" i="72"/>
  <c r="E79" i="72"/>
  <c r="F79" i="72"/>
  <c r="G79" i="72"/>
  <c r="H79" i="72"/>
  <c r="D80" i="72"/>
  <c r="D135" i="72" s="1"/>
  <c r="E80" i="72"/>
  <c r="F80" i="72"/>
  <c r="G80" i="72"/>
  <c r="H80" i="72"/>
  <c r="E81" i="72"/>
  <c r="F81" i="72"/>
  <c r="G81" i="72"/>
  <c r="H81" i="72"/>
  <c r="D97" i="72"/>
  <c r="D152" i="72" s="1"/>
  <c r="E97" i="72"/>
  <c r="E152" i="72" s="1"/>
  <c r="F97" i="72"/>
  <c r="F152" i="72" s="1"/>
  <c r="G97" i="72"/>
  <c r="G152" i="72" s="1"/>
  <c r="H97" i="72"/>
  <c r="H152" i="72" s="1"/>
  <c r="E57" i="72"/>
  <c r="F57" i="72"/>
  <c r="F112" i="72" s="1"/>
  <c r="G57" i="72"/>
  <c r="G112" i="72" s="1"/>
  <c r="H57" i="72"/>
  <c r="H112" i="72" s="1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D27" i="68"/>
  <c r="E27" i="68"/>
  <c r="F27" i="68"/>
  <c r="G27" i="68"/>
  <c r="C27" i="68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39" i="68"/>
  <c r="D39" i="68"/>
  <c r="E39" i="68"/>
  <c r="F39" i="68"/>
  <c r="G39" i="68"/>
  <c r="C40" i="68"/>
  <c r="D40" i="68"/>
  <c r="E40" i="68"/>
  <c r="F40" i="68"/>
  <c r="G40" i="68"/>
  <c r="D38" i="68"/>
  <c r="E38" i="68"/>
  <c r="F38" i="68"/>
  <c r="G38" i="68"/>
  <c r="C38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2" i="68" l="1"/>
  <c r="D62" i="68"/>
  <c r="E62" i="68"/>
  <c r="F62" i="68"/>
  <c r="G62" i="68"/>
  <c r="C63" i="68"/>
  <c r="D63" i="68"/>
  <c r="E63" i="68"/>
  <c r="F63" i="68"/>
  <c r="G63" i="68"/>
  <c r="D61" i="68"/>
  <c r="E61" i="68"/>
  <c r="F61" i="68"/>
  <c r="G61" i="68"/>
  <c r="C61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E111" i="65"/>
  <c r="F111" i="65"/>
  <c r="G111" i="65"/>
  <c r="H111" i="65"/>
  <c r="E112" i="65"/>
  <c r="F112" i="65"/>
  <c r="G112" i="65"/>
  <c r="H112" i="65"/>
  <c r="D113" i="65"/>
  <c r="E113" i="65"/>
  <c r="F113" i="65"/>
  <c r="G113" i="65"/>
  <c r="H113" i="65"/>
  <c r="D114" i="65"/>
  <c r="F114" i="65"/>
  <c r="G114" i="65"/>
  <c r="H114" i="65"/>
  <c r="D115" i="65"/>
  <c r="F115" i="65"/>
  <c r="G115" i="65"/>
  <c r="H115" i="65"/>
  <c r="D116" i="65"/>
  <c r="E116" i="65"/>
  <c r="F116" i="65"/>
  <c r="G116" i="65"/>
  <c r="H116" i="65"/>
  <c r="D117" i="65"/>
  <c r="E117" i="65"/>
  <c r="G117" i="65"/>
  <c r="H117" i="65"/>
  <c r="D118" i="65"/>
  <c r="E118" i="65"/>
  <c r="G118" i="65"/>
  <c r="H118" i="65"/>
  <c r="D119" i="65"/>
  <c r="E119" i="65"/>
  <c r="F119" i="65"/>
  <c r="G119" i="65"/>
  <c r="H119" i="65"/>
  <c r="D120" i="65"/>
  <c r="E120" i="65"/>
  <c r="F120" i="65"/>
  <c r="H120" i="65"/>
  <c r="D121" i="65"/>
  <c r="E121" i="65"/>
  <c r="F121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C50" i="68"/>
  <c r="D50" i="68"/>
  <c r="E50" i="68"/>
  <c r="F50" i="68"/>
  <c r="G50" i="68"/>
  <c r="E49" i="68"/>
  <c r="F49" i="68"/>
  <c r="G49" i="68"/>
  <c r="D49" i="68"/>
  <c r="D26" i="68"/>
  <c r="E26" i="68"/>
  <c r="F26" i="68"/>
  <c r="G26" i="68"/>
  <c r="E32" i="21" l="1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8A55B1A6-998D-42DE-B0E4-F240F12DC0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6" authorId="0" shapeId="0" xr:uid="{4763D3C6-2461-434E-A9CE-8176C3AEEE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8" authorId="0" shapeId="0" xr:uid="{D2793965-226C-4498-9C0C-8763958E0A0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9" authorId="0" shapeId="0" xr:uid="{70344548-3959-4495-A5BD-FC2105C0CA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" authorId="0" shapeId="0" xr:uid="{934311F3-3119-4762-A57B-B5D8D98FB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12" authorId="0" shapeId="0" xr:uid="{CB0B6DF7-1160-43EE-9BA1-46B5A8F8A3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4" authorId="0" shapeId="0" xr:uid="{F90F950A-4BED-41DD-B48B-9332BFFD40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5" authorId="0" shapeId="0" xr:uid="{611286D5-4A2C-4A35-A282-958F6464EE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28" authorId="0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0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0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0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1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3F0FEEEB-825A-4110-B4FF-9A53AA3914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59" authorId="0" shapeId="0" xr:uid="{C9172DAA-EA75-4BC3-8012-7E92325DB8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1" authorId="0" shapeId="0" xr:uid="{D43067D2-2309-4597-85D8-BAFDF8E579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2" authorId="0" shapeId="0" xr:uid="{F39039B9-7D81-47CF-B3A8-351139B676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4" authorId="0" shapeId="0" xr:uid="{4F6AC7D6-DAC7-40F6-8960-A3CF48CE75F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5" authorId="0" shapeId="0" xr:uid="{F2191B0D-8AF1-4732-9B04-12866F3B96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7" authorId="0" shapeId="0" xr:uid="{62DC9D77-0A4F-4189-8AC6-B11C119B5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8" authorId="0" shapeId="0" xr:uid="{8829626C-DD33-463A-9EEA-F0B6B10881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89" authorId="1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8646C2BC-114A-44B6-910E-A63844A6CA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112" authorId="0" shapeId="0" xr:uid="{F27C32B5-B3C2-41D1-973D-A09E1B24FC8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4" authorId="0" shapeId="0" xr:uid="{C40AF175-9B94-403A-96D8-12E3FCC112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5" authorId="0" shapeId="0" xr:uid="{4799B878-EEA1-4273-B476-A4A0B739A2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7" authorId="0" shapeId="0" xr:uid="{1208C5D4-F0B8-4078-8F44-E3AEBC531C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8" authorId="0" shapeId="0" xr:uid="{AA909F86-3EF2-4E7B-87FF-06C3D4FE6C8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0" authorId="0" shapeId="0" xr:uid="{19ED0103-E2E6-4CFE-B598-FC0BED4B5E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1" authorId="0" shapeId="0" xr:uid="{1DB7DC00-4486-4245-A40E-282B3E147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125" authorId="0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1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FC66AFB0-BAF9-4DBB-AF6D-B8B87CA43E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C839D234-346C-480F-A0B8-0A83B9B7B1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CA18766C-7ED2-4431-93C7-93BF2011C5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6.29</t>
        </r>
      </text>
    </comment>
    <comment ref="A220" authorId="0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80ACFD6E-6E15-4465-8450-02C12E80A4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1.50 (1.26-1.78) for exclusive breastfeeding in children &lt; 1 month.</t>
        </r>
      </text>
    </comment>
    <comment ref="D12" authorId="1" shapeId="0" xr:uid="{3F25901D-4847-47DB-9D36-FCDEB14B82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9046FF1F-8540-4D35-B867-C2C36C5D1F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4" authorId="0" shapeId="0" xr:uid="{D67CBEA5-65B4-4FE9-82C7-DC2AFB4A87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3BDE8296-7C75-4D75-89DD-AB7DB360894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F3E89390-03F9-4868-AA11-F5840E7153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D6341004-DACF-4489-BD18-B9D4ADBB4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38233D40-CF64-4BA1-A67E-D1A5F013CC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269025AE-B01A-4939-B3A6-C9A8A90B5D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8C9BCD7E-B703-4A83-8F19-21A01D8E5A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1CCE61E6-CCD9-4D40-832B-38F858F363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7A589E3F-DC46-4670-AAD1-FB091303D5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88A4C4E8-9044-4590-A24A-819DBD3B74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58F5961E-BE27-42DC-BA47-8052CD598E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A44DF036-F705-4C9E-869B-35FA20D22C7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4853B685-0C9D-4310-89B4-FC55EFF15D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610733DC-C5A0-477F-8779-3D5E978EC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EE403504-DD2F-44B3-9A8E-DF158FE53E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CE2D5E10-5A45-4DC2-A353-819F7441B3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F2C39704-4C3A-4A8D-B44A-4D6BA1C4A29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041AC73E-CAC4-4B9B-ACEA-67394634116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0C5A92FA-D3CC-48D7-98B6-B07F92400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45B10EAE-5294-4D5C-A683-55F408C0B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744FDF-8C2B-47E9-AEB0-1C94AAACCA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D4FC7E72-C437-4FB5-9C44-584CA25710E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CF10A52A-4ED3-4679-AFB4-90DA85BE03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B970E795-852B-4AFE-B2F5-4657D760B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B49D247E-8A43-4781-A096-6E6A2FDED6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1077B81-8906-4022-BC22-AE7E434C461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AA5BBD63-A836-4F73-B67F-4BC99C44C3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501E7324-9119-44AF-98D9-3E0B0E0C2B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BCAB7316-A6FB-41C7-94CB-AF6B4B3DC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B783C35A-C5C2-453A-BF67-9BC060F631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6F4FF2C8-7E0A-452D-9458-64173E3775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754B5520-8785-4461-975F-14AD8446236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63C7E154-C355-4E37-B74E-A3F877BF9D6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0AD9136A-B010-472E-B476-412E5F3485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062FE8A3-3283-42BF-A0B4-B7965DC3FA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BEABB9E-7617-4425-9F34-DDCFB6159ED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1EE23FE8-D97D-4DEE-B454-BB0CCEA6D9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2A92BEC6-9FDF-41B4-88F1-665C4663918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EA967CFD-9817-42D6-892E-FBA384C430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13BE5A6A-0492-4BAA-8205-C4784D5A42C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3BE68A51-A16C-4D2E-97C7-0702A8A5C5B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2678EEA8-4E8E-4BDA-93AA-8CDC1BD156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0B3EBDB6-6355-42A0-886E-0D1673220E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27" authorId="0" shapeId="0" xr:uid="{0CCDC919-E274-4983-8D71-A8E899C396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1B6C54F-17AF-4947-AB65-A920A491A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49F25E15-38FC-4B0B-872F-06342668DA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B4621789-60C7-4A32-8E7A-5169D4D05E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7BB77FEE-C001-44D6-82E7-58224035CC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3BF5BF1A-652C-42DC-AC35-91515B6AC3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99D0C8B5-E236-4FC6-B684-E70FA4E7AA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4EC2F4FE-02D6-4961-8634-B4576AC781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A840B2B0-4167-4D7A-9530-A506727B7D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769730BA-E261-4A37-A623-A8672BFAEC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B33C0480-82DC-47C1-A2B0-309E1A04144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AD06F308-7008-4506-9FE1-A95ED9B85B3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6F2BF4C1-4CC5-4E05-B9F0-97D1912529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FE4781E3-C7FD-43DE-85B2-A3DEE79246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C18686B2-EEAE-4B6B-86D9-E5A53F241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99B9577F-5A08-419B-9D4B-DBCE0A8297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E2226ABC-B663-441F-A667-3F60C248AA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04CD71BD-C936-4211-8F17-8914E187F4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2F2BD23D-031D-46AF-8CF4-3733CB7647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021E4BB3-D607-4A9F-8F03-38756D38D55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C7E4159B-48FA-49FA-A21E-D0E8058DD5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C55018F6-BB8B-4E47-BDDB-FF2FA31133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38B8F017-E9E3-48BE-9E3E-1F2E62357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A06F7E0F-6BCB-4171-BD35-92A1937E55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0BD504C1-DD1F-491C-8586-E9F514092F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A7E1D82F-A105-4285-9320-564ABA15FA0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76A0EBD9-EE74-49D2-BFAF-9E4570F3A4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5B469B1A-2312-4851-92CB-8318413158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5DE19DA1-9B2C-40A8-980E-1FC1E21FD5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5FC2E3EF-E369-40D1-B470-6268D53F14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C5BD6115-C708-4DEC-995E-522DA89D35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1E2B46E6-88EA-43EF-9F1E-23C9C78960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7697C34-EFEB-4834-AB19-D49B2964AA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8722465-6E97-4B0D-BB97-6A5E32582A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0F186CC8-6BE9-43A0-8E16-F53C8B65D3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50" authorId="0" shapeId="0" xr:uid="{86BB7B11-2D62-461C-B5FF-13F9D106F9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AD85D21-4A9E-4BA8-9583-AB1AEDAAA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BBFE44D4-A76B-416F-8B24-3824EBCC8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A4F204A0-9139-47F9-B75E-C981662F0F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89A7FF6D-A36B-486A-A9C6-797D8BED6AA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20798702-230C-4F00-AC38-1B4BAD0CD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3BA879E9-D676-40BD-86CA-F58D4B85CE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87F81283-9267-48E0-A463-385D11BE6F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A6D31735-995B-46FB-BC78-739AD41161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784DCF15-72B9-477B-9D34-3553E76516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EEBE9062-AEC4-4BDC-A97E-30FEC3DC42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F4AC0CCA-9161-4E26-8404-BB9BE932DE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72F82C0-6D52-4A29-B849-E7476FF3F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2C0CC425-D9FB-4B5A-91D9-D41080A5EE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F834B84-A5A0-4617-ACC2-BD9D44C9FD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CABFA532-7C41-4FD1-9A14-950757EA6F3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514E6ACE-57F4-4A0C-AE58-91B69BF03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20C90787-495B-43F3-B459-97D6525BC2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21DCA492-D9E7-4DC0-9B43-D7228E09337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C1CD31AD-0DAC-46C5-AF6A-15F92DDCB1F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2D849AFF-3B69-4EE0-B4F5-99C3367EBB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2A9FF904-557C-42E3-A7CC-24E5C6F2A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C11DE72B-F6BB-4A40-AF3E-D7E2208BB4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0E6D1AFE-8A69-4BC8-B975-B23C532B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64CA34B0-A41A-4BDA-B979-BCB88E9EE8D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11F73239-626A-4DF9-9812-819843340A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10B00C10-8E38-486A-8681-EAB2DB5264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9166A6F0-10A1-4B50-8BAA-C182F31FA14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21359D7B-485C-42CE-B0DC-D76CE9D6B4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5315153-9BC1-4951-B118-6FE67FC070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7528943F-AA91-48F3-8950-3DF851CFCE7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DEE4EC48-FA9D-48CE-A5A3-74CDC3DC9E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2C044F4D-68D1-424B-A7F0-E7D08785A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2DA9D23-70D8-4FAC-A7FD-A5A0E96A68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A76F8BCF-C7D9-4559-A882-2D795EECA24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7DE1034D-A7E0-4362-9134-74EB9F38F8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00A2CC2B-93A6-473D-9783-7010D10C94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6A375C4B-6000-4C47-B755-C120CD0FDD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D636E105-D8C3-42D0-9194-4D50887869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18B923B3-AD41-46EE-8233-DA746F361D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DD907AE0-B29F-46A7-A880-4C47805C02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DB4BE836-7FA2-41C2-9CD9-F1C0ED004FB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3260BDE2-DFE0-4E41-B354-4028D234C47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EFF8A991-084C-4008-8A98-1943E25D459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780F23D-3420-46C0-BD73-C4050B77B4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252B1441-0F40-4A84-B964-B8C15CE9C2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0" shapeId="0" xr:uid="{2B111FF6-32AF-490F-BF45-36D6B2F617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0.32 (0.16-0.61) for SAM incidence 
Langendorf et al. 2014</t>
        </r>
      </text>
    </comment>
    <comment ref="G18" authorId="0" shapeId="0" xr:uid="{76D98853-BB8C-4B0C-BAE1-222B40A58B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H18" authorId="0" shapeId="0" xr:uid="{8028E63A-8F6D-4DD5-9FD7-7B268382BC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F20" authorId="0" shapeId="0" xr:uid="{37DC67B4-781D-46AE-85D0-650BF89D9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0.40 (0.23-0.68) for MAM incidence Langendorf et al. 2014, PLoS Med </t>
        </r>
      </text>
    </comment>
    <comment ref="G20" authorId="0" shapeId="0" xr:uid="{BEE86973-7582-48DF-9D80-A64B6CDE2F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H20" authorId="0" shapeId="0" xr:uid="{1FD6EAE0-2A34-4907-922D-670FC38A8C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0" shapeId="0" xr:uid="{2EF31D2B-EE72-4E50-B73F-6BB854BF159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73" authorId="0" shapeId="0" xr:uid="{AA7B5B79-0EF5-4B80-ADA3-6BB092050B1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73" authorId="0" shapeId="0" xr:uid="{A23A97FE-F160-4FAF-A5C6-044B27899A4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75" authorId="0" shapeId="0" xr:uid="{D5765185-45BB-48A7-8BFA-49E29B1C9F0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75" authorId="0" shapeId="0" xr:uid="{AA6A188C-A883-4D96-A686-6C77878183D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75" authorId="0" shapeId="0" xr:uid="{971DF49E-F060-486E-9A67-11CA7117B58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0" shapeId="0" xr:uid="{C41D4345-94EC-4C3D-BAC5-55251871261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128" authorId="0" shapeId="0" xr:uid="{E5EACFBE-BDC4-44B9-A7FA-E1488BEEEAB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128" authorId="0" shapeId="0" xr:uid="{3E9D0706-9699-486E-AFE7-CA48FAE26B2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130" authorId="0" shapeId="0" xr:uid="{66F6E996-8793-4164-B934-3FE8FCAFEA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130" authorId="0" shapeId="0" xr:uid="{03906487-B396-4B62-B8FA-17ECA6B3B9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130" authorId="0" shapeId="0" xr:uid="{6E556D4E-A49C-4B50-A08F-779BAFC9204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3" authorId="0" shapeId="0" xr:uid="{9A71D084-A2DD-4EDA-9211-F5D5AE1346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3" authorId="0" shapeId="0" xr:uid="{7B22FC18-B278-4AB2-BDF9-F8817A4174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3" authorId="0" shapeId="0" xr:uid="{AEFD8D38-12E3-4BC8-81DB-1DB99406E5E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5" authorId="0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0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0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0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0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0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0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0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0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0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0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0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0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0" shapeId="0" xr:uid="{79696A72-1F7B-4916-A4C3-09F82414E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0" shapeId="0" xr:uid="{B92DFDBB-68C7-41E1-931A-A5F42F0631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0" shapeId="0" xr:uid="{75DCCE96-0ADD-4B65-B69A-0B01405DC1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<sst xmlns="http://schemas.openxmlformats.org/spreadsheetml/2006/main" count="2094" uniqueCount="337">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</sst>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13</v>
      </c>
      <c r="B1" s="31" t="s">
        <v>5</v>
      </c>
      <c r="C1" s="31" t="s">
        <v>66</v>
      </c>
    </row>
    <row r="2" spans="1:3" ht="15.9" customHeight="1" x14ac:dyDescent="0.3">
      <c r="A2" s="8" t="s">
        <v>14</v>
      </c>
      <c r="B2" s="31"/>
      <c r="C2" s="31"/>
    </row>
    <row r="3" spans="1:3" ht="15.9" customHeight="1" x14ac:dyDescent="0.3">
      <c r="A3" s="1"/>
      <c r="B3" s="5" t="s">
        <v>15</v>
      </c>
      <c r="C3" s="49">
        <v>2024</v>
      </c>
    </row>
    <row r="4" spans="1:3" ht="15.9" customHeight="1" x14ac:dyDescent="0.3">
      <c r="A4" s="1"/>
      <c r="B4" s="5" t="s">
        <v>16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1"/>
    </row>
    <row r="8" spans="1:3" ht="15" customHeight="1" x14ac:dyDescent="0.25">
      <c r="B8" s="5" t="s">
        <v>19</v>
      </c>
      <c r="C8" s="52"/>
    </row>
    <row r="9" spans="1:3" ht="15" customHeight="1" x14ac:dyDescent="0.25">
      <c r="B9" s="5" t="s">
        <v>20</v>
      </c>
      <c r="C9" s="53"/>
    </row>
    <row r="10" spans="1:3" ht="15" customHeight="1" x14ac:dyDescent="0.25">
      <c r="B10" s="5" t="s">
        <v>21</v>
      </c>
      <c r="C10" s="53"/>
    </row>
    <row r="11" spans="1:3" ht="15" customHeight="1" x14ac:dyDescent="0.25">
      <c r="B11" s="5" t="s">
        <v>22</v>
      </c>
      <c r="C11" s="53">
        <v>1</v>
      </c>
    </row>
    <row r="12" spans="1:3" ht="15" customHeight="1" x14ac:dyDescent="0.25">
      <c r="B12" s="5" t="s">
        <v>23</v>
      </c>
      <c r="C12" s="53">
        <v>1</v>
      </c>
    </row>
    <row r="13" spans="1:3" ht="15" customHeight="1" x14ac:dyDescent="0.25">
      <c r="B13" s="5" t="s">
        <v>24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3"/>
    </row>
    <row r="17" spans="1:3" ht="15" customHeight="1" x14ac:dyDescent="0.25">
      <c r="B17" s="5" t="s">
        <v>27</v>
      </c>
      <c r="C17" s="53"/>
    </row>
    <row r="18" spans="1:3" ht="15" customHeight="1" x14ac:dyDescent="0.25">
      <c r="B18" s="5" t="s">
        <v>28</v>
      </c>
      <c r="C18" s="53"/>
    </row>
    <row r="19" spans="1:3" ht="15" customHeight="1" x14ac:dyDescent="0.25">
      <c r="B19" s="5" t="s">
        <v>29</v>
      </c>
      <c r="C19" s="53"/>
    </row>
    <row r="20" spans="1:3" ht="15" customHeight="1" x14ac:dyDescent="0.25">
      <c r="B20" s="5" t="s">
        <v>30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3"/>
    </row>
    <row r="24" spans="1:3" ht="15" customHeight="1" x14ac:dyDescent="0.25">
      <c r="B24" s="15" t="s">
        <v>33</v>
      </c>
      <c r="C24" s="53"/>
    </row>
    <row r="25" spans="1:3" ht="15" customHeight="1" x14ac:dyDescent="0.25">
      <c r="B25" s="15" t="s">
        <v>34</v>
      </c>
      <c r="C25" s="53"/>
    </row>
    <row r="26" spans="1:3" ht="15" customHeight="1" x14ac:dyDescent="0.25">
      <c r="B26" s="15" t="s">
        <v>35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53"/>
    </row>
    <row r="30" spans="1:3" ht="14.25" customHeight="1" x14ac:dyDescent="0.25">
      <c r="B30" s="25" t="s">
        <v>38</v>
      </c>
      <c r="C30" s="116"/>
    </row>
    <row r="31" spans="1:3" ht="14.25" customHeight="1" x14ac:dyDescent="0.25">
      <c r="B31" s="25" t="s">
        <v>39</v>
      </c>
      <c r="C31" s="116"/>
    </row>
    <row r="32" spans="1:3" ht="14.25" customHeight="1" x14ac:dyDescent="0.25">
      <c r="B32" s="25" t="s">
        <v>40</v>
      </c>
      <c r="C32" s="116"/>
    </row>
    <row r="33" spans="1:5" ht="13" x14ac:dyDescent="0.25">
      <c r="B33" s="27" t="s">
        <v>41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1"/>
    </row>
    <row r="38" spans="1:5" ht="15" customHeight="1" x14ac:dyDescent="0.25">
      <c r="B38" s="11" t="s">
        <v>45</v>
      </c>
      <c r="C38" s="51"/>
      <c r="D38" s="12"/>
      <c r="E38" s="13"/>
    </row>
    <row r="39" spans="1:5" ht="15" customHeight="1" x14ac:dyDescent="0.25">
      <c r="B39" s="11" t="s">
        <v>46</v>
      </c>
      <c r="C39" s="51"/>
      <c r="D39" s="12"/>
      <c r="E39" s="12"/>
    </row>
    <row r="40" spans="1:5" ht="15" customHeight="1" x14ac:dyDescent="0.25">
      <c r="B40" s="11" t="s">
        <v>47</v>
      </c>
      <c r="C40" s="117"/>
    </row>
    <row r="41" spans="1:5" ht="15" customHeight="1" x14ac:dyDescent="0.25">
      <c r="B41" s="11" t="s">
        <v>48</v>
      </c>
      <c r="C41" s="53"/>
    </row>
    <row r="42" spans="1:5" ht="15" customHeight="1" x14ac:dyDescent="0.25">
      <c r="B42" s="11" t="s">
        <v>49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3"/>
      <c r="D45" s="12"/>
    </row>
    <row r="46" spans="1:5" ht="15.75" customHeight="1" x14ac:dyDescent="0.25">
      <c r="B46" s="11" t="s">
        <v>52</v>
      </c>
      <c r="C46" s="53"/>
      <c r="D46" s="12"/>
    </row>
    <row r="47" spans="1:5" ht="15.75" customHeight="1" x14ac:dyDescent="0.25">
      <c r="B47" s="11" t="s">
        <v>53</v>
      </c>
      <c r="C47" s="53"/>
      <c r="D47" s="12"/>
      <c r="E47" s="13"/>
    </row>
    <row r="48" spans="1:5" ht="15" customHeight="1" x14ac:dyDescent="0.25">
      <c r="B48" s="11" t="s">
        <v>54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17"/>
      <c r="D51" s="12"/>
    </row>
    <row r="52" spans="1:4" ht="15" customHeight="1" x14ac:dyDescent="0.25">
      <c r="B52" s="11" t="s">
        <v>57</v>
      </c>
      <c r="C52" s="117"/>
    </row>
    <row r="53" spans="1:4" ht="15.75" customHeight="1" x14ac:dyDescent="0.25">
      <c r="B53" s="11" t="s">
        <v>58</v>
      </c>
      <c r="C53" s="117"/>
    </row>
    <row r="54" spans="1:4" ht="15.75" customHeight="1" x14ac:dyDescent="0.25">
      <c r="B54" s="11" t="s">
        <v>59</v>
      </c>
      <c r="C54" s="117"/>
    </row>
    <row r="55" spans="1:4" ht="15.75" customHeight="1" x14ac:dyDescent="0.25">
      <c r="B55" s="11" t="s">
        <v>60</v>
      </c>
      <c r="C55" s="117"/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3"/>
    </row>
    <row r="59" spans="1:4" ht="15.75" customHeight="1" x14ac:dyDescent="0.25">
      <c r="B59" s="11" t="s">
        <v>63</v>
      </c>
      <c r="C59" s="53"/>
    </row>
    <row r="60" spans="1:4" ht="15.75" customHeight="1" x14ac:dyDescent="0.25">
      <c r="B60" s="11" t="s">
        <v>64</v>
      </c>
      <c r="C60" s="53"/>
    </row>
    <row r="61" spans="1:4" ht="15.75" customHeight="1" x14ac:dyDescent="0.25">
      <c r="B61" s="11" t="s">
        <v>65</v>
      </c>
      <c r="C61" s="53"/>
    </row>
    <row r="62" spans="1:4" ht="15.75" customHeight="1" x14ac:dyDescent="0.25">
      <c r="B62" s="11" t="s">
        <v>67</v>
      </c>
      <c r="C62" s="52"/>
    </row>
    <row r="63" spans="1:4" ht="15.75" customHeight="1" x14ac:dyDescent="0.3">
      <c r="A63" s="4"/>
    </row>
  </sheetData>
  <sheetProtection algorithmName="SHA-512" hashValue="oANyDd0EK0N9xRRyMwm0abg+04ADRGhIZ0G53Acu8r63V9sS72O1aOkOaHfbEIIIqCnWN5hzHny+3wbOz1dq3Q==" saltValue="ccIAvcULFToMpVJnPQA25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aJ0wUK5INJPgQ4l0z2q0pDMWz82cokEna+7DEVe1wQKHVqdOSWPLiICNs4J3mjBOGmM5jst0XzNFeog572NrDg==" saltValue="u9nJwa7OvbdokvivaNjF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31"/>
      <c r="C1" s="31"/>
      <c r="D1" s="31"/>
      <c r="E1" s="31"/>
      <c r="F1" s="31"/>
    </row>
    <row r="2" spans="1:8" ht="27.75" customHeight="1" x14ac:dyDescent="0.3">
      <c r="A2" t="s">
        <v>77</v>
      </c>
      <c r="B2" s="31" t="s">
        <v>8</v>
      </c>
      <c r="C2" s="31" t="s">
        <v>109</v>
      </c>
      <c r="D2" s="31"/>
      <c r="E2" s="31"/>
      <c r="F2" s="31"/>
      <c r="G2" s="31"/>
    </row>
    <row r="3" spans="1:8" ht="15.75" customHeight="1" x14ac:dyDescent="0.25">
      <c r="B3" s="19" t="s">
        <v>78</v>
      </c>
      <c r="C3" s="119"/>
    </row>
    <row r="4" spans="1:8" ht="15.75" customHeight="1" x14ac:dyDescent="0.25">
      <c r="B4" s="19" t="s">
        <v>79</v>
      </c>
      <c r="C4" s="120"/>
    </row>
    <row r="5" spans="1:8" ht="15.75" customHeight="1" x14ac:dyDescent="0.25">
      <c r="B5" s="19" t="s">
        <v>80</v>
      </c>
      <c r="C5" s="120"/>
    </row>
    <row r="6" spans="1:8" ht="15.75" customHeight="1" x14ac:dyDescent="0.25">
      <c r="B6" s="19" t="s">
        <v>81</v>
      </c>
      <c r="C6" s="120"/>
    </row>
    <row r="7" spans="1:8" ht="15.75" customHeight="1" x14ac:dyDescent="0.25">
      <c r="B7" s="19" t="s">
        <v>82</v>
      </c>
      <c r="C7" s="120"/>
    </row>
    <row r="8" spans="1:8" ht="15.75" customHeight="1" x14ac:dyDescent="0.25">
      <c r="B8" s="19" t="s">
        <v>83</v>
      </c>
      <c r="C8" s="120"/>
    </row>
    <row r="9" spans="1:8" ht="15.75" customHeight="1" x14ac:dyDescent="0.25">
      <c r="B9" s="19" t="s">
        <v>84</v>
      </c>
      <c r="C9" s="120"/>
    </row>
    <row r="10" spans="1:8" ht="15.75" customHeight="1" x14ac:dyDescent="0.25">
      <c r="B10" s="19" t="s">
        <v>85</v>
      </c>
      <c r="C10" s="120"/>
    </row>
    <row r="11" spans="1:8" ht="15.75" customHeight="1" x14ac:dyDescent="0.25">
      <c r="B11" s="27" t="s">
        <v>41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1" t="s">
        <v>8</v>
      </c>
      <c r="C13" s="121" t="s">
        <v>96</v>
      </c>
      <c r="D13" s="121" t="s">
        <v>97</v>
      </c>
      <c r="E13" s="121" t="s">
        <v>98</v>
      </c>
      <c r="F13" s="121" t="s">
        <v>99</v>
      </c>
      <c r="G13" s="19"/>
    </row>
    <row r="14" spans="1:8" ht="15.75" customHeight="1" x14ac:dyDescent="0.25">
      <c r="B14" s="19" t="s">
        <v>87</v>
      </c>
      <c r="C14" s="119"/>
      <c r="D14" s="119"/>
      <c r="E14" s="119"/>
      <c r="F14" s="119"/>
    </row>
    <row r="15" spans="1:8" ht="15.75" customHeight="1" x14ac:dyDescent="0.25">
      <c r="B15" s="19" t="s">
        <v>88</v>
      </c>
      <c r="C15" s="120"/>
      <c r="D15" s="120"/>
      <c r="E15" s="120"/>
      <c r="F15" s="120"/>
    </row>
    <row r="16" spans="1:8" ht="15.75" customHeight="1" x14ac:dyDescent="0.25">
      <c r="B16" s="19" t="s">
        <v>89</v>
      </c>
      <c r="C16" s="120"/>
      <c r="D16" s="120"/>
      <c r="E16" s="120"/>
      <c r="F16" s="120"/>
    </row>
    <row r="17" spans="1:8" ht="15.75" customHeight="1" x14ac:dyDescent="0.25">
      <c r="B17" s="19" t="s">
        <v>90</v>
      </c>
      <c r="C17" s="120"/>
      <c r="D17" s="120"/>
      <c r="E17" s="120"/>
      <c r="F17" s="120"/>
    </row>
    <row r="18" spans="1:8" ht="15.75" customHeight="1" x14ac:dyDescent="0.25">
      <c r="B18" s="19" t="s">
        <v>91</v>
      </c>
      <c r="C18" s="120"/>
      <c r="D18" s="120"/>
      <c r="E18" s="120"/>
      <c r="F18" s="120"/>
    </row>
    <row r="19" spans="1:8" ht="15.75" customHeight="1" x14ac:dyDescent="0.25">
      <c r="B19" s="19" t="s">
        <v>92</v>
      </c>
      <c r="C19" s="120"/>
      <c r="D19" s="120"/>
      <c r="E19" s="120"/>
      <c r="F19" s="120"/>
    </row>
    <row r="20" spans="1:8" ht="15.75" customHeight="1" x14ac:dyDescent="0.25">
      <c r="B20" s="19" t="s">
        <v>93</v>
      </c>
      <c r="C20" s="120"/>
      <c r="D20" s="120"/>
      <c r="E20" s="120"/>
      <c r="F20" s="120"/>
    </row>
    <row r="21" spans="1:8" ht="15.75" customHeight="1" x14ac:dyDescent="0.25">
      <c r="B21" s="19" t="s">
        <v>94</v>
      </c>
      <c r="C21" s="120"/>
      <c r="D21" s="120"/>
      <c r="E21" s="120"/>
      <c r="F21" s="120"/>
    </row>
    <row r="22" spans="1:8" ht="15.75" customHeight="1" x14ac:dyDescent="0.25">
      <c r="B22" s="19" t="s">
        <v>95</v>
      </c>
      <c r="C22" s="120"/>
      <c r="D22" s="120"/>
      <c r="E22" s="120"/>
      <c r="F22" s="120"/>
    </row>
    <row r="23" spans="1:8" ht="15.75" customHeight="1" x14ac:dyDescent="0.25">
      <c r="B23" s="27" t="s">
        <v>41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1" t="s">
        <v>8</v>
      </c>
      <c r="C25" s="31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119"/>
    </row>
    <row r="27" spans="1:8" ht="15.75" customHeight="1" x14ac:dyDescent="0.25">
      <c r="B27" s="19" t="s">
        <v>102</v>
      </c>
      <c r="C27" s="120"/>
    </row>
    <row r="28" spans="1:8" ht="15.75" customHeight="1" x14ac:dyDescent="0.25">
      <c r="B28" s="19" t="s">
        <v>103</v>
      </c>
      <c r="C28" s="120"/>
    </row>
    <row r="29" spans="1:8" ht="15.75" customHeight="1" x14ac:dyDescent="0.25">
      <c r="B29" s="19" t="s">
        <v>104</v>
      </c>
      <c r="C29" s="120"/>
    </row>
    <row r="30" spans="1:8" ht="15.75" customHeight="1" x14ac:dyDescent="0.25">
      <c r="B30" s="19" t="s">
        <v>1</v>
      </c>
      <c r="C30" s="120"/>
    </row>
    <row r="31" spans="1:8" ht="15.75" customHeight="1" x14ac:dyDescent="0.25">
      <c r="B31" s="19" t="s">
        <v>105</v>
      </c>
      <c r="C31" s="120"/>
    </row>
    <row r="32" spans="1:8" ht="15.75" customHeight="1" x14ac:dyDescent="0.25">
      <c r="B32" s="19" t="s">
        <v>106</v>
      </c>
      <c r="C32" s="120"/>
    </row>
    <row r="33" spans="2:3" ht="15.75" customHeight="1" x14ac:dyDescent="0.25">
      <c r="B33" s="19" t="s">
        <v>107</v>
      </c>
      <c r="C33" s="120"/>
    </row>
    <row r="34" spans="2:3" ht="15.75" customHeight="1" x14ac:dyDescent="0.25">
      <c r="B34" s="19" t="s">
        <v>108</v>
      </c>
      <c r="C34" s="120"/>
    </row>
    <row r="35" spans="2:3" ht="15.75" customHeight="1" x14ac:dyDescent="0.25">
      <c r="B35" s="27" t="s">
        <v>41</v>
      </c>
      <c r="C35" s="56">
        <f>SUM(C26:C34)</f>
        <v>0</v>
      </c>
    </row>
  </sheetData>
  <sheetProtection algorithmName="SHA-512" hashValue="LmExu1Yfe3eWcJvLm/ZjOjt3FOYnPi5ovb7KArDr0ua6SVLjHwdecQrZeYGEPf0FXUEJ8TCsxH982f9fQNUCJA==" saltValue="zkl50O+3oTuCfkvpUbPtE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113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114</v>
      </c>
      <c r="C4" s="53"/>
      <c r="D4" s="61"/>
      <c r="E4" s="61"/>
      <c r="F4" s="61"/>
      <c r="G4" s="61"/>
    </row>
    <row r="5" spans="1:15" ht="15.75" customHeight="1" x14ac:dyDescent="0.25">
      <c r="B5" s="5" t="s">
        <v>115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118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119</v>
      </c>
      <c r="C10" s="53"/>
      <c r="D10" s="61"/>
      <c r="E10" s="61"/>
      <c r="F10" s="61"/>
      <c r="G10" s="61"/>
    </row>
    <row r="11" spans="1:15" ht="15.75" customHeight="1" x14ac:dyDescent="0.25">
      <c r="B11" s="5" t="s">
        <v>120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127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YfBL9HXxKGWObdMdxQV5QAJRK2yXpE+xDrVza0oYD4kVgBrnEqd13EGyvh9CyrJkXofYjpGtwAPF5na/9ilfw==" saltValue="tutsWxOmFc2gIReX1x1ye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2" t="s">
        <v>129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130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131</v>
      </c>
      <c r="C4" s="61"/>
      <c r="D4" s="61"/>
      <c r="E4" s="61"/>
      <c r="F4" s="61"/>
      <c r="G4" s="61">
        <v>0</v>
      </c>
    </row>
    <row r="5" spans="1:7" x14ac:dyDescent="0.25">
      <c r="B5" s="32" t="s">
        <v>132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NULh1UBQqwEFPAimdtmpFJy1CesdVsf6qCu4c3q6lNgThuxqsGpZQlAbuK5NaShZzhM1C+pj0IUNQES3FXI9PA==" saltValue="7AmrmLO1n6I/gzQcwRoPW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ed7SYUqiy/eq6DfRtla6eoNU2fyJbrMCfGiWUJ3gPA1IwMpLLomkmubI8LCqfbLjv79QNj0l4Sc2BBEsWiD2A==" saltValue="Os+2eqqbJqgdMLyrZjMDmw==" spinCount="100000" sheet="1" objects="1" scenario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12</v>
      </c>
      <c r="B1" s="4" t="s">
        <v>144</v>
      </c>
    </row>
    <row r="2" spans="1:2" x14ac:dyDescent="0.25">
      <c r="A2" s="8" t="s">
        <v>145</v>
      </c>
      <c r="B2" s="115">
        <v>10</v>
      </c>
    </row>
    <row r="3" spans="1:2" x14ac:dyDescent="0.25">
      <c r="A3" s="8" t="s">
        <v>150</v>
      </c>
      <c r="B3" s="115">
        <v>10</v>
      </c>
    </row>
    <row r="4" spans="1:2" x14ac:dyDescent="0.25">
      <c r="A4" s="8" t="s">
        <v>146</v>
      </c>
      <c r="B4" s="115">
        <v>10</v>
      </c>
    </row>
    <row r="5" spans="1:2" x14ac:dyDescent="0.25">
      <c r="A5" s="8" t="s">
        <v>147</v>
      </c>
      <c r="B5" s="115">
        <v>10</v>
      </c>
    </row>
    <row r="6" spans="1:2" x14ac:dyDescent="0.25">
      <c r="A6" s="8" t="s">
        <v>148</v>
      </c>
      <c r="B6" s="115">
        <v>10</v>
      </c>
    </row>
    <row r="7" spans="1:2" x14ac:dyDescent="0.25">
      <c r="A7" s="8" t="s">
        <v>149</v>
      </c>
      <c r="B7" s="115">
        <v>10</v>
      </c>
    </row>
  </sheetData>
  <sheetProtection algorithmName="SHA-512" hashValue="GpviPXnF4yZ0aJkuz5TDmACMprsjfM2CsfOfP5ie74FpPR1e29q3T2F1IbhdT7K/Bkh5itbV0zB1pHy4j5SVnw==" saltValue="kE5Y06rvIsx3oFi2a2Si+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151</v>
      </c>
      <c r="B1" s="39" t="s">
        <v>152</v>
      </c>
      <c r="C1" s="39" t="s">
        <v>153</v>
      </c>
      <c r="D1" s="39" t="s">
        <v>154</v>
      </c>
      <c r="E1" s="39" t="s">
        <v>155</v>
      </c>
    </row>
    <row r="2" spans="1:5" ht="13" x14ac:dyDescent="0.3">
      <c r="A2" s="37" t="s">
        <v>157</v>
      </c>
      <c r="B2" s="35" t="s">
        <v>100</v>
      </c>
      <c r="C2" s="64"/>
      <c r="D2" s="64"/>
      <c r="E2" s="45" t="str">
        <f>IF(E$7="","",E$7)</f>
        <v/>
      </c>
    </row>
    <row r="3" spans="1:5" x14ac:dyDescent="0.25">
      <c r="B3" s="35" t="s">
        <v>109</v>
      </c>
      <c r="C3" s="64"/>
      <c r="D3" s="55" t="s">
        <v>7</v>
      </c>
      <c r="E3" s="45" t="str">
        <f>IF(E$7="","",E$7)</f>
        <v/>
      </c>
    </row>
    <row r="4" spans="1:5" x14ac:dyDescent="0.25">
      <c r="B4" s="35" t="s">
        <v>96</v>
      </c>
      <c r="C4" s="64"/>
      <c r="D4" s="55" t="s">
        <v>7</v>
      </c>
      <c r="E4" s="45" t="str">
        <f>IF(E$7="","",E$7)</f>
        <v/>
      </c>
    </row>
    <row r="5" spans="1:5" x14ac:dyDescent="0.25">
      <c r="B5" s="35" t="s">
        <v>97</v>
      </c>
      <c r="C5" s="64"/>
      <c r="D5" s="64" t="s">
        <v>7</v>
      </c>
      <c r="E5" s="45" t="str">
        <f>IF(E$7="","",E$7)</f>
        <v/>
      </c>
    </row>
    <row r="6" spans="1:5" x14ac:dyDescent="0.25">
      <c r="B6" s="35" t="s">
        <v>98</v>
      </c>
      <c r="C6" s="64"/>
      <c r="D6" s="64" t="s">
        <v>7</v>
      </c>
      <c r="E6" s="45" t="str">
        <f>IF(E$7="","",E$7)</f>
        <v/>
      </c>
    </row>
    <row r="7" spans="1:5" x14ac:dyDescent="0.25">
      <c r="B7" s="35" t="s">
        <v>156</v>
      </c>
      <c r="C7" s="34"/>
      <c r="D7" s="33"/>
      <c r="E7" s="64"/>
    </row>
    <row r="9" spans="1:5" ht="13" x14ac:dyDescent="0.3">
      <c r="A9" s="37" t="s">
        <v>158</v>
      </c>
      <c r="B9" s="35" t="s">
        <v>100</v>
      </c>
      <c r="C9" s="64"/>
      <c r="D9" s="64"/>
      <c r="E9" s="45" t="str">
        <f>IF(E$7="","",E$7)</f>
        <v/>
      </c>
    </row>
    <row r="10" spans="1:5" x14ac:dyDescent="0.25">
      <c r="B10" s="35" t="s">
        <v>109</v>
      </c>
      <c r="C10" s="64"/>
      <c r="D10" s="64"/>
      <c r="E10" s="45" t="str">
        <f>IF(E$7="","",E$7)</f>
        <v/>
      </c>
    </row>
    <row r="11" spans="1:5" x14ac:dyDescent="0.25">
      <c r="B11" s="35" t="s">
        <v>96</v>
      </c>
      <c r="C11" s="64"/>
      <c r="D11" s="64"/>
      <c r="E11" s="45" t="str">
        <f>IF(E$7="","",E$7)</f>
        <v/>
      </c>
    </row>
    <row r="12" spans="1:5" x14ac:dyDescent="0.25">
      <c r="B12" s="35" t="s">
        <v>97</v>
      </c>
      <c r="C12" s="64"/>
      <c r="D12" s="55" t="s">
        <v>7</v>
      </c>
      <c r="E12" s="45" t="str">
        <f>IF(E$7="","",E$7)</f>
        <v/>
      </c>
    </row>
    <row r="13" spans="1:5" x14ac:dyDescent="0.25">
      <c r="B13" s="35" t="s">
        <v>98</v>
      </c>
      <c r="C13" s="64"/>
      <c r="D13" s="55" t="s">
        <v>7</v>
      </c>
      <c r="E13" s="45" t="str">
        <f>IF(E$7="","",E$7)</f>
        <v/>
      </c>
    </row>
    <row r="14" spans="1:5" x14ac:dyDescent="0.25">
      <c r="B14" s="35" t="s">
        <v>156</v>
      </c>
      <c r="C14" s="34"/>
      <c r="D14" s="33"/>
      <c r="E14" s="64"/>
    </row>
    <row r="16" spans="1:5" ht="13" x14ac:dyDescent="0.3">
      <c r="A16" s="37" t="s">
        <v>159</v>
      </c>
      <c r="B16" s="35" t="s">
        <v>100</v>
      </c>
      <c r="C16" s="64"/>
      <c r="D16" s="64" t="s">
        <v>7</v>
      </c>
      <c r="E16" s="45" t="str">
        <f>IF(E$7="","",E$7)</f>
        <v/>
      </c>
    </row>
    <row r="17" spans="2:5" x14ac:dyDescent="0.25">
      <c r="B17" s="35" t="s">
        <v>109</v>
      </c>
      <c r="C17" s="64"/>
      <c r="D17" s="64" t="s">
        <v>7</v>
      </c>
      <c r="E17" s="45" t="str">
        <f>IF(E$7="","",E$7)</f>
        <v/>
      </c>
    </row>
    <row r="18" spans="2:5" x14ac:dyDescent="0.25">
      <c r="B18" s="35" t="s">
        <v>96</v>
      </c>
      <c r="C18" s="64"/>
      <c r="D18" s="64" t="s">
        <v>7</v>
      </c>
      <c r="E18" s="45" t="str">
        <f>IF(E$7="","",E$7)</f>
        <v/>
      </c>
    </row>
    <row r="19" spans="2:5" x14ac:dyDescent="0.25">
      <c r="B19" s="35" t="s">
        <v>97</v>
      </c>
      <c r="C19" s="64"/>
      <c r="D19" s="64" t="s">
        <v>7</v>
      </c>
      <c r="E19" s="45" t="str">
        <f>IF(E$7="","",E$7)</f>
        <v/>
      </c>
    </row>
    <row r="20" spans="2:5" x14ac:dyDescent="0.25">
      <c r="B20" s="35" t="s">
        <v>98</v>
      </c>
      <c r="C20" s="64"/>
      <c r="D20" s="64" t="s">
        <v>7</v>
      </c>
      <c r="E20" s="45" t="str">
        <f>IF(E$7="","",E$7)</f>
        <v/>
      </c>
    </row>
    <row r="21" spans="2:5" x14ac:dyDescent="0.25">
      <c r="B21" s="35" t="s">
        <v>156</v>
      </c>
      <c r="C21" s="34"/>
      <c r="D21" s="33"/>
      <c r="E21" s="64"/>
    </row>
  </sheetData>
  <sheetProtection algorithmName="SHA-512" hashValue="hALzXZ5nDaINS4XD72PuAdQqan9Pqcx4/akfUsEqQaFYq2q59abcGAoxchOj36XhOSBg26IRnfNPGwW5yNp9dA==" saltValue="JlCNfmNlXtOFaeT74hW2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5</v>
      </c>
      <c r="B1" s="39" t="s">
        <v>162</v>
      </c>
      <c r="C1" s="48" t="s">
        <v>6</v>
      </c>
      <c r="D1" s="48" t="s">
        <v>163</v>
      </c>
    </row>
    <row r="2" spans="1:4" ht="13" x14ac:dyDescent="0.3">
      <c r="A2" s="48" t="s">
        <v>160</v>
      </c>
      <c r="B2" s="35" t="s">
        <v>161</v>
      </c>
      <c r="C2" s="35" t="s">
        <v>165</v>
      </c>
      <c r="D2" s="64"/>
    </row>
    <row r="3" spans="1:4" ht="13" x14ac:dyDescent="0.3">
      <c r="A3" s="48" t="s">
        <v>164</v>
      </c>
      <c r="B3" s="35" t="s">
        <v>153</v>
      </c>
      <c r="C3" s="35" t="s">
        <v>154</v>
      </c>
      <c r="D3" s="64"/>
    </row>
  </sheetData>
  <sheetProtection algorithmName="SHA-512" hashValue="S6/nVTFa6HdQChgmQTuNEqqOZsRg6gFpqH2URQviY9RiyAI0+X7ucBMRn9Tt2844a6T4TUHxiVMVEDMs1G2eYg==" saltValue="fMoKKfR8HLrLVa33IA03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160</v>
      </c>
      <c r="B1" s="41" t="str">
        <f>"Couverture de l'année de référence ("&amp;start_year&amp;")"</f>
        <v>Couverture de l'année de référence (2024)</v>
      </c>
      <c r="C1" s="41" t="s">
        <v>166</v>
      </c>
      <c r="D1" s="41" t="s">
        <v>202</v>
      </c>
      <c r="E1" s="41" t="s">
        <v>167</v>
      </c>
      <c r="F1" s="41" t="s">
        <v>203</v>
      </c>
      <c r="G1" s="41" t="s">
        <v>204</v>
      </c>
    </row>
    <row r="2" spans="1:7" ht="15.75" customHeight="1" x14ac:dyDescent="0.25">
      <c r="A2" s="40" t="s">
        <v>168</v>
      </c>
      <c r="B2" s="53"/>
      <c r="C2" s="113">
        <v>0.95</v>
      </c>
      <c r="D2" s="114"/>
      <c r="E2" s="65" t="s">
        <v>201</v>
      </c>
      <c r="F2" s="113">
        <v>1</v>
      </c>
      <c r="G2" s="113">
        <v>1</v>
      </c>
    </row>
    <row r="3" spans="1:7" ht="15.75" customHeight="1" x14ac:dyDescent="0.25">
      <c r="A3" s="40" t="s">
        <v>169</v>
      </c>
      <c r="B3" s="53"/>
      <c r="C3" s="113">
        <v>0.95</v>
      </c>
      <c r="D3" s="114"/>
      <c r="E3" s="65" t="s">
        <v>201</v>
      </c>
      <c r="F3" s="113">
        <v>1</v>
      </c>
      <c r="G3" s="113">
        <v>1</v>
      </c>
    </row>
    <row r="4" spans="1:7" ht="15.75" customHeight="1" x14ac:dyDescent="0.25">
      <c r="A4" s="40" t="s">
        <v>170</v>
      </c>
      <c r="B4" s="118"/>
      <c r="C4" s="113">
        <v>0.95</v>
      </c>
      <c r="D4" s="114"/>
      <c r="E4" s="65" t="s">
        <v>201</v>
      </c>
      <c r="F4" s="113">
        <v>1</v>
      </c>
      <c r="G4" s="113">
        <v>1</v>
      </c>
    </row>
    <row r="5" spans="1:7" ht="15.75" customHeight="1" x14ac:dyDescent="0.25">
      <c r="A5" s="40" t="s">
        <v>171</v>
      </c>
      <c r="B5" s="118"/>
      <c r="C5" s="113">
        <v>0.95</v>
      </c>
      <c r="D5" s="114"/>
      <c r="E5" s="65" t="s">
        <v>201</v>
      </c>
      <c r="F5" s="113">
        <v>1</v>
      </c>
      <c r="G5" s="113">
        <v>1</v>
      </c>
    </row>
    <row r="6" spans="1:7" ht="15.75" customHeight="1" x14ac:dyDescent="0.25">
      <c r="A6" s="40" t="s">
        <v>172</v>
      </c>
      <c r="B6" s="118"/>
      <c r="C6" s="113">
        <v>0.95</v>
      </c>
      <c r="D6" s="114"/>
      <c r="E6" s="65" t="s">
        <v>201</v>
      </c>
      <c r="F6" s="113">
        <v>1</v>
      </c>
      <c r="G6" s="113">
        <v>1</v>
      </c>
    </row>
    <row r="7" spans="1:7" ht="15.75" customHeight="1" x14ac:dyDescent="0.25">
      <c r="A7" s="40" t="s">
        <v>173</v>
      </c>
      <c r="B7" s="118"/>
      <c r="C7" s="113">
        <v>0.95</v>
      </c>
      <c r="D7" s="114"/>
      <c r="E7" s="65" t="s">
        <v>201</v>
      </c>
      <c r="F7" s="113">
        <v>1</v>
      </c>
      <c r="G7" s="113">
        <v>1</v>
      </c>
    </row>
    <row r="8" spans="1:7" ht="15.75" customHeight="1" x14ac:dyDescent="0.25">
      <c r="A8" s="40" t="s">
        <v>174</v>
      </c>
      <c r="B8" s="118"/>
      <c r="C8" s="113">
        <v>0.95</v>
      </c>
      <c r="D8" s="114"/>
      <c r="E8" s="65" t="s">
        <v>201</v>
      </c>
      <c r="F8" s="113">
        <v>1</v>
      </c>
      <c r="G8" s="113">
        <v>1</v>
      </c>
    </row>
    <row r="9" spans="1:7" ht="15.75" customHeight="1" x14ac:dyDescent="0.25">
      <c r="A9" s="40" t="s">
        <v>175</v>
      </c>
      <c r="B9" s="118"/>
      <c r="C9" s="113">
        <v>0.95</v>
      </c>
      <c r="D9" s="114"/>
      <c r="E9" s="65" t="s">
        <v>201</v>
      </c>
      <c r="F9" s="113">
        <v>1</v>
      </c>
      <c r="G9" s="113">
        <v>1</v>
      </c>
    </row>
    <row r="10" spans="1:7" ht="15.75" customHeight="1" x14ac:dyDescent="0.25">
      <c r="A10" s="46" t="s">
        <v>176</v>
      </c>
      <c r="B10" s="53"/>
      <c r="C10" s="113">
        <v>0.95</v>
      </c>
      <c r="D10" s="114"/>
      <c r="E10" s="65" t="s">
        <v>201</v>
      </c>
      <c r="F10" s="113">
        <v>1</v>
      </c>
      <c r="G10" s="113">
        <v>1</v>
      </c>
    </row>
    <row r="11" spans="1:7" ht="15.75" customHeight="1" x14ac:dyDescent="0.25">
      <c r="A11" s="46" t="s">
        <v>177</v>
      </c>
      <c r="B11" s="118">
        <v>0</v>
      </c>
      <c r="C11" s="113">
        <v>0.95</v>
      </c>
      <c r="D11" s="114"/>
      <c r="E11" s="65" t="s">
        <v>201</v>
      </c>
      <c r="F11" s="113">
        <v>1</v>
      </c>
      <c r="G11" s="113">
        <v>1</v>
      </c>
    </row>
    <row r="12" spans="1:7" ht="15.75" customHeight="1" x14ac:dyDescent="0.25">
      <c r="A12" s="46" t="s">
        <v>178</v>
      </c>
      <c r="B12" s="118">
        <v>0</v>
      </c>
      <c r="C12" s="113">
        <v>0.95</v>
      </c>
      <c r="D12" s="114"/>
      <c r="E12" s="65" t="s">
        <v>201</v>
      </c>
      <c r="F12" s="113">
        <v>1</v>
      </c>
      <c r="G12" s="113">
        <v>1</v>
      </c>
    </row>
    <row r="13" spans="1:7" ht="15.75" customHeight="1" x14ac:dyDescent="0.25">
      <c r="A13" s="46" t="s">
        <v>179</v>
      </c>
      <c r="B13" s="118">
        <v>0</v>
      </c>
      <c r="C13" s="113">
        <v>0.95</v>
      </c>
      <c r="D13" s="114"/>
      <c r="E13" s="65" t="s">
        <v>201</v>
      </c>
      <c r="F13" s="113">
        <v>1</v>
      </c>
      <c r="G13" s="113">
        <v>1</v>
      </c>
    </row>
    <row r="14" spans="1:7" ht="15.75" customHeight="1" x14ac:dyDescent="0.25">
      <c r="A14" s="5" t="s">
        <v>180</v>
      </c>
      <c r="B14" s="53"/>
      <c r="C14" s="113">
        <v>0.95</v>
      </c>
      <c r="D14" s="114"/>
      <c r="E14" s="65" t="s">
        <v>201</v>
      </c>
      <c r="F14" s="113">
        <v>1</v>
      </c>
      <c r="G14" s="113">
        <v>1</v>
      </c>
    </row>
    <row r="15" spans="1:7" ht="15.75" customHeight="1" x14ac:dyDescent="0.25">
      <c r="A15" s="5" t="s">
        <v>181</v>
      </c>
      <c r="B15" s="118">
        <v>0</v>
      </c>
      <c r="C15" s="113">
        <v>0.95</v>
      </c>
      <c r="D15" s="114"/>
      <c r="E15" s="65" t="s">
        <v>201</v>
      </c>
      <c r="F15" s="113">
        <v>1</v>
      </c>
      <c r="G15" s="113">
        <v>1</v>
      </c>
    </row>
    <row r="16" spans="1:7" ht="15.75" customHeight="1" x14ac:dyDescent="0.25">
      <c r="A16" s="40" t="s">
        <v>182</v>
      </c>
      <c r="B16" s="53"/>
      <c r="C16" s="113">
        <v>0.95</v>
      </c>
      <c r="D16" s="114"/>
      <c r="E16" s="65" t="s">
        <v>201</v>
      </c>
      <c r="F16" s="113">
        <v>1</v>
      </c>
      <c r="G16" s="113">
        <v>1</v>
      </c>
    </row>
    <row r="17" spans="1:7" ht="15.75" customHeight="1" x14ac:dyDescent="0.25">
      <c r="A17" s="40" t="s">
        <v>183</v>
      </c>
      <c r="B17" s="118"/>
      <c r="C17" s="113">
        <v>0.95</v>
      </c>
      <c r="D17" s="114"/>
      <c r="E17" s="65" t="s">
        <v>201</v>
      </c>
      <c r="F17" s="113">
        <v>1</v>
      </c>
      <c r="G17" s="113">
        <v>1</v>
      </c>
    </row>
    <row r="18" spans="1:7" ht="15.9" customHeight="1" x14ac:dyDescent="0.25">
      <c r="A18" s="40" t="s">
        <v>157</v>
      </c>
      <c r="B18" s="118"/>
      <c r="C18" s="113">
        <v>0.95</v>
      </c>
      <c r="D18" s="114"/>
      <c r="E18" s="65" t="s">
        <v>201</v>
      </c>
      <c r="F18" s="113">
        <v>1</v>
      </c>
      <c r="G18" s="113">
        <v>1</v>
      </c>
    </row>
    <row r="19" spans="1:7" ht="15.75" customHeight="1" x14ac:dyDescent="0.25">
      <c r="A19" s="40" t="s">
        <v>158</v>
      </c>
      <c r="B19" s="118"/>
      <c r="C19" s="113">
        <v>0.95</v>
      </c>
      <c r="D19" s="114"/>
      <c r="E19" s="65" t="s">
        <v>201</v>
      </c>
      <c r="F19" s="113">
        <v>1</v>
      </c>
      <c r="G19" s="113">
        <v>1</v>
      </c>
    </row>
    <row r="20" spans="1:7" ht="15.75" customHeight="1" x14ac:dyDescent="0.25">
      <c r="A20" s="40" t="s">
        <v>159</v>
      </c>
      <c r="B20" s="118">
        <v>0</v>
      </c>
      <c r="C20" s="113">
        <v>0.95</v>
      </c>
      <c r="D20" s="114"/>
      <c r="E20" s="65" t="s">
        <v>201</v>
      </c>
      <c r="F20" s="113">
        <v>1</v>
      </c>
      <c r="G20" s="113">
        <v>1</v>
      </c>
    </row>
    <row r="21" spans="1:7" ht="15.75" customHeight="1" x14ac:dyDescent="0.25">
      <c r="A21" s="40" t="s">
        <v>184</v>
      </c>
      <c r="B21" s="53"/>
      <c r="C21" s="113">
        <v>0.95</v>
      </c>
      <c r="D21" s="114"/>
      <c r="E21" s="65" t="s">
        <v>201</v>
      </c>
      <c r="F21" s="113">
        <v>1</v>
      </c>
      <c r="G21" s="113">
        <v>1</v>
      </c>
    </row>
    <row r="22" spans="1:7" ht="15.75" customHeight="1" x14ac:dyDescent="0.25">
      <c r="A22" s="40" t="s">
        <v>185</v>
      </c>
      <c r="B22" s="118">
        <v>0</v>
      </c>
      <c r="C22" s="113">
        <v>0.95</v>
      </c>
      <c r="D22" s="114"/>
      <c r="E22" s="65" t="s">
        <v>201</v>
      </c>
      <c r="F22" s="113">
        <v>1</v>
      </c>
      <c r="G22" s="113">
        <v>1</v>
      </c>
    </row>
    <row r="23" spans="1:7" ht="15.75" customHeight="1" x14ac:dyDescent="0.25">
      <c r="A23" s="40" t="s">
        <v>186</v>
      </c>
      <c r="B23" s="118"/>
      <c r="C23" s="113">
        <v>0.95</v>
      </c>
      <c r="D23" s="114"/>
      <c r="E23" s="65" t="s">
        <v>201</v>
      </c>
      <c r="F23" s="113">
        <v>1</v>
      </c>
      <c r="G23" s="113">
        <v>1</v>
      </c>
    </row>
    <row r="24" spans="1:7" ht="15.75" customHeight="1" x14ac:dyDescent="0.25">
      <c r="A24" s="40" t="s">
        <v>187</v>
      </c>
      <c r="B24" s="53"/>
      <c r="C24" s="113">
        <v>0.95</v>
      </c>
      <c r="D24" s="114"/>
      <c r="E24" s="65" t="s">
        <v>201</v>
      </c>
      <c r="F24" s="113">
        <v>1</v>
      </c>
      <c r="G24" s="113">
        <v>1</v>
      </c>
    </row>
    <row r="25" spans="1:7" ht="15.75" customHeight="1" x14ac:dyDescent="0.25">
      <c r="A25" s="40" t="s">
        <v>188</v>
      </c>
      <c r="B25" s="118"/>
      <c r="C25" s="113">
        <v>0.95</v>
      </c>
      <c r="D25" s="114"/>
      <c r="E25" s="65" t="s">
        <v>201</v>
      </c>
      <c r="F25" s="113">
        <v>1</v>
      </c>
      <c r="G25" s="113">
        <v>1</v>
      </c>
    </row>
    <row r="26" spans="1:7" ht="15.75" customHeight="1" x14ac:dyDescent="0.25">
      <c r="A26" s="40" t="s">
        <v>189</v>
      </c>
      <c r="B26" s="53"/>
      <c r="C26" s="113">
        <v>0.95</v>
      </c>
      <c r="D26" s="114"/>
      <c r="E26" s="65" t="s">
        <v>201</v>
      </c>
      <c r="F26" s="113">
        <v>1</v>
      </c>
      <c r="G26" s="113">
        <v>1</v>
      </c>
    </row>
    <row r="27" spans="1:7" ht="15.75" customHeight="1" x14ac:dyDescent="0.25">
      <c r="A27" s="40" t="s">
        <v>190</v>
      </c>
      <c r="B27" s="53"/>
      <c r="C27" s="113">
        <v>0.95</v>
      </c>
      <c r="D27" s="114"/>
      <c r="E27" s="65" t="s">
        <v>201</v>
      </c>
      <c r="F27" s="113">
        <v>1</v>
      </c>
      <c r="G27" s="113">
        <v>1</v>
      </c>
    </row>
    <row r="28" spans="1:7" ht="15.75" customHeight="1" x14ac:dyDescent="0.25">
      <c r="A28" s="40" t="s">
        <v>191</v>
      </c>
      <c r="B28" s="53"/>
      <c r="C28" s="113">
        <v>0.95</v>
      </c>
      <c r="D28" s="114"/>
      <c r="E28" s="65" t="s">
        <v>201</v>
      </c>
      <c r="F28" s="113">
        <v>1</v>
      </c>
      <c r="G28" s="113">
        <v>1</v>
      </c>
    </row>
    <row r="29" spans="1:7" ht="15.75" customHeight="1" x14ac:dyDescent="0.25">
      <c r="A29" s="40" t="s">
        <v>192</v>
      </c>
      <c r="B29" s="53"/>
      <c r="C29" s="113">
        <v>0.95</v>
      </c>
      <c r="D29" s="114"/>
      <c r="E29" s="65" t="s">
        <v>201</v>
      </c>
      <c r="F29" s="113">
        <v>1</v>
      </c>
      <c r="G29" s="113">
        <v>1</v>
      </c>
    </row>
    <row r="30" spans="1:7" ht="15.75" customHeight="1" x14ac:dyDescent="0.25">
      <c r="A30" s="40" t="s">
        <v>205</v>
      </c>
      <c r="B30" s="118">
        <v>0</v>
      </c>
      <c r="C30" s="113">
        <v>0.95</v>
      </c>
      <c r="D30" s="114">
        <v>99</v>
      </c>
      <c r="E30" s="65" t="s">
        <v>201</v>
      </c>
      <c r="F30" s="113">
        <v>1</v>
      </c>
      <c r="G30" s="113">
        <v>1</v>
      </c>
    </row>
    <row r="31" spans="1:7" ht="15.75" customHeight="1" x14ac:dyDescent="0.25">
      <c r="A31" s="40" t="s">
        <v>161</v>
      </c>
      <c r="B31" s="53"/>
      <c r="C31" s="113">
        <v>0.95</v>
      </c>
      <c r="D31" s="114"/>
      <c r="E31" s="65" t="s">
        <v>201</v>
      </c>
      <c r="F31" s="113">
        <v>1</v>
      </c>
      <c r="G31" s="113">
        <v>1</v>
      </c>
    </row>
    <row r="32" spans="1:7" ht="15.75" customHeight="1" x14ac:dyDescent="0.25">
      <c r="A32" s="40" t="s">
        <v>193</v>
      </c>
      <c r="B32" s="53"/>
      <c r="C32" s="113">
        <v>0.95</v>
      </c>
      <c r="D32" s="114"/>
      <c r="E32" s="65" t="s">
        <v>201</v>
      </c>
      <c r="F32" s="113">
        <v>1</v>
      </c>
      <c r="G32" s="113">
        <v>1</v>
      </c>
    </row>
    <row r="33" spans="1:7" ht="15.75" customHeight="1" x14ac:dyDescent="0.25">
      <c r="A33" s="40" t="s">
        <v>194</v>
      </c>
      <c r="B33" s="53"/>
      <c r="C33" s="113">
        <v>0.95</v>
      </c>
      <c r="D33" s="114">
        <v>99</v>
      </c>
      <c r="E33" s="65" t="s">
        <v>201</v>
      </c>
      <c r="F33" s="113">
        <v>1</v>
      </c>
      <c r="G33" s="113">
        <v>1</v>
      </c>
    </row>
    <row r="34" spans="1:7" ht="15.75" customHeight="1" x14ac:dyDescent="0.25">
      <c r="A34" s="40" t="s">
        <v>195</v>
      </c>
      <c r="B34" s="53"/>
      <c r="C34" s="113">
        <v>0.95</v>
      </c>
      <c r="D34" s="114">
        <v>99</v>
      </c>
      <c r="E34" s="65" t="s">
        <v>201</v>
      </c>
      <c r="F34" s="113">
        <v>1</v>
      </c>
      <c r="G34" s="113">
        <v>1</v>
      </c>
    </row>
    <row r="35" spans="1:7" ht="15.75" customHeight="1" x14ac:dyDescent="0.25">
      <c r="A35" s="40" t="s">
        <v>196</v>
      </c>
      <c r="B35" s="118"/>
      <c r="C35" s="113">
        <v>0.95</v>
      </c>
      <c r="D35" s="114">
        <v>99</v>
      </c>
      <c r="E35" s="65" t="s">
        <v>201</v>
      </c>
      <c r="F35" s="113">
        <v>1</v>
      </c>
      <c r="G35" s="113">
        <v>1</v>
      </c>
    </row>
    <row r="36" spans="1:7" ht="15.75" customHeight="1" x14ac:dyDescent="0.25">
      <c r="A36" s="40" t="s">
        <v>197</v>
      </c>
      <c r="B36" s="53"/>
      <c r="C36" s="113">
        <v>0.95</v>
      </c>
      <c r="D36" s="114">
        <v>99</v>
      </c>
      <c r="E36" s="65" t="s">
        <v>201</v>
      </c>
      <c r="F36" s="113">
        <v>1</v>
      </c>
      <c r="G36" s="113">
        <v>1</v>
      </c>
    </row>
    <row r="37" spans="1:7" ht="15.75" customHeight="1" x14ac:dyDescent="0.25">
      <c r="A37" s="40" t="s">
        <v>198</v>
      </c>
      <c r="B37" s="53"/>
      <c r="C37" s="113">
        <v>0.95</v>
      </c>
      <c r="D37" s="114">
        <v>99</v>
      </c>
      <c r="E37" s="65" t="s">
        <v>201</v>
      </c>
      <c r="F37" s="113">
        <v>1</v>
      </c>
      <c r="G37" s="113">
        <v>1</v>
      </c>
    </row>
    <row r="38" spans="1:7" ht="15.75" customHeight="1" x14ac:dyDescent="0.25">
      <c r="A38" s="40" t="s">
        <v>199</v>
      </c>
      <c r="B38" s="53"/>
      <c r="C38" s="113">
        <v>0.95</v>
      </c>
      <c r="D38" s="114"/>
      <c r="E38" s="65" t="s">
        <v>201</v>
      </c>
      <c r="F38" s="113">
        <v>1</v>
      </c>
      <c r="G38" s="113">
        <v>1</v>
      </c>
    </row>
    <row r="39" spans="1:7" ht="15.75" customHeight="1" x14ac:dyDescent="0.25">
      <c r="A39" s="40" t="s">
        <v>200</v>
      </c>
      <c r="B39" s="53"/>
      <c r="C39" s="113">
        <v>0.95</v>
      </c>
      <c r="D39" s="114"/>
      <c r="E39" s="65" t="s">
        <v>201</v>
      </c>
      <c r="F39" s="113">
        <v>1</v>
      </c>
      <c r="G39" s="113">
        <v>1</v>
      </c>
    </row>
  </sheetData>
  <sheetProtection algorithmName="SHA-512" hashValue="aDYmUvolvWbPlY5U9UIOOK8f3onEiqk2VPGHgBu3efq1rHKTW7OWEEwlhhMd+vlZ3K/+XXGCJaDsy6fSBx8dtg==" saltValue="OlxCHxwb0eYj5GqEZtxzd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160</v>
      </c>
      <c r="B1" s="30" t="s">
        <v>206</v>
      </c>
      <c r="C1" s="30" t="s">
        <v>207</v>
      </c>
    </row>
    <row r="2" spans="1:3" x14ac:dyDescent="0.25">
      <c r="A2" s="66" t="s">
        <v>180</v>
      </c>
      <c r="B2" s="64" t="s">
        <v>190</v>
      </c>
      <c r="C2" s="64"/>
    </row>
    <row r="3" spans="1:3" x14ac:dyDescent="0.25">
      <c r="A3" s="66" t="s">
        <v>181</v>
      </c>
      <c r="B3" s="64" t="s">
        <v>190</v>
      </c>
      <c r="C3" s="64"/>
    </row>
    <row r="4" spans="1:3" x14ac:dyDescent="0.25">
      <c r="A4" s="67" t="s">
        <v>192</v>
      </c>
      <c r="B4" s="64" t="s">
        <v>185</v>
      </c>
      <c r="C4" s="64"/>
    </row>
    <row r="5" spans="1:3" x14ac:dyDescent="0.25">
      <c r="A5" s="67" t="s">
        <v>189</v>
      </c>
      <c r="B5" s="64" t="s">
        <v>185</v>
      </c>
      <c r="C5" s="64"/>
    </row>
    <row r="6" spans="1:3" x14ac:dyDescent="0.25">
      <c r="A6" s="67"/>
      <c r="B6" s="68"/>
      <c r="C6" s="68"/>
    </row>
    <row r="7" spans="1:3" x14ac:dyDescent="0.25">
      <c r="A7" s="67"/>
      <c r="B7" s="68"/>
      <c r="C7" s="68"/>
    </row>
    <row r="8" spans="1:3" x14ac:dyDescent="0.25">
      <c r="A8" s="67"/>
      <c r="B8" s="68"/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LZiWkbhq4Nbir4mHJZL01k/+axnzr+Atj+eeB3NNiI/SSuYq1dRSJE0ABH4B57PWyl7vBXeEnHMKdrMYqTn02A==" saltValue="I/jwq46ybHRkiWv2tGPo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160</v>
      </c>
    </row>
    <row r="2" spans="1:1" x14ac:dyDescent="0.25">
      <c r="A2" s="36" t="s">
        <v>172</v>
      </c>
    </row>
    <row r="3" spans="1:1" x14ac:dyDescent="0.25">
      <c r="A3" s="36" t="s">
        <v>182</v>
      </c>
    </row>
    <row r="4" spans="1:1" x14ac:dyDescent="0.25">
      <c r="A4" s="36" t="s">
        <v>186</v>
      </c>
    </row>
    <row r="5" spans="1:1" x14ac:dyDescent="0.25">
      <c r="A5" s="36" t="s">
        <v>194</v>
      </c>
    </row>
    <row r="6" spans="1:1" x14ac:dyDescent="0.25">
      <c r="A6" s="36" t="s">
        <v>195</v>
      </c>
    </row>
    <row r="7" spans="1:1" x14ac:dyDescent="0.25">
      <c r="A7" s="36" t="s">
        <v>196</v>
      </c>
    </row>
    <row r="8" spans="1:1" x14ac:dyDescent="0.25">
      <c r="A8" s="36" t="s">
        <v>197</v>
      </c>
    </row>
    <row r="9" spans="1:1" x14ac:dyDescent="0.25">
      <c r="A9" s="36" t="s">
        <v>198</v>
      </c>
    </row>
    <row r="10" spans="1:1" x14ac:dyDescent="0.25">
      <c r="A10" s="36"/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sheetProtection algorithmName="SHA-512" hashValue="M33Yo/Qdrpxc6WvYLhkMtonJmUHESsclov7je8QAqKulLfEw3CWgoNSUxJVzvXc3h/3KO038J3wrXzM5MBLn9A==" saltValue="7n9VQ/vy+MD6SGGC6WaA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0</v>
      </c>
      <c r="C2" s="21">
        <f>'Données pop de l''année de ref'!C52</f>
        <v>0</v>
      </c>
      <c r="D2" s="21">
        <f>'Données pop de l''année de ref'!C53</f>
        <v>0</v>
      </c>
      <c r="E2" s="21">
        <f>'Données pop de l''année de ref'!C54</f>
        <v>0</v>
      </c>
      <c r="F2" s="21">
        <f>'Données pop de l''année de ref'!C55</f>
        <v>0</v>
      </c>
    </row>
    <row r="3" spans="1:6" ht="15.75" customHeight="1" x14ac:dyDescent="0.25">
      <c r="A3" s="3" t="s">
        <v>209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P4BVZil+d6B5s2szplGvPB1C+Mqhtp71XiCp9PB5OceHzNyOrXLTCeWvSQrtuWIJfCNh/mSb2qsesMskF4rfTg==" saltValue="CiN57oYOZhTMzlZFJ7oO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171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184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185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189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191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192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205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161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193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199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200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169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181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182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187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188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190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6" t="s">
        <v>172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176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177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178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179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174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175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183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186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194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195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196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197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198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LUJbjlAjrwbWpjFO8N++ZxY9sC0ji567WhEP6EE1aB4+9djjkMYj5hbahRvoyGWHuljjwbsYrgvUOT1L0mjPjQ==" saltValue="jufrRQ+ZPCW2byrWLNjSo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/xRS2Tuqn71OCmkerDZSZyd6bHEVVV3kS/SCUSSKvPDIwYlYjL5SJ37bIa6ge1LosttWJ7mkq4xjzu5ZOqErw==" saltValue="/5+OYVYNx4XkEaF4h+Df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216</v>
      </c>
      <c r="B1" s="30" t="s">
        <v>215</v>
      </c>
      <c r="C1" s="30" t="s">
        <v>4</v>
      </c>
      <c r="D1" s="30" t="s">
        <v>144</v>
      </c>
      <c r="E1" s="30" t="s">
        <v>225</v>
      </c>
    </row>
    <row r="2" spans="1:5" ht="14" x14ac:dyDescent="0.3">
      <c r="A2" s="29" t="s">
        <v>217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218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219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220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3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221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222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223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224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sheetProtection algorithmName="SHA-512" hashValue="eC8CdBn6ZIvqrSNTHTX/d9/rrIuRH4N7c/qo/Q+UQcGIlitRw0OrPhBbjmJL77yuoF3YnRIoJn0JSsMtQfG1Gg==" saltValue="4s/uTK9cP5Lmje611It2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211</v>
      </c>
      <c r="B1" s="72" t="s">
        <v>160</v>
      </c>
      <c r="C1" s="44" t="s">
        <v>109</v>
      </c>
      <c r="D1" s="44" t="s">
        <v>96</v>
      </c>
      <c r="E1" s="44" t="s">
        <v>97</v>
      </c>
      <c r="F1" s="44" t="s">
        <v>98</v>
      </c>
      <c r="G1" s="44" t="s">
        <v>99</v>
      </c>
      <c r="H1" s="44" t="s">
        <v>122</v>
      </c>
      <c r="I1" s="44" t="s">
        <v>123</v>
      </c>
      <c r="J1" s="44" t="s">
        <v>124</v>
      </c>
      <c r="K1" s="44" t="s">
        <v>125</v>
      </c>
      <c r="L1" s="44" t="s">
        <v>69</v>
      </c>
      <c r="M1" s="44" t="s">
        <v>70</v>
      </c>
      <c r="N1" s="44" t="s">
        <v>71</v>
      </c>
      <c r="O1" s="44" t="s">
        <v>72</v>
      </c>
    </row>
    <row r="2" spans="1:15" ht="15.75" customHeight="1" x14ac:dyDescent="0.35">
      <c r="A2" s="44" t="s">
        <v>86</v>
      </c>
      <c r="B2" s="40" t="s">
        <v>170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171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157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158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159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184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185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189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191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192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205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161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193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199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200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100</v>
      </c>
      <c r="B18" s="40" t="s">
        <v>168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169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180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181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182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187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188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190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75</v>
      </c>
      <c r="B27" s="40" t="s">
        <v>172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176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177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178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179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210</v>
      </c>
      <c r="B33" s="40" t="s">
        <v>173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174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175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183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186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194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195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196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197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198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KdXV2rLjGfBlpXRFdjtA+Oa8hGfWKPeSyYkn55ylgRcnd0Vw3jlNmluSXE5RZ+f4xZiUkvYL5in9Ja+dYC5fng==" saltValue="kJRJ/mZN+dbCH02Qm67O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160</v>
      </c>
      <c r="B1" s="28" t="s">
        <v>226</v>
      </c>
      <c r="C1" s="28" t="s">
        <v>121</v>
      </c>
      <c r="D1" s="28" t="s">
        <v>227</v>
      </c>
      <c r="E1" s="28" t="s">
        <v>228</v>
      </c>
      <c r="F1" s="28" t="s">
        <v>128</v>
      </c>
      <c r="G1" s="28" t="s">
        <v>87</v>
      </c>
      <c r="H1" s="28" t="s">
        <v>43</v>
      </c>
      <c r="I1" s="28" t="s">
        <v>229</v>
      </c>
      <c r="J1" s="28" t="s">
        <v>36</v>
      </c>
      <c r="K1" s="28" t="s">
        <v>68</v>
      </c>
    </row>
    <row r="2" spans="1:11" x14ac:dyDescent="0.25">
      <c r="A2" s="40" t="s">
        <v>168</v>
      </c>
      <c r="B2" s="102"/>
      <c r="C2" s="102"/>
      <c r="D2" s="102"/>
      <c r="E2" s="102"/>
      <c r="F2" s="102"/>
      <c r="G2" s="102"/>
      <c r="H2" s="102"/>
      <c r="I2" s="102" t="s">
        <v>7</v>
      </c>
      <c r="J2" s="102"/>
      <c r="K2" s="102"/>
    </row>
    <row r="3" spans="1:11" x14ac:dyDescent="0.25">
      <c r="A3" s="40" t="s">
        <v>169</v>
      </c>
      <c r="B3" s="102"/>
      <c r="C3" s="102"/>
      <c r="D3" s="102"/>
      <c r="E3" s="102"/>
      <c r="F3" s="102"/>
      <c r="G3" s="102"/>
      <c r="H3" s="102" t="s">
        <v>7</v>
      </c>
      <c r="I3" s="102"/>
      <c r="J3" s="102"/>
      <c r="K3" s="102"/>
    </row>
    <row r="4" spans="1:11" x14ac:dyDescent="0.25">
      <c r="A4" s="40" t="s">
        <v>170</v>
      </c>
      <c r="B4" s="102"/>
      <c r="C4" s="102"/>
      <c r="D4" s="102" t="s">
        <v>7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171</v>
      </c>
      <c r="B5" s="102"/>
      <c r="C5" s="102" t="s">
        <v>7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172</v>
      </c>
      <c r="B6" s="102"/>
      <c r="C6" s="102"/>
      <c r="D6" s="102"/>
      <c r="E6" s="102"/>
      <c r="F6" s="102"/>
      <c r="G6" s="102"/>
      <c r="H6" s="102"/>
      <c r="I6" s="102"/>
      <c r="J6" s="102" t="s">
        <v>7</v>
      </c>
      <c r="K6" s="102" t="s">
        <v>7</v>
      </c>
    </row>
    <row r="7" spans="1:11" x14ac:dyDescent="0.25">
      <c r="A7" s="40" t="s">
        <v>173</v>
      </c>
      <c r="B7" s="102"/>
      <c r="C7" s="102" t="s">
        <v>7</v>
      </c>
      <c r="D7" s="102"/>
      <c r="E7" s="102"/>
      <c r="F7" s="102"/>
      <c r="G7" s="102"/>
      <c r="H7" s="102" t="s">
        <v>7</v>
      </c>
      <c r="I7" s="102"/>
      <c r="J7" s="102"/>
      <c r="K7" s="102"/>
    </row>
    <row r="8" spans="1:11" x14ac:dyDescent="0.25">
      <c r="A8" s="40" t="s">
        <v>174</v>
      </c>
      <c r="B8" s="102"/>
      <c r="C8" s="102" t="s">
        <v>7</v>
      </c>
      <c r="D8" s="102"/>
      <c r="E8" s="102"/>
      <c r="F8" s="102"/>
      <c r="G8" s="102"/>
      <c r="H8" s="102" t="s">
        <v>7</v>
      </c>
      <c r="I8" s="102"/>
      <c r="J8" s="102"/>
      <c r="K8" s="102"/>
    </row>
    <row r="9" spans="1:11" x14ac:dyDescent="0.25">
      <c r="A9" s="40" t="s">
        <v>175</v>
      </c>
      <c r="B9" s="102"/>
      <c r="C9" s="102" t="s">
        <v>7</v>
      </c>
      <c r="D9" s="102"/>
      <c r="E9" s="102"/>
      <c r="F9" s="102"/>
      <c r="G9" s="102"/>
      <c r="H9" s="102" t="s">
        <v>7</v>
      </c>
      <c r="I9" s="102"/>
      <c r="J9" s="102"/>
      <c r="K9" s="102"/>
    </row>
    <row r="10" spans="1:11" x14ac:dyDescent="0.25">
      <c r="A10" s="46" t="s">
        <v>176</v>
      </c>
      <c r="B10" s="102"/>
      <c r="C10" s="102" t="s">
        <v>7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177</v>
      </c>
      <c r="B11" s="102"/>
      <c r="C11" s="102" t="s">
        <v>7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178</v>
      </c>
      <c r="B12" s="102"/>
      <c r="C12" s="102" t="s">
        <v>7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179</v>
      </c>
      <c r="B13" s="102"/>
      <c r="C13" s="102" t="s">
        <v>7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180</v>
      </c>
      <c r="B14" s="102"/>
      <c r="C14" s="102" t="s">
        <v>7</v>
      </c>
      <c r="D14" s="102"/>
      <c r="E14" s="102"/>
      <c r="F14" s="102"/>
      <c r="G14" s="102"/>
      <c r="H14" s="102"/>
      <c r="I14" s="102" t="s">
        <v>7</v>
      </c>
      <c r="J14" s="102"/>
      <c r="K14" s="102"/>
    </row>
    <row r="15" spans="1:11" x14ac:dyDescent="0.25">
      <c r="A15" s="73" t="s">
        <v>181</v>
      </c>
      <c r="B15" s="102"/>
      <c r="C15" s="102" t="s">
        <v>7</v>
      </c>
      <c r="D15" s="102"/>
      <c r="E15" s="102"/>
      <c r="F15" s="102"/>
      <c r="G15" s="102"/>
      <c r="H15" s="102"/>
      <c r="I15" s="102" t="s">
        <v>7</v>
      </c>
      <c r="J15" s="102"/>
      <c r="K15" s="102"/>
    </row>
    <row r="16" spans="1:11" x14ac:dyDescent="0.25">
      <c r="A16" s="40" t="s">
        <v>182</v>
      </c>
      <c r="B16" s="102"/>
      <c r="C16" s="102" t="s">
        <v>7</v>
      </c>
      <c r="D16" s="102"/>
      <c r="E16" s="102"/>
      <c r="F16" s="102"/>
      <c r="G16" s="102"/>
      <c r="H16" s="102" t="s">
        <v>7</v>
      </c>
      <c r="I16" s="102" t="s">
        <v>7</v>
      </c>
      <c r="J16" s="102"/>
      <c r="K16" s="102"/>
    </row>
    <row r="17" spans="1:11" x14ac:dyDescent="0.25">
      <c r="A17" s="40" t="s">
        <v>183</v>
      </c>
      <c r="B17" s="102"/>
      <c r="C17" s="102" t="s">
        <v>7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157</v>
      </c>
      <c r="B18" s="102" t="s">
        <v>7</v>
      </c>
      <c r="C18" s="102"/>
      <c r="D18" s="102"/>
      <c r="E18" s="102"/>
      <c r="F18" s="102" t="s">
        <v>7</v>
      </c>
      <c r="G18" s="102"/>
      <c r="H18" s="102"/>
      <c r="I18" s="102"/>
      <c r="J18" s="102"/>
      <c r="K18" s="102"/>
    </row>
    <row r="19" spans="1:11" x14ac:dyDescent="0.25">
      <c r="A19" s="40" t="s">
        <v>158</v>
      </c>
      <c r="B19" s="102" t="s">
        <v>7</v>
      </c>
      <c r="C19" s="102"/>
      <c r="D19" s="102"/>
      <c r="E19" s="102"/>
      <c r="F19" s="102" t="s">
        <v>7</v>
      </c>
      <c r="G19" s="102"/>
      <c r="H19" s="102"/>
      <c r="I19" s="102"/>
      <c r="J19" s="102"/>
      <c r="K19" s="102"/>
    </row>
    <row r="20" spans="1:11" x14ac:dyDescent="0.25">
      <c r="A20" s="40" t="s">
        <v>159</v>
      </c>
      <c r="B20" s="102" t="s">
        <v>7</v>
      </c>
      <c r="C20" s="102"/>
      <c r="D20" s="102"/>
      <c r="E20" s="102"/>
      <c r="F20" s="102" t="s">
        <v>7</v>
      </c>
      <c r="G20" s="102"/>
      <c r="H20" s="102"/>
      <c r="I20" s="102"/>
      <c r="J20" s="102"/>
      <c r="K20" s="102"/>
    </row>
    <row r="21" spans="1:11" x14ac:dyDescent="0.25">
      <c r="A21" s="40" t="s">
        <v>184</v>
      </c>
      <c r="B21" s="102"/>
      <c r="C21" s="102"/>
      <c r="D21" s="102"/>
      <c r="E21" s="102"/>
      <c r="F21" s="102"/>
      <c r="G21" s="102"/>
      <c r="H21" s="102" t="s">
        <v>7</v>
      </c>
      <c r="I21" s="102" t="s">
        <v>7</v>
      </c>
      <c r="J21" s="102"/>
      <c r="K21" s="102"/>
    </row>
    <row r="22" spans="1:11" x14ac:dyDescent="0.25">
      <c r="A22" s="40" t="s">
        <v>185</v>
      </c>
      <c r="B22" s="102" t="s">
        <v>7</v>
      </c>
      <c r="C22" s="102" t="s">
        <v>7</v>
      </c>
      <c r="D22" s="102" t="s">
        <v>7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186</v>
      </c>
      <c r="B23" s="102"/>
      <c r="C23" s="102" t="s">
        <v>7</v>
      </c>
      <c r="D23" s="102"/>
      <c r="E23" s="102"/>
      <c r="F23" s="102"/>
      <c r="G23" s="102"/>
      <c r="H23" s="102"/>
      <c r="I23" s="102" t="s">
        <v>7</v>
      </c>
      <c r="J23" s="102"/>
      <c r="K23" s="102"/>
    </row>
    <row r="24" spans="1:11" x14ac:dyDescent="0.25">
      <c r="A24" s="40" t="s">
        <v>187</v>
      </c>
      <c r="B24" s="102"/>
      <c r="C24" s="102"/>
      <c r="D24" s="102"/>
      <c r="E24" s="102"/>
      <c r="F24" s="102"/>
      <c r="G24" s="102"/>
      <c r="H24" s="102" t="s">
        <v>7</v>
      </c>
      <c r="I24" s="102"/>
      <c r="J24" s="102"/>
      <c r="K24" s="102"/>
    </row>
    <row r="25" spans="1:11" x14ac:dyDescent="0.25">
      <c r="A25" s="40" t="s">
        <v>188</v>
      </c>
      <c r="B25" s="102"/>
      <c r="C25" s="102"/>
      <c r="D25" s="102"/>
      <c r="E25" s="102"/>
      <c r="F25" s="102"/>
      <c r="G25" s="102"/>
      <c r="H25" s="102" t="s">
        <v>7</v>
      </c>
      <c r="I25" s="102"/>
      <c r="J25" s="102"/>
      <c r="K25" s="102"/>
    </row>
    <row r="26" spans="1:11" x14ac:dyDescent="0.25">
      <c r="A26" s="40" t="s">
        <v>189</v>
      </c>
      <c r="B26" s="102"/>
      <c r="C26" s="102" t="s">
        <v>7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190</v>
      </c>
      <c r="B27" s="102"/>
      <c r="C27" s="102" t="s">
        <v>7</v>
      </c>
      <c r="D27" s="102"/>
      <c r="E27" s="102"/>
      <c r="F27" s="102"/>
      <c r="G27" s="102"/>
      <c r="H27" s="102"/>
      <c r="I27" s="102" t="s">
        <v>7</v>
      </c>
      <c r="J27" s="102"/>
      <c r="K27" s="102"/>
    </row>
    <row r="28" spans="1:11" x14ac:dyDescent="0.25">
      <c r="A28" s="40" t="s">
        <v>191</v>
      </c>
      <c r="B28" s="102"/>
      <c r="C28" s="102"/>
      <c r="D28" s="102"/>
      <c r="E28" s="102"/>
      <c r="F28" s="102"/>
      <c r="G28" s="102"/>
      <c r="H28" s="102" t="s">
        <v>7</v>
      </c>
      <c r="I28" s="102"/>
      <c r="J28" s="102"/>
      <c r="K28" s="102"/>
    </row>
    <row r="29" spans="1:11" x14ac:dyDescent="0.25">
      <c r="A29" s="40" t="s">
        <v>192</v>
      </c>
      <c r="B29" s="102" t="s">
        <v>7</v>
      </c>
      <c r="C29" s="102"/>
      <c r="D29" s="102" t="s">
        <v>7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205</v>
      </c>
      <c r="B30" s="102" t="s">
        <v>7</v>
      </c>
      <c r="C30" s="102" t="s">
        <v>7</v>
      </c>
      <c r="D30" s="102" t="s">
        <v>7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161</v>
      </c>
      <c r="B31" s="102"/>
      <c r="C31" s="102"/>
      <c r="D31" s="102"/>
      <c r="E31" s="102" t="s">
        <v>7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193</v>
      </c>
      <c r="B32" s="102"/>
      <c r="C32" s="102"/>
      <c r="D32" s="102"/>
      <c r="E32" s="102"/>
      <c r="F32" s="102"/>
      <c r="G32" s="102" t="s">
        <v>7</v>
      </c>
      <c r="H32" s="102" t="s">
        <v>7</v>
      </c>
      <c r="I32" s="102"/>
      <c r="J32" s="102"/>
      <c r="K32" s="102"/>
    </row>
    <row r="33" spans="1:11" x14ac:dyDescent="0.25">
      <c r="A33" s="40" t="s">
        <v>194</v>
      </c>
      <c r="B33" s="102"/>
      <c r="C33" s="102"/>
      <c r="D33" s="102"/>
      <c r="E33" s="102"/>
      <c r="F33" s="102"/>
      <c r="G33" s="102" t="s">
        <v>7</v>
      </c>
      <c r="H33" s="102" t="s">
        <v>7</v>
      </c>
      <c r="I33" s="102"/>
      <c r="J33" s="102"/>
      <c r="K33" s="102"/>
    </row>
    <row r="34" spans="1:11" x14ac:dyDescent="0.25">
      <c r="A34" s="40" t="s">
        <v>195</v>
      </c>
      <c r="B34" s="102"/>
      <c r="C34" s="102"/>
      <c r="D34" s="102"/>
      <c r="E34" s="102"/>
      <c r="F34" s="102"/>
      <c r="G34" s="102" t="s">
        <v>7</v>
      </c>
      <c r="H34" s="102" t="s">
        <v>7</v>
      </c>
      <c r="I34" s="102"/>
      <c r="J34" s="102"/>
      <c r="K34" s="102"/>
    </row>
    <row r="35" spans="1:11" x14ac:dyDescent="0.25">
      <c r="A35" s="40" t="s">
        <v>196</v>
      </c>
      <c r="B35" s="102"/>
      <c r="C35" s="102"/>
      <c r="D35" s="102"/>
      <c r="E35" s="102"/>
      <c r="F35" s="102"/>
      <c r="G35" s="102" t="s">
        <v>7</v>
      </c>
      <c r="H35" s="102" t="s">
        <v>7</v>
      </c>
      <c r="I35" s="102"/>
      <c r="J35" s="102"/>
      <c r="K35" s="102"/>
    </row>
    <row r="36" spans="1:11" x14ac:dyDescent="0.25">
      <c r="A36" s="40" t="s">
        <v>197</v>
      </c>
      <c r="B36" s="102"/>
      <c r="C36" s="102"/>
      <c r="D36" s="102"/>
      <c r="E36" s="102"/>
      <c r="F36" s="102"/>
      <c r="G36" s="102" t="s">
        <v>7</v>
      </c>
      <c r="H36" s="102" t="s">
        <v>7</v>
      </c>
      <c r="I36" s="102"/>
      <c r="J36" s="102"/>
      <c r="K36" s="102"/>
    </row>
    <row r="37" spans="1:11" x14ac:dyDescent="0.25">
      <c r="A37" s="40" t="s">
        <v>198</v>
      </c>
      <c r="B37" s="102"/>
      <c r="C37" s="102"/>
      <c r="D37" s="102"/>
      <c r="E37" s="102"/>
      <c r="F37" s="102"/>
      <c r="G37" s="102" t="s">
        <v>7</v>
      </c>
      <c r="H37" s="102" t="s">
        <v>7</v>
      </c>
      <c r="I37" s="102"/>
      <c r="J37" s="102"/>
      <c r="K37" s="102"/>
    </row>
    <row r="38" spans="1:11" x14ac:dyDescent="0.25">
      <c r="A38" s="40" t="s">
        <v>199</v>
      </c>
      <c r="B38" s="102"/>
      <c r="C38" s="102"/>
      <c r="D38" s="102"/>
      <c r="E38" s="102"/>
      <c r="F38" s="102"/>
      <c r="G38" s="102"/>
      <c r="H38" s="102" t="s">
        <v>7</v>
      </c>
      <c r="I38" s="102"/>
      <c r="J38" s="102"/>
      <c r="K38" s="102"/>
    </row>
    <row r="39" spans="1:11" x14ac:dyDescent="0.25">
      <c r="A39" s="40" t="s">
        <v>200</v>
      </c>
      <c r="B39" s="102" t="s">
        <v>7</v>
      </c>
      <c r="C39" s="102"/>
      <c r="D39" s="102"/>
      <c r="E39" s="102"/>
      <c r="F39" s="102"/>
      <c r="G39" s="102" t="s">
        <v>7</v>
      </c>
      <c r="H39" s="102" t="s">
        <v>7</v>
      </c>
      <c r="I39" s="102"/>
      <c r="J39" s="102"/>
      <c r="K39" s="102"/>
    </row>
  </sheetData>
  <sheetProtection algorithmName="SHA-512" hashValue="o/L3VvIOUtRBBPAU0nBkw0hLC5tqpLVkasK7DRMf4k5h1lU1wEALAP4hblAAG31ab/hAfRwFLnfuIQeN5BLwSQ==" saltValue="quBpUwG6u5C+ETpn5rAz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230</v>
      </c>
      <c r="B1" s="28" t="s">
        <v>226</v>
      </c>
      <c r="C1" s="28" t="s">
        <v>121</v>
      </c>
      <c r="D1" s="28" t="s">
        <v>227</v>
      </c>
      <c r="E1" s="28" t="s">
        <v>228</v>
      </c>
      <c r="F1" s="28" t="s">
        <v>128</v>
      </c>
      <c r="G1" s="28" t="s">
        <v>87</v>
      </c>
      <c r="H1" s="28" t="s">
        <v>43</v>
      </c>
      <c r="I1" s="28" t="s">
        <v>229</v>
      </c>
      <c r="J1" s="28" t="s">
        <v>36</v>
      </c>
      <c r="K1" s="28" t="s">
        <v>68</v>
      </c>
    </row>
    <row r="2" spans="1:11" x14ac:dyDescent="0.25">
      <c r="A2" s="28" t="s">
        <v>109</v>
      </c>
      <c r="B2" s="102" t="s">
        <v>7</v>
      </c>
      <c r="C2" s="102" t="s">
        <v>7</v>
      </c>
      <c r="D2" s="102" t="s">
        <v>7</v>
      </c>
      <c r="E2" s="102" t="s">
        <v>7</v>
      </c>
      <c r="F2" s="102" t="s">
        <v>7</v>
      </c>
      <c r="G2" s="102" t="s">
        <v>7</v>
      </c>
      <c r="H2" s="102" t="s">
        <v>7</v>
      </c>
      <c r="I2" s="102"/>
      <c r="J2" s="102"/>
      <c r="K2" s="102"/>
    </row>
    <row r="3" spans="1:11" x14ac:dyDescent="0.25">
      <c r="A3" s="28" t="s">
        <v>96</v>
      </c>
      <c r="B3" s="102" t="s">
        <v>7</v>
      </c>
      <c r="C3" s="102" t="s">
        <v>7</v>
      </c>
      <c r="D3" s="102" t="s">
        <v>7</v>
      </c>
      <c r="E3" s="102" t="s">
        <v>7</v>
      </c>
      <c r="F3" s="102" t="s">
        <v>7</v>
      </c>
      <c r="G3" s="102" t="s">
        <v>7</v>
      </c>
      <c r="H3" s="102" t="s">
        <v>7</v>
      </c>
      <c r="I3" s="102"/>
      <c r="J3" s="102"/>
      <c r="K3" s="102"/>
    </row>
    <row r="4" spans="1:11" x14ac:dyDescent="0.25">
      <c r="A4" s="28" t="s">
        <v>97</v>
      </c>
      <c r="B4" s="102" t="s">
        <v>7</v>
      </c>
      <c r="C4" s="102" t="s">
        <v>7</v>
      </c>
      <c r="D4" s="102" t="s">
        <v>7</v>
      </c>
      <c r="E4" s="102" t="s">
        <v>7</v>
      </c>
      <c r="F4" s="102" t="s">
        <v>7</v>
      </c>
      <c r="G4" s="102" t="s">
        <v>7</v>
      </c>
      <c r="H4" s="102" t="s">
        <v>7</v>
      </c>
      <c r="I4" s="102"/>
      <c r="J4" s="102"/>
      <c r="K4" s="102"/>
    </row>
    <row r="5" spans="1:11" x14ac:dyDescent="0.25">
      <c r="A5" s="28" t="s">
        <v>98</v>
      </c>
      <c r="B5" s="102" t="s">
        <v>7</v>
      </c>
      <c r="C5" s="102" t="s">
        <v>7</v>
      </c>
      <c r="D5" s="102" t="s">
        <v>7</v>
      </c>
      <c r="E5" s="102" t="s">
        <v>7</v>
      </c>
      <c r="F5" s="102" t="s">
        <v>7</v>
      </c>
      <c r="G5" s="102" t="s">
        <v>7</v>
      </c>
      <c r="H5" s="102" t="s">
        <v>7</v>
      </c>
      <c r="I5" s="102"/>
      <c r="J5" s="102"/>
      <c r="K5" s="102"/>
    </row>
    <row r="6" spans="1:11" x14ac:dyDescent="0.25">
      <c r="A6" s="28" t="s">
        <v>99</v>
      </c>
      <c r="B6" s="102" t="s">
        <v>7</v>
      </c>
      <c r="C6" s="102" t="s">
        <v>7</v>
      </c>
      <c r="D6" s="102" t="s">
        <v>7</v>
      </c>
      <c r="E6" s="102" t="s">
        <v>7</v>
      </c>
      <c r="F6" s="102" t="s">
        <v>7</v>
      </c>
      <c r="G6" s="102" t="s">
        <v>7</v>
      </c>
      <c r="H6" s="102" t="s">
        <v>7</v>
      </c>
      <c r="I6" s="102"/>
      <c r="J6" s="102"/>
      <c r="K6" s="102"/>
    </row>
    <row r="7" spans="1:11" x14ac:dyDescent="0.25">
      <c r="A7" s="28" t="s">
        <v>122</v>
      </c>
      <c r="B7" s="102"/>
      <c r="C7" s="102" t="s">
        <v>7</v>
      </c>
      <c r="D7" s="102"/>
      <c r="E7" s="102"/>
      <c r="F7" s="102"/>
      <c r="G7" s="102"/>
      <c r="H7" s="102" t="s">
        <v>7</v>
      </c>
      <c r="I7" s="102" t="s">
        <v>7</v>
      </c>
      <c r="J7" s="102"/>
      <c r="K7" s="102"/>
    </row>
    <row r="8" spans="1:11" x14ac:dyDescent="0.25">
      <c r="A8" s="28" t="s">
        <v>123</v>
      </c>
      <c r="B8" s="102"/>
      <c r="C8" s="102" t="s">
        <v>7</v>
      </c>
      <c r="D8" s="102"/>
      <c r="E8" s="102"/>
      <c r="F8" s="102"/>
      <c r="G8" s="102"/>
      <c r="H8" s="102" t="s">
        <v>7</v>
      </c>
      <c r="I8" s="102" t="s">
        <v>7</v>
      </c>
      <c r="J8" s="102"/>
      <c r="K8" s="102"/>
    </row>
    <row r="9" spans="1:11" x14ac:dyDescent="0.25">
      <c r="A9" s="28" t="s">
        <v>124</v>
      </c>
      <c r="B9" s="102"/>
      <c r="C9" s="102" t="s">
        <v>7</v>
      </c>
      <c r="D9" s="102"/>
      <c r="E9" s="102"/>
      <c r="F9" s="102"/>
      <c r="G9" s="102"/>
      <c r="H9" s="102" t="s">
        <v>7</v>
      </c>
      <c r="I9" s="102" t="s">
        <v>7</v>
      </c>
      <c r="J9" s="102"/>
      <c r="K9" s="102"/>
    </row>
    <row r="10" spans="1:11" x14ac:dyDescent="0.25">
      <c r="A10" s="28" t="s">
        <v>125</v>
      </c>
      <c r="B10" s="102"/>
      <c r="C10" s="102" t="s">
        <v>7</v>
      </c>
      <c r="D10" s="102"/>
      <c r="E10" s="102"/>
      <c r="F10" s="102"/>
      <c r="G10" s="102"/>
      <c r="H10" s="102" t="s">
        <v>7</v>
      </c>
      <c r="I10" s="102" t="s">
        <v>7</v>
      </c>
      <c r="J10" s="102"/>
      <c r="K10" s="102"/>
    </row>
    <row r="11" spans="1:11" x14ac:dyDescent="0.25">
      <c r="A11" s="28" t="s">
        <v>69</v>
      </c>
      <c r="B11" s="102"/>
      <c r="C11" s="102" t="s">
        <v>7</v>
      </c>
      <c r="D11" s="102"/>
      <c r="E11" s="102"/>
      <c r="F11" s="102"/>
      <c r="G11" s="102"/>
      <c r="H11" s="102"/>
      <c r="I11" s="102"/>
      <c r="J11" s="102" t="s">
        <v>7</v>
      </c>
      <c r="K11" s="102" t="s">
        <v>7</v>
      </c>
    </row>
    <row r="12" spans="1:11" x14ac:dyDescent="0.25">
      <c r="A12" s="28" t="s">
        <v>70</v>
      </c>
      <c r="B12" s="102"/>
      <c r="C12" s="102" t="s">
        <v>7</v>
      </c>
      <c r="D12" s="102"/>
      <c r="E12" s="102"/>
      <c r="F12" s="102"/>
      <c r="G12" s="102"/>
      <c r="H12" s="102"/>
      <c r="I12" s="102"/>
      <c r="J12" s="102"/>
      <c r="K12" s="102" t="s">
        <v>7</v>
      </c>
    </row>
    <row r="13" spans="1:11" x14ac:dyDescent="0.25">
      <c r="A13" s="28" t="s">
        <v>71</v>
      </c>
      <c r="B13" s="102"/>
      <c r="C13" s="102" t="s">
        <v>7</v>
      </c>
      <c r="D13" s="102"/>
      <c r="E13" s="102"/>
      <c r="F13" s="102"/>
      <c r="G13" s="102"/>
      <c r="H13" s="102"/>
      <c r="I13" s="102"/>
      <c r="J13" s="102"/>
      <c r="K13" s="102" t="s">
        <v>7</v>
      </c>
    </row>
    <row r="14" spans="1:11" x14ac:dyDescent="0.25">
      <c r="A14" s="28" t="s">
        <v>72</v>
      </c>
      <c r="B14" s="102"/>
      <c r="C14" s="102" t="s">
        <v>7</v>
      </c>
      <c r="D14" s="102"/>
      <c r="E14" s="102"/>
      <c r="F14" s="102"/>
      <c r="G14" s="102"/>
      <c r="H14" s="102"/>
      <c r="I14" s="102"/>
      <c r="J14" s="102"/>
      <c r="K14" s="102" t="s">
        <v>7</v>
      </c>
    </row>
  </sheetData>
  <sheetProtection algorithmName="SHA-512" hashValue="6f5a/wbXhhAWbCQV6KSOTEncn0SKDLbw9KY8rb9wXN4/0UykdbuQgiCx4h3hqe/Xz9Zjo6LZdAwRHkABH2MkCg==" saltValue="D8ckZTzJw7Z1LCuvmjDg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231</v>
      </c>
      <c r="B1" s="30" t="s">
        <v>152</v>
      </c>
      <c r="C1" s="30" t="s">
        <v>164</v>
      </c>
      <c r="D1" s="30" t="s">
        <v>109</v>
      </c>
      <c r="E1" s="30" t="s">
        <v>96</v>
      </c>
      <c r="F1" s="30" t="s">
        <v>97</v>
      </c>
      <c r="G1" s="30" t="s">
        <v>98</v>
      </c>
      <c r="H1" s="30" t="s">
        <v>99</v>
      </c>
    </row>
    <row r="2" spans="1:10" ht="13" x14ac:dyDescent="0.3">
      <c r="A2" s="30" t="s">
        <v>232</v>
      </c>
      <c r="B2" s="122" t="s">
        <v>100</v>
      </c>
      <c r="C2" s="28" t="s">
        <v>153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154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155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109</v>
      </c>
      <c r="C5" s="28" t="s">
        <v>153</v>
      </c>
      <c r="D5" s="103">
        <v>1.73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154</v>
      </c>
      <c r="D6" s="103">
        <v>1.73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155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96</v>
      </c>
      <c r="C8" s="28" t="s">
        <v>153</v>
      </c>
      <c r="D8" s="103">
        <v>1</v>
      </c>
      <c r="E8" s="103">
        <v>1.73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154</v>
      </c>
      <c r="D9" s="103">
        <v>1</v>
      </c>
      <c r="E9" s="103">
        <v>1.73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155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97</v>
      </c>
      <c r="C11" s="28" t="s">
        <v>153</v>
      </c>
      <c r="D11" s="103">
        <v>1</v>
      </c>
      <c r="E11" s="103">
        <v>1</v>
      </c>
      <c r="F11" s="103">
        <v>1.73</v>
      </c>
      <c r="G11" s="103">
        <v>1</v>
      </c>
      <c r="H11" s="103">
        <v>1</v>
      </c>
    </row>
    <row r="12" spans="1:10" x14ac:dyDescent="0.25">
      <c r="B12" s="122"/>
      <c r="C12" s="28" t="s">
        <v>154</v>
      </c>
      <c r="D12" s="103">
        <v>1</v>
      </c>
      <c r="E12" s="103">
        <v>1</v>
      </c>
      <c r="F12" s="103">
        <v>1.73</v>
      </c>
      <c r="G12" s="103">
        <v>1</v>
      </c>
      <c r="H12" s="103">
        <v>1</v>
      </c>
    </row>
    <row r="13" spans="1:10" x14ac:dyDescent="0.25">
      <c r="B13" s="122"/>
      <c r="C13" s="28" t="s">
        <v>155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98</v>
      </c>
      <c r="C14" s="28" t="s">
        <v>153</v>
      </c>
      <c r="D14" s="103">
        <v>1</v>
      </c>
      <c r="E14" s="103">
        <v>1</v>
      </c>
      <c r="F14" s="103">
        <v>1</v>
      </c>
      <c r="G14" s="103">
        <v>1.73</v>
      </c>
      <c r="H14" s="103">
        <v>1</v>
      </c>
    </row>
    <row r="15" spans="1:10" x14ac:dyDescent="0.25">
      <c r="B15" s="122"/>
      <c r="C15" s="28" t="s">
        <v>154</v>
      </c>
      <c r="D15" s="103">
        <v>1</v>
      </c>
      <c r="E15" s="103">
        <v>1</v>
      </c>
      <c r="F15" s="103">
        <v>1</v>
      </c>
      <c r="G15" s="103">
        <v>1.73</v>
      </c>
      <c r="H15" s="103">
        <v>1</v>
      </c>
    </row>
    <row r="16" spans="1:10" x14ac:dyDescent="0.25">
      <c r="B16" s="122"/>
      <c r="C16" s="28" t="s">
        <v>155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156</v>
      </c>
      <c r="C17" s="28" t="s">
        <v>155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233</v>
      </c>
      <c r="B19" s="122" t="s">
        <v>100</v>
      </c>
      <c r="C19" s="28" t="s">
        <v>153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154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155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109</v>
      </c>
      <c r="C22" s="28" t="s">
        <v>153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154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155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96</v>
      </c>
      <c r="C25" s="28" t="s">
        <v>153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154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155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97</v>
      </c>
      <c r="C28" s="28" t="s">
        <v>153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154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155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98</v>
      </c>
      <c r="C31" s="28" t="s">
        <v>153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154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155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156</v>
      </c>
      <c r="C34" s="28" t="s">
        <v>155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234</v>
      </c>
      <c r="B36" s="122" t="s">
        <v>100</v>
      </c>
      <c r="C36" s="28" t="s">
        <v>153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154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155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109</v>
      </c>
      <c r="C39" s="28" t="s">
        <v>153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154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155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96</v>
      </c>
      <c r="C42" s="28" t="s">
        <v>153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154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155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97</v>
      </c>
      <c r="C45" s="28" t="s">
        <v>153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154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155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98</v>
      </c>
      <c r="C48" s="28" t="s">
        <v>153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154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155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156</v>
      </c>
      <c r="C51" s="28" t="s">
        <v>155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235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231</v>
      </c>
      <c r="B54" s="30" t="s">
        <v>152</v>
      </c>
      <c r="C54" s="30" t="s">
        <v>164</v>
      </c>
      <c r="D54" s="30" t="s">
        <v>109</v>
      </c>
      <c r="E54" s="30" t="s">
        <v>96</v>
      </c>
      <c r="F54" s="30" t="s">
        <v>97</v>
      </c>
      <c r="G54" s="30" t="s">
        <v>98</v>
      </c>
      <c r="H54" s="30" t="s">
        <v>99</v>
      </c>
    </row>
    <row r="55" spans="1:8" ht="13" x14ac:dyDescent="0.3">
      <c r="A55" s="30" t="s">
        <v>236</v>
      </c>
      <c r="B55" s="122" t="s">
        <v>100</v>
      </c>
      <c r="C55" s="28" t="s">
        <v>153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154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155</v>
      </c>
      <c r="D57" s="103">
        <f t="shared" ref="D57:H57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109</v>
      </c>
      <c r="C58" s="28" t="s">
        <v>153</v>
      </c>
      <c r="D58" s="103">
        <v>1.35</v>
      </c>
      <c r="E58" s="103">
        <f t="shared" ref="E58:H58" si="3">IF(E5=1,1,E5*0.9)</f>
        <v>1</v>
      </c>
      <c r="F58" s="103">
        <f t="shared" si="3"/>
        <v>1</v>
      </c>
      <c r="G58" s="103">
        <f t="shared" si="3"/>
        <v>1</v>
      </c>
      <c r="H58" s="103">
        <f t="shared" si="3"/>
        <v>1</v>
      </c>
    </row>
    <row r="59" spans="1:8" x14ac:dyDescent="0.25">
      <c r="B59" s="122"/>
      <c r="C59" s="28" t="s">
        <v>154</v>
      </c>
      <c r="D59" s="103">
        <v>1.35</v>
      </c>
      <c r="E59" s="103">
        <f t="shared" ref="E59:H59" si="4">IF(E6=1,1,E6*0.9)</f>
        <v>1</v>
      </c>
      <c r="F59" s="103">
        <f t="shared" si="4"/>
        <v>1</v>
      </c>
      <c r="G59" s="103">
        <f t="shared" si="4"/>
        <v>1</v>
      </c>
      <c r="H59" s="103">
        <f t="shared" si="4"/>
        <v>1</v>
      </c>
    </row>
    <row r="60" spans="1:8" x14ac:dyDescent="0.25">
      <c r="B60" s="122"/>
      <c r="C60" s="28" t="s">
        <v>155</v>
      </c>
      <c r="D60" s="103">
        <f t="shared" ref="D60:H60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si="5"/>
        <v>1</v>
      </c>
    </row>
    <row r="61" spans="1:8" x14ac:dyDescent="0.25">
      <c r="B61" s="122" t="s">
        <v>96</v>
      </c>
      <c r="C61" s="28" t="s">
        <v>153</v>
      </c>
      <c r="D61" s="103">
        <f t="shared" ref="D61:H61" si="6">IF(D8=1,1,D8*0.9)</f>
        <v>1</v>
      </c>
      <c r="E61" s="103">
        <v>1.35</v>
      </c>
      <c r="F61" s="103">
        <f t="shared" si="6"/>
        <v>1</v>
      </c>
      <c r="G61" s="103">
        <f t="shared" si="6"/>
        <v>1</v>
      </c>
      <c r="H61" s="103">
        <f t="shared" si="6"/>
        <v>1</v>
      </c>
    </row>
    <row r="62" spans="1:8" x14ac:dyDescent="0.25">
      <c r="B62" s="122"/>
      <c r="C62" s="28" t="s">
        <v>154</v>
      </c>
      <c r="D62" s="103">
        <f t="shared" ref="D62:H62" si="7">IF(D9=1,1,D9*0.9)</f>
        <v>1</v>
      </c>
      <c r="E62" s="103">
        <v>1.35</v>
      </c>
      <c r="F62" s="103">
        <f t="shared" si="7"/>
        <v>1</v>
      </c>
      <c r="G62" s="103">
        <f t="shared" si="7"/>
        <v>1</v>
      </c>
      <c r="H62" s="103">
        <f t="shared" si="7"/>
        <v>1</v>
      </c>
    </row>
    <row r="63" spans="1:8" x14ac:dyDescent="0.25">
      <c r="B63" s="122"/>
      <c r="C63" s="28" t="s">
        <v>155</v>
      </c>
      <c r="D63" s="103">
        <f t="shared" ref="D63:H63" si="8">IF(D10=1,1,D10*0.9)</f>
        <v>1</v>
      </c>
      <c r="E63" s="103">
        <f t="shared" si="8"/>
        <v>1</v>
      </c>
      <c r="F63" s="103">
        <f t="shared" si="8"/>
        <v>1</v>
      </c>
      <c r="G63" s="103">
        <f t="shared" si="8"/>
        <v>1</v>
      </c>
      <c r="H63" s="103">
        <f t="shared" si="8"/>
        <v>1</v>
      </c>
    </row>
    <row r="64" spans="1:8" x14ac:dyDescent="0.25">
      <c r="B64" s="122" t="s">
        <v>97</v>
      </c>
      <c r="C64" s="28" t="s">
        <v>153</v>
      </c>
      <c r="D64" s="103">
        <f t="shared" ref="D64:H64" si="9">IF(D11=1,1,D11*0.9)</f>
        <v>1</v>
      </c>
      <c r="E64" s="103">
        <f t="shared" si="9"/>
        <v>1</v>
      </c>
      <c r="F64" s="103">
        <v>1.35</v>
      </c>
      <c r="G64" s="103">
        <f t="shared" si="9"/>
        <v>1</v>
      </c>
      <c r="H64" s="103">
        <f t="shared" si="9"/>
        <v>1</v>
      </c>
    </row>
    <row r="65" spans="1:8" x14ac:dyDescent="0.25">
      <c r="B65" s="122"/>
      <c r="C65" s="28" t="s">
        <v>154</v>
      </c>
      <c r="D65" s="103">
        <f t="shared" ref="D65:H65" si="10">IF(D12=1,1,D12*0.9)</f>
        <v>1</v>
      </c>
      <c r="E65" s="103">
        <f t="shared" si="10"/>
        <v>1</v>
      </c>
      <c r="F65" s="103">
        <v>1.35</v>
      </c>
      <c r="G65" s="103">
        <f t="shared" si="10"/>
        <v>1</v>
      </c>
      <c r="H65" s="103">
        <f t="shared" si="10"/>
        <v>1</v>
      </c>
    </row>
    <row r="66" spans="1:8" x14ac:dyDescent="0.25">
      <c r="B66" s="122"/>
      <c r="C66" s="28" t="s">
        <v>155</v>
      </c>
      <c r="D66" s="103">
        <f t="shared" ref="D66:H66" si="11">IF(D13=1,1,D13*0.9)</f>
        <v>1</v>
      </c>
      <c r="E66" s="103">
        <f t="shared" si="11"/>
        <v>1</v>
      </c>
      <c r="F66" s="103">
        <f t="shared" si="11"/>
        <v>1</v>
      </c>
      <c r="G66" s="103">
        <f t="shared" si="11"/>
        <v>1</v>
      </c>
      <c r="H66" s="103">
        <f t="shared" si="11"/>
        <v>1</v>
      </c>
    </row>
    <row r="67" spans="1:8" x14ac:dyDescent="0.25">
      <c r="B67" s="122" t="s">
        <v>98</v>
      </c>
      <c r="C67" s="28" t="s">
        <v>153</v>
      </c>
      <c r="D67" s="103">
        <f t="shared" ref="D67:H67" si="12">IF(D14=1,1,D14*0.9)</f>
        <v>1</v>
      </c>
      <c r="E67" s="103">
        <f t="shared" si="12"/>
        <v>1</v>
      </c>
      <c r="F67" s="103">
        <f t="shared" si="12"/>
        <v>1</v>
      </c>
      <c r="G67" s="103">
        <v>1.35</v>
      </c>
      <c r="H67" s="103">
        <f t="shared" si="12"/>
        <v>1</v>
      </c>
    </row>
    <row r="68" spans="1:8" x14ac:dyDescent="0.25">
      <c r="B68" s="122"/>
      <c r="C68" s="28" t="s">
        <v>154</v>
      </c>
      <c r="D68" s="103">
        <f t="shared" ref="D68:H68" si="13">IF(D15=1,1,D15*0.9)</f>
        <v>1</v>
      </c>
      <c r="E68" s="103">
        <f t="shared" si="13"/>
        <v>1</v>
      </c>
      <c r="F68" s="103">
        <f t="shared" si="13"/>
        <v>1</v>
      </c>
      <c r="G68" s="103">
        <v>1.35</v>
      </c>
      <c r="H68" s="103">
        <f t="shared" si="13"/>
        <v>1</v>
      </c>
    </row>
    <row r="69" spans="1:8" x14ac:dyDescent="0.25">
      <c r="B69" s="122"/>
      <c r="C69" s="28" t="s">
        <v>155</v>
      </c>
      <c r="D69" s="103">
        <f t="shared" ref="D69:H69" si="14">IF(D16=1,1,D16*0.9)</f>
        <v>1</v>
      </c>
      <c r="E69" s="103">
        <f t="shared" si="14"/>
        <v>1</v>
      </c>
      <c r="F69" s="103">
        <f t="shared" si="14"/>
        <v>1</v>
      </c>
      <c r="G69" s="103">
        <f t="shared" si="14"/>
        <v>1</v>
      </c>
      <c r="H69" s="103">
        <f t="shared" si="14"/>
        <v>1</v>
      </c>
    </row>
    <row r="70" spans="1:8" ht="13" x14ac:dyDescent="0.25">
      <c r="B70" s="77" t="s">
        <v>156</v>
      </c>
      <c r="C70" s="28" t="s">
        <v>155</v>
      </c>
      <c r="D70" s="103">
        <f t="shared" ref="D70:H70" si="15">IF(D17=1,1,D17*0.9)</f>
        <v>0.94500000000000006</v>
      </c>
      <c r="E70" s="103">
        <f t="shared" si="15"/>
        <v>0.94500000000000006</v>
      </c>
      <c r="F70" s="103">
        <f t="shared" si="15"/>
        <v>0.94500000000000006</v>
      </c>
      <c r="G70" s="103">
        <f t="shared" si="15"/>
        <v>0.94500000000000006</v>
      </c>
      <c r="H70" s="103">
        <f t="shared" si="15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237</v>
      </c>
      <c r="B72" s="122" t="s">
        <v>100</v>
      </c>
      <c r="C72" s="28" t="s">
        <v>153</v>
      </c>
      <c r="D72" s="103">
        <f>IF(D19=1,1,D19*0.9)</f>
        <v>1</v>
      </c>
      <c r="E72" s="103">
        <f t="shared" ref="E72:H72" si="16">IF(E19=1,1,E19*0.9)</f>
        <v>1</v>
      </c>
      <c r="F72" s="103">
        <f t="shared" si="16"/>
        <v>1</v>
      </c>
      <c r="G72" s="103">
        <f t="shared" si="16"/>
        <v>1</v>
      </c>
      <c r="H72" s="103">
        <f t="shared" si="16"/>
        <v>1</v>
      </c>
    </row>
    <row r="73" spans="1:8" x14ac:dyDescent="0.25">
      <c r="B73" s="122"/>
      <c r="C73" s="28" t="s">
        <v>154</v>
      </c>
      <c r="D73" s="103">
        <f t="shared" ref="D73:H73" si="17">IF(D20=1,1,D20*0.9)</f>
        <v>1</v>
      </c>
      <c r="E73" s="103">
        <f t="shared" si="17"/>
        <v>1</v>
      </c>
      <c r="F73" s="103">
        <f t="shared" si="17"/>
        <v>1</v>
      </c>
      <c r="G73" s="103">
        <f t="shared" si="17"/>
        <v>1</v>
      </c>
      <c r="H73" s="103">
        <f t="shared" si="17"/>
        <v>1</v>
      </c>
    </row>
    <row r="74" spans="1:8" x14ac:dyDescent="0.25">
      <c r="B74" s="122"/>
      <c r="C74" s="28" t="s">
        <v>155</v>
      </c>
      <c r="D74" s="103">
        <f t="shared" ref="D74:H74" si="18">IF(D21=1,1,D21*0.9)</f>
        <v>1</v>
      </c>
      <c r="E74" s="103">
        <f t="shared" si="18"/>
        <v>1</v>
      </c>
      <c r="F74" s="103">
        <f t="shared" si="18"/>
        <v>1</v>
      </c>
      <c r="G74" s="103">
        <f t="shared" si="18"/>
        <v>1</v>
      </c>
      <c r="H74" s="103">
        <f t="shared" si="18"/>
        <v>1</v>
      </c>
    </row>
    <row r="75" spans="1:8" x14ac:dyDescent="0.25">
      <c r="B75" s="122" t="s">
        <v>109</v>
      </c>
      <c r="C75" s="28" t="s">
        <v>153</v>
      </c>
      <c r="D75" s="103">
        <f t="shared" ref="D75:H75" si="19">IF(D22=1,1,D22*0.9)</f>
        <v>1</v>
      </c>
      <c r="E75" s="103">
        <f t="shared" si="19"/>
        <v>1</v>
      </c>
      <c r="F75" s="103">
        <f t="shared" si="19"/>
        <v>1</v>
      </c>
      <c r="G75" s="103">
        <f t="shared" si="19"/>
        <v>1</v>
      </c>
      <c r="H75" s="103">
        <f t="shared" si="19"/>
        <v>1</v>
      </c>
    </row>
    <row r="76" spans="1:8" x14ac:dyDescent="0.25">
      <c r="B76" s="122"/>
      <c r="C76" s="28" t="s">
        <v>154</v>
      </c>
      <c r="D76" s="103">
        <f t="shared" ref="D76:H76" si="20">IF(D23=1,1,D23*0.9)</f>
        <v>1</v>
      </c>
      <c r="E76" s="103">
        <f t="shared" si="20"/>
        <v>1</v>
      </c>
      <c r="F76" s="103">
        <f t="shared" si="20"/>
        <v>1</v>
      </c>
      <c r="G76" s="103">
        <f t="shared" si="20"/>
        <v>1</v>
      </c>
      <c r="H76" s="103">
        <f t="shared" si="20"/>
        <v>1</v>
      </c>
    </row>
    <row r="77" spans="1:8" x14ac:dyDescent="0.25">
      <c r="B77" s="122"/>
      <c r="C77" s="28" t="s">
        <v>155</v>
      </c>
      <c r="D77" s="103">
        <f t="shared" ref="D77:H77" si="21">IF(D24=1,1,D24*0.9)</f>
        <v>1</v>
      </c>
      <c r="E77" s="103">
        <f t="shared" si="21"/>
        <v>1</v>
      </c>
      <c r="F77" s="103">
        <f t="shared" si="21"/>
        <v>1</v>
      </c>
      <c r="G77" s="103">
        <f t="shared" si="21"/>
        <v>1</v>
      </c>
      <c r="H77" s="103">
        <f t="shared" si="21"/>
        <v>1</v>
      </c>
    </row>
    <row r="78" spans="1:8" x14ac:dyDescent="0.25">
      <c r="B78" s="122" t="s">
        <v>96</v>
      </c>
      <c r="C78" s="28" t="s">
        <v>153</v>
      </c>
      <c r="D78" s="103">
        <f t="shared" ref="D78:H78" si="22">IF(D25=1,1,D25*0.9)</f>
        <v>1</v>
      </c>
      <c r="E78" s="103">
        <f t="shared" si="22"/>
        <v>1</v>
      </c>
      <c r="F78" s="103">
        <f t="shared" si="22"/>
        <v>1</v>
      </c>
      <c r="G78" s="103">
        <f t="shared" si="22"/>
        <v>1</v>
      </c>
      <c r="H78" s="103">
        <f t="shared" si="22"/>
        <v>1</v>
      </c>
    </row>
    <row r="79" spans="1:8" x14ac:dyDescent="0.25">
      <c r="B79" s="122"/>
      <c r="C79" s="28" t="s">
        <v>154</v>
      </c>
      <c r="D79" s="103">
        <f t="shared" ref="D79:H79" si="23">IF(D26=1,1,D26*0.9)</f>
        <v>1</v>
      </c>
      <c r="E79" s="103">
        <f t="shared" si="23"/>
        <v>1</v>
      </c>
      <c r="F79" s="103">
        <f t="shared" si="23"/>
        <v>1</v>
      </c>
      <c r="G79" s="103">
        <f t="shared" si="23"/>
        <v>1</v>
      </c>
      <c r="H79" s="103">
        <f t="shared" si="23"/>
        <v>1</v>
      </c>
    </row>
    <row r="80" spans="1:8" x14ac:dyDescent="0.25">
      <c r="B80" s="122"/>
      <c r="C80" s="28" t="s">
        <v>155</v>
      </c>
      <c r="D80" s="103">
        <f t="shared" ref="D80:H80" si="24">IF(D27=1,1,D27*0.9)</f>
        <v>1</v>
      </c>
      <c r="E80" s="103">
        <f t="shared" si="24"/>
        <v>1</v>
      </c>
      <c r="F80" s="103">
        <f t="shared" si="24"/>
        <v>1</v>
      </c>
      <c r="G80" s="103">
        <f t="shared" si="24"/>
        <v>1</v>
      </c>
      <c r="H80" s="103">
        <f t="shared" si="24"/>
        <v>1</v>
      </c>
    </row>
    <row r="81" spans="1:8" x14ac:dyDescent="0.25">
      <c r="B81" s="122" t="s">
        <v>97</v>
      </c>
      <c r="C81" s="28" t="s">
        <v>153</v>
      </c>
      <c r="D81" s="103">
        <f t="shared" ref="D81:H81" si="25">IF(D28=1,1,D28*0.9)</f>
        <v>1</v>
      </c>
      <c r="E81" s="103">
        <f t="shared" si="25"/>
        <v>1</v>
      </c>
      <c r="F81" s="103">
        <f t="shared" si="25"/>
        <v>1</v>
      </c>
      <c r="G81" s="103">
        <f t="shared" si="25"/>
        <v>1</v>
      </c>
      <c r="H81" s="103">
        <f t="shared" si="25"/>
        <v>1</v>
      </c>
    </row>
    <row r="82" spans="1:8" x14ac:dyDescent="0.25">
      <c r="B82" s="122"/>
      <c r="C82" s="28" t="s">
        <v>154</v>
      </c>
      <c r="D82" s="103">
        <f t="shared" ref="D82:H82" si="26">IF(D29=1,1,D29*0.9)</f>
        <v>1</v>
      </c>
      <c r="E82" s="103">
        <f t="shared" si="26"/>
        <v>1</v>
      </c>
      <c r="F82" s="103">
        <f t="shared" si="26"/>
        <v>1</v>
      </c>
      <c r="G82" s="103">
        <f t="shared" si="26"/>
        <v>1</v>
      </c>
      <c r="H82" s="103">
        <f t="shared" si="26"/>
        <v>1</v>
      </c>
    </row>
    <row r="83" spans="1:8" x14ac:dyDescent="0.25">
      <c r="B83" s="122"/>
      <c r="C83" s="28" t="s">
        <v>155</v>
      </c>
      <c r="D83" s="103">
        <f t="shared" ref="D83:H83" si="27">IF(D30=1,1,D30*0.9)</f>
        <v>1</v>
      </c>
      <c r="E83" s="103">
        <f t="shared" si="27"/>
        <v>1</v>
      </c>
      <c r="F83" s="103">
        <f t="shared" si="27"/>
        <v>1</v>
      </c>
      <c r="G83" s="103">
        <f t="shared" si="27"/>
        <v>1</v>
      </c>
      <c r="H83" s="103">
        <f t="shared" si="27"/>
        <v>1</v>
      </c>
    </row>
    <row r="84" spans="1:8" x14ac:dyDescent="0.25">
      <c r="B84" s="122" t="s">
        <v>98</v>
      </c>
      <c r="C84" s="28" t="s">
        <v>153</v>
      </c>
      <c r="D84" s="103">
        <f t="shared" ref="D84:H84" si="28">IF(D31=1,1,D31*0.9)</f>
        <v>1</v>
      </c>
      <c r="E84" s="103">
        <f t="shared" si="28"/>
        <v>1</v>
      </c>
      <c r="F84" s="103">
        <f t="shared" si="28"/>
        <v>1</v>
      </c>
      <c r="G84" s="103">
        <f t="shared" si="28"/>
        <v>1</v>
      </c>
      <c r="H84" s="103">
        <f t="shared" si="28"/>
        <v>1</v>
      </c>
    </row>
    <row r="85" spans="1:8" x14ac:dyDescent="0.25">
      <c r="B85" s="122"/>
      <c r="C85" s="28" t="s">
        <v>154</v>
      </c>
      <c r="D85" s="103">
        <f t="shared" ref="D85:H85" si="29">IF(D32=1,1,D32*0.9)</f>
        <v>1</v>
      </c>
      <c r="E85" s="103">
        <f t="shared" si="29"/>
        <v>1</v>
      </c>
      <c r="F85" s="103">
        <f t="shared" si="29"/>
        <v>1</v>
      </c>
      <c r="G85" s="103">
        <f t="shared" si="29"/>
        <v>1</v>
      </c>
      <c r="H85" s="103">
        <f t="shared" si="29"/>
        <v>1</v>
      </c>
    </row>
    <row r="86" spans="1:8" x14ac:dyDescent="0.25">
      <c r="B86" s="122"/>
      <c r="C86" s="28" t="s">
        <v>155</v>
      </c>
      <c r="D86" s="103">
        <f t="shared" ref="D86:H86" si="30">IF(D33=1,1,D33*0.9)</f>
        <v>1</v>
      </c>
      <c r="E86" s="103">
        <f t="shared" si="30"/>
        <v>1</v>
      </c>
      <c r="F86" s="103">
        <f t="shared" si="30"/>
        <v>1</v>
      </c>
      <c r="G86" s="103">
        <f t="shared" si="30"/>
        <v>1</v>
      </c>
      <c r="H86" s="103">
        <f t="shared" si="30"/>
        <v>1</v>
      </c>
    </row>
    <row r="87" spans="1:8" ht="13" x14ac:dyDescent="0.25">
      <c r="B87" s="77" t="s">
        <v>156</v>
      </c>
      <c r="C87" s="28" t="s">
        <v>155</v>
      </c>
      <c r="D87" s="103">
        <f t="shared" ref="D87:H87" si="31">IF(D34=1,1,D34*0.9)</f>
        <v>1</v>
      </c>
      <c r="E87" s="103">
        <f t="shared" si="31"/>
        <v>1</v>
      </c>
      <c r="F87" s="103">
        <f t="shared" si="31"/>
        <v>1</v>
      </c>
      <c r="G87" s="103">
        <f t="shared" si="31"/>
        <v>1</v>
      </c>
      <c r="H87" s="103">
        <f t="shared" si="31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238</v>
      </c>
      <c r="B89" s="122" t="s">
        <v>100</v>
      </c>
      <c r="C89" s="28" t="s">
        <v>153</v>
      </c>
      <c r="D89" s="103">
        <f>IF(D36=1,1,D36*0.9)</f>
        <v>1</v>
      </c>
      <c r="E89" s="103">
        <f t="shared" ref="E89:H89" si="32">IF(E36=1,1,E36*0.9)</f>
        <v>1</v>
      </c>
      <c r="F89" s="103">
        <f t="shared" si="32"/>
        <v>1</v>
      </c>
      <c r="G89" s="103">
        <f t="shared" si="32"/>
        <v>1</v>
      </c>
      <c r="H89" s="103">
        <f t="shared" si="32"/>
        <v>1</v>
      </c>
    </row>
    <row r="90" spans="1:8" x14ac:dyDescent="0.25">
      <c r="B90" s="122"/>
      <c r="C90" s="28" t="s">
        <v>154</v>
      </c>
      <c r="D90" s="103">
        <f t="shared" ref="D90:H90" si="33">IF(D37=1,1,D37*0.9)</f>
        <v>1</v>
      </c>
      <c r="E90" s="103">
        <f t="shared" si="33"/>
        <v>1</v>
      </c>
      <c r="F90" s="103">
        <f t="shared" si="33"/>
        <v>1</v>
      </c>
      <c r="G90" s="103">
        <f t="shared" si="33"/>
        <v>1</v>
      </c>
      <c r="H90" s="103">
        <f t="shared" si="33"/>
        <v>1</v>
      </c>
    </row>
    <row r="91" spans="1:8" x14ac:dyDescent="0.25">
      <c r="B91" s="122"/>
      <c r="C91" s="28" t="s">
        <v>155</v>
      </c>
      <c r="D91" s="103">
        <f t="shared" ref="D91:H91" si="34">IF(D38=1,1,D38*0.9)</f>
        <v>1</v>
      </c>
      <c r="E91" s="103">
        <f t="shared" si="34"/>
        <v>1</v>
      </c>
      <c r="F91" s="103">
        <f t="shared" si="34"/>
        <v>1</v>
      </c>
      <c r="G91" s="103">
        <f t="shared" si="34"/>
        <v>1</v>
      </c>
      <c r="H91" s="103">
        <f t="shared" si="34"/>
        <v>1</v>
      </c>
    </row>
    <row r="92" spans="1:8" x14ac:dyDescent="0.25">
      <c r="B92" s="122" t="s">
        <v>109</v>
      </c>
      <c r="C92" s="28" t="s">
        <v>153</v>
      </c>
      <c r="D92" s="103">
        <f t="shared" ref="D92:H92" si="35">IF(D39=1,1,D39*0.9)</f>
        <v>1</v>
      </c>
      <c r="E92" s="103">
        <f t="shared" si="35"/>
        <v>1</v>
      </c>
      <c r="F92" s="103">
        <f t="shared" si="35"/>
        <v>1</v>
      </c>
      <c r="G92" s="103">
        <f t="shared" si="35"/>
        <v>1</v>
      </c>
      <c r="H92" s="103">
        <f t="shared" si="35"/>
        <v>1</v>
      </c>
    </row>
    <row r="93" spans="1:8" x14ac:dyDescent="0.25">
      <c r="B93" s="122"/>
      <c r="C93" s="28" t="s">
        <v>154</v>
      </c>
      <c r="D93" s="103">
        <f t="shared" ref="D93:H93" si="36">IF(D40=1,1,D40*0.9)</f>
        <v>1</v>
      </c>
      <c r="E93" s="103">
        <f t="shared" si="36"/>
        <v>1</v>
      </c>
      <c r="F93" s="103">
        <f t="shared" si="36"/>
        <v>1</v>
      </c>
      <c r="G93" s="103">
        <f t="shared" si="36"/>
        <v>1</v>
      </c>
      <c r="H93" s="103">
        <f t="shared" si="36"/>
        <v>1</v>
      </c>
    </row>
    <row r="94" spans="1:8" x14ac:dyDescent="0.25">
      <c r="B94" s="122"/>
      <c r="C94" s="28" t="s">
        <v>155</v>
      </c>
      <c r="D94" s="103">
        <f t="shared" ref="D94:H94" si="37">IF(D41=1,1,D41*0.9)</f>
        <v>1</v>
      </c>
      <c r="E94" s="103">
        <f t="shared" si="37"/>
        <v>1</v>
      </c>
      <c r="F94" s="103">
        <f t="shared" si="37"/>
        <v>1</v>
      </c>
      <c r="G94" s="103">
        <f t="shared" si="37"/>
        <v>1</v>
      </c>
      <c r="H94" s="103">
        <f t="shared" si="37"/>
        <v>1</v>
      </c>
    </row>
    <row r="95" spans="1:8" x14ac:dyDescent="0.25">
      <c r="B95" s="122" t="s">
        <v>96</v>
      </c>
      <c r="C95" s="28" t="s">
        <v>153</v>
      </c>
      <c r="D95" s="103">
        <f t="shared" ref="D95:H95" si="38">IF(D42=1,1,D42*0.9)</f>
        <v>1</v>
      </c>
      <c r="E95" s="103">
        <f t="shared" si="38"/>
        <v>1</v>
      </c>
      <c r="F95" s="103">
        <f t="shared" si="38"/>
        <v>1</v>
      </c>
      <c r="G95" s="103">
        <f t="shared" si="38"/>
        <v>1</v>
      </c>
      <c r="H95" s="103">
        <f t="shared" si="38"/>
        <v>1</v>
      </c>
    </row>
    <row r="96" spans="1:8" x14ac:dyDescent="0.25">
      <c r="B96" s="122"/>
      <c r="C96" s="28" t="s">
        <v>154</v>
      </c>
      <c r="D96" s="103">
        <f t="shared" ref="D96:H96" si="39">IF(D43=1,1,D43*0.9)</f>
        <v>1</v>
      </c>
      <c r="E96" s="103">
        <f t="shared" si="39"/>
        <v>1</v>
      </c>
      <c r="F96" s="103">
        <f t="shared" si="39"/>
        <v>1</v>
      </c>
      <c r="G96" s="103">
        <f t="shared" si="39"/>
        <v>1</v>
      </c>
      <c r="H96" s="103">
        <f t="shared" si="39"/>
        <v>1</v>
      </c>
    </row>
    <row r="97" spans="1:8" x14ac:dyDescent="0.25">
      <c r="B97" s="122"/>
      <c r="C97" s="28" t="s">
        <v>155</v>
      </c>
      <c r="D97" s="103">
        <f t="shared" ref="D97:H97" si="40">IF(D44=1,1,D44*0.9)</f>
        <v>1</v>
      </c>
      <c r="E97" s="103">
        <f t="shared" si="40"/>
        <v>1</v>
      </c>
      <c r="F97" s="103">
        <f t="shared" si="40"/>
        <v>1</v>
      </c>
      <c r="G97" s="103">
        <f t="shared" si="40"/>
        <v>1</v>
      </c>
      <c r="H97" s="103">
        <f t="shared" si="40"/>
        <v>1</v>
      </c>
    </row>
    <row r="98" spans="1:8" x14ac:dyDescent="0.25">
      <c r="B98" s="122" t="s">
        <v>97</v>
      </c>
      <c r="C98" s="28" t="s">
        <v>153</v>
      </c>
      <c r="D98" s="103">
        <f t="shared" ref="D98:H98" si="41">IF(D45=1,1,D45*0.9)</f>
        <v>1</v>
      </c>
      <c r="E98" s="103">
        <f t="shared" si="41"/>
        <v>1</v>
      </c>
      <c r="F98" s="103">
        <f>IF(F45=1,1,F45*0.9)</f>
        <v>1</v>
      </c>
      <c r="G98" s="103">
        <f t="shared" si="41"/>
        <v>1</v>
      </c>
      <c r="H98" s="103">
        <f t="shared" si="41"/>
        <v>1</v>
      </c>
    </row>
    <row r="99" spans="1:8" x14ac:dyDescent="0.25">
      <c r="B99" s="122"/>
      <c r="C99" s="28" t="s">
        <v>154</v>
      </c>
      <c r="D99" s="103">
        <f t="shared" ref="D99:H99" si="42">IF(D46=1,1,D46*0.9)</f>
        <v>1</v>
      </c>
      <c r="E99" s="103">
        <f t="shared" si="42"/>
        <v>1</v>
      </c>
      <c r="F99" s="103">
        <f>IF(F46=1,1,F46*0.9)</f>
        <v>1</v>
      </c>
      <c r="G99" s="103">
        <f t="shared" si="42"/>
        <v>1</v>
      </c>
      <c r="H99" s="103">
        <f t="shared" si="42"/>
        <v>1</v>
      </c>
    </row>
    <row r="100" spans="1:8" x14ac:dyDescent="0.25">
      <c r="B100" s="122"/>
      <c r="C100" s="28" t="s">
        <v>155</v>
      </c>
      <c r="D100" s="103">
        <f t="shared" ref="D100:H100" si="43">IF(D47=1,1,D47*0.9)</f>
        <v>1</v>
      </c>
      <c r="E100" s="103">
        <f t="shared" si="43"/>
        <v>1</v>
      </c>
      <c r="F100" s="103">
        <f t="shared" si="43"/>
        <v>1</v>
      </c>
      <c r="G100" s="103">
        <f t="shared" si="43"/>
        <v>1</v>
      </c>
      <c r="H100" s="103">
        <f t="shared" si="43"/>
        <v>1</v>
      </c>
    </row>
    <row r="101" spans="1:8" x14ac:dyDescent="0.25">
      <c r="B101" s="122" t="s">
        <v>98</v>
      </c>
      <c r="C101" s="28" t="s">
        <v>153</v>
      </c>
      <c r="D101" s="103">
        <f t="shared" ref="D101:H101" si="44">IF(D48=1,1,D48*0.9)</f>
        <v>1</v>
      </c>
      <c r="E101" s="103">
        <f t="shared" si="44"/>
        <v>1</v>
      </c>
      <c r="F101" s="103">
        <f t="shared" si="44"/>
        <v>1</v>
      </c>
      <c r="G101" s="103">
        <f>IF(G48=1,1,G48*0.9)</f>
        <v>1</v>
      </c>
      <c r="H101" s="103">
        <f t="shared" si="44"/>
        <v>1</v>
      </c>
    </row>
    <row r="102" spans="1:8" x14ac:dyDescent="0.25">
      <c r="B102" s="122"/>
      <c r="C102" s="28" t="s">
        <v>154</v>
      </c>
      <c r="D102" s="103">
        <f t="shared" ref="D102:H102" si="45">IF(D49=1,1,D49*0.9)</f>
        <v>1</v>
      </c>
      <c r="E102" s="103">
        <f t="shared" si="45"/>
        <v>1</v>
      </c>
      <c r="F102" s="103">
        <f t="shared" si="45"/>
        <v>1</v>
      </c>
      <c r="G102" s="103">
        <f>IF(G49=1,1,G49*0.9)</f>
        <v>1</v>
      </c>
      <c r="H102" s="103">
        <f t="shared" si="45"/>
        <v>1</v>
      </c>
    </row>
    <row r="103" spans="1:8" x14ac:dyDescent="0.25">
      <c r="B103" s="122"/>
      <c r="C103" s="28" t="s">
        <v>155</v>
      </c>
      <c r="D103" s="103">
        <f t="shared" ref="D103:H103" si="46">IF(D50=1,1,D50*0.9)</f>
        <v>1</v>
      </c>
      <c r="E103" s="103">
        <f t="shared" si="46"/>
        <v>1</v>
      </c>
      <c r="F103" s="103">
        <f t="shared" si="46"/>
        <v>1</v>
      </c>
      <c r="G103" s="103">
        <f t="shared" si="46"/>
        <v>1</v>
      </c>
      <c r="H103" s="103">
        <f t="shared" si="46"/>
        <v>1</v>
      </c>
    </row>
    <row r="104" spans="1:8" ht="13" x14ac:dyDescent="0.25">
      <c r="B104" s="77" t="s">
        <v>156</v>
      </c>
      <c r="C104" s="28" t="s">
        <v>155</v>
      </c>
      <c r="D104" s="103">
        <f t="shared" ref="D104:H104" si="47">IF(D51=1,1,D51*0.9)</f>
        <v>1</v>
      </c>
      <c r="E104" s="103">
        <f t="shared" si="47"/>
        <v>1</v>
      </c>
      <c r="F104" s="103">
        <f t="shared" si="47"/>
        <v>1</v>
      </c>
      <c r="G104" s="103">
        <f t="shared" si="47"/>
        <v>1</v>
      </c>
      <c r="H104" s="103">
        <f t="shared" si="47"/>
        <v>1</v>
      </c>
    </row>
    <row r="106" spans="1:8" ht="13" x14ac:dyDescent="0.3">
      <c r="A106" s="107" t="s">
        <v>239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231</v>
      </c>
      <c r="B107" s="30" t="s">
        <v>152</v>
      </c>
      <c r="C107" s="30" t="s">
        <v>164</v>
      </c>
      <c r="D107" s="30" t="s">
        <v>109</v>
      </c>
      <c r="E107" s="30" t="s">
        <v>96</v>
      </c>
      <c r="F107" s="30" t="s">
        <v>97</v>
      </c>
      <c r="G107" s="30" t="s">
        <v>98</v>
      </c>
      <c r="H107" s="30" t="s">
        <v>99</v>
      </c>
    </row>
    <row r="108" spans="1:8" ht="13" x14ac:dyDescent="0.3">
      <c r="A108" s="30" t="s">
        <v>240</v>
      </c>
      <c r="B108" s="122" t="s">
        <v>100</v>
      </c>
      <c r="C108" s="28" t="s">
        <v>153</v>
      </c>
      <c r="D108" s="103">
        <f>IF(D2=1,1,D2*1.05)</f>
        <v>1</v>
      </c>
      <c r="E108" s="103">
        <f t="shared" ref="E108:H108" si="48">IF(E2=1,1,E2*1.05)</f>
        <v>1</v>
      </c>
      <c r="F108" s="103">
        <f t="shared" si="48"/>
        <v>1</v>
      </c>
      <c r="G108" s="103">
        <f t="shared" si="48"/>
        <v>1</v>
      </c>
      <c r="H108" s="103">
        <f t="shared" si="48"/>
        <v>1</v>
      </c>
    </row>
    <row r="109" spans="1:8" x14ac:dyDescent="0.25">
      <c r="B109" s="122"/>
      <c r="C109" s="28" t="s">
        <v>154</v>
      </c>
      <c r="D109" s="103">
        <f t="shared" ref="D109:H109" si="49">IF(D3=1,1,D3*1.05)</f>
        <v>1</v>
      </c>
      <c r="E109" s="103">
        <f t="shared" si="49"/>
        <v>1</v>
      </c>
      <c r="F109" s="103">
        <f t="shared" si="49"/>
        <v>1</v>
      </c>
      <c r="G109" s="103">
        <f t="shared" si="49"/>
        <v>1</v>
      </c>
      <c r="H109" s="103">
        <f t="shared" si="49"/>
        <v>1</v>
      </c>
    </row>
    <row r="110" spans="1:8" x14ac:dyDescent="0.25">
      <c r="B110" s="122"/>
      <c r="C110" s="28" t="s">
        <v>155</v>
      </c>
      <c r="D110" s="103">
        <f t="shared" ref="D110:H110" si="50">IF(D4=1,1,D4*1.05)</f>
        <v>1</v>
      </c>
      <c r="E110" s="103">
        <f t="shared" si="50"/>
        <v>1</v>
      </c>
      <c r="F110" s="103">
        <f t="shared" si="50"/>
        <v>1</v>
      </c>
      <c r="G110" s="103">
        <f t="shared" si="50"/>
        <v>1</v>
      </c>
      <c r="H110" s="103">
        <f t="shared" si="50"/>
        <v>1</v>
      </c>
    </row>
    <row r="111" spans="1:8" x14ac:dyDescent="0.25">
      <c r="B111" s="122" t="s">
        <v>109</v>
      </c>
      <c r="C111" s="28" t="s">
        <v>153</v>
      </c>
      <c r="D111" s="103">
        <v>2.11</v>
      </c>
      <c r="E111" s="103">
        <f t="shared" ref="E111:H111" si="51">IF(E5=1,1,E5*1.05)</f>
        <v>1</v>
      </c>
      <c r="F111" s="103">
        <f t="shared" si="51"/>
        <v>1</v>
      </c>
      <c r="G111" s="103">
        <f t="shared" si="51"/>
        <v>1</v>
      </c>
      <c r="H111" s="103">
        <f t="shared" si="51"/>
        <v>1</v>
      </c>
    </row>
    <row r="112" spans="1:8" x14ac:dyDescent="0.25">
      <c r="B112" s="122"/>
      <c r="C112" s="28" t="s">
        <v>154</v>
      </c>
      <c r="D112" s="103">
        <v>2.11</v>
      </c>
      <c r="E112" s="103">
        <f t="shared" ref="E112:H112" si="52">IF(E6=1,1,E6*1.05)</f>
        <v>1</v>
      </c>
      <c r="F112" s="103">
        <f t="shared" si="52"/>
        <v>1</v>
      </c>
      <c r="G112" s="103">
        <f t="shared" si="52"/>
        <v>1</v>
      </c>
      <c r="H112" s="103">
        <f t="shared" si="52"/>
        <v>1</v>
      </c>
    </row>
    <row r="113" spans="1:8" x14ac:dyDescent="0.25">
      <c r="B113" s="122"/>
      <c r="C113" s="28" t="s">
        <v>155</v>
      </c>
      <c r="D113" s="103">
        <f t="shared" ref="D113:H113" si="53">IF(D7=1,1,D7*1.05)</f>
        <v>1</v>
      </c>
      <c r="E113" s="103">
        <f t="shared" si="53"/>
        <v>1</v>
      </c>
      <c r="F113" s="103">
        <f t="shared" si="53"/>
        <v>1</v>
      </c>
      <c r="G113" s="103">
        <f t="shared" si="53"/>
        <v>1</v>
      </c>
      <c r="H113" s="103">
        <f t="shared" si="53"/>
        <v>1</v>
      </c>
    </row>
    <row r="114" spans="1:8" x14ac:dyDescent="0.25">
      <c r="B114" s="122" t="s">
        <v>96</v>
      </c>
      <c r="C114" s="28" t="s">
        <v>153</v>
      </c>
      <c r="D114" s="103">
        <f t="shared" ref="D114:H114" si="54">IF(D8=1,1,D8*1.05)</f>
        <v>1</v>
      </c>
      <c r="E114" s="103">
        <v>2.11</v>
      </c>
      <c r="F114" s="103">
        <f t="shared" si="54"/>
        <v>1</v>
      </c>
      <c r="G114" s="103">
        <f t="shared" si="54"/>
        <v>1</v>
      </c>
      <c r="H114" s="103">
        <f t="shared" si="54"/>
        <v>1</v>
      </c>
    </row>
    <row r="115" spans="1:8" x14ac:dyDescent="0.25">
      <c r="B115" s="122"/>
      <c r="C115" s="28" t="s">
        <v>154</v>
      </c>
      <c r="D115" s="103">
        <f t="shared" ref="D115:H115" si="55">IF(D9=1,1,D9*1.05)</f>
        <v>1</v>
      </c>
      <c r="E115" s="103">
        <v>2.11</v>
      </c>
      <c r="F115" s="103">
        <f t="shared" si="55"/>
        <v>1</v>
      </c>
      <c r="G115" s="103">
        <f t="shared" si="55"/>
        <v>1</v>
      </c>
      <c r="H115" s="103">
        <f t="shared" si="55"/>
        <v>1</v>
      </c>
    </row>
    <row r="116" spans="1:8" x14ac:dyDescent="0.25">
      <c r="B116" s="122"/>
      <c r="C116" s="28" t="s">
        <v>155</v>
      </c>
      <c r="D116" s="103">
        <f t="shared" ref="D116:H116" si="56">IF(D10=1,1,D10*1.05)</f>
        <v>1</v>
      </c>
      <c r="E116" s="103">
        <f t="shared" si="56"/>
        <v>1</v>
      </c>
      <c r="F116" s="103">
        <f t="shared" si="56"/>
        <v>1</v>
      </c>
      <c r="G116" s="103">
        <f t="shared" si="56"/>
        <v>1</v>
      </c>
      <c r="H116" s="103">
        <f t="shared" si="56"/>
        <v>1</v>
      </c>
    </row>
    <row r="117" spans="1:8" x14ac:dyDescent="0.25">
      <c r="B117" s="122" t="s">
        <v>97</v>
      </c>
      <c r="C117" s="28" t="s">
        <v>153</v>
      </c>
      <c r="D117" s="103">
        <f t="shared" ref="D117:H117" si="57">IF(D11=1,1,D11*1.05)</f>
        <v>1</v>
      </c>
      <c r="E117" s="103">
        <f t="shared" si="57"/>
        <v>1</v>
      </c>
      <c r="F117" s="103">
        <v>2.11</v>
      </c>
      <c r="G117" s="103">
        <f t="shared" si="57"/>
        <v>1</v>
      </c>
      <c r="H117" s="103">
        <f t="shared" si="57"/>
        <v>1</v>
      </c>
    </row>
    <row r="118" spans="1:8" x14ac:dyDescent="0.25">
      <c r="B118" s="122"/>
      <c r="C118" s="28" t="s">
        <v>154</v>
      </c>
      <c r="D118" s="103">
        <f t="shared" ref="D118:H118" si="58">IF(D12=1,1,D12*1.05)</f>
        <v>1</v>
      </c>
      <c r="E118" s="103">
        <f t="shared" si="58"/>
        <v>1</v>
      </c>
      <c r="F118" s="103">
        <v>2.11</v>
      </c>
      <c r="G118" s="103">
        <f t="shared" si="58"/>
        <v>1</v>
      </c>
      <c r="H118" s="103">
        <f t="shared" si="58"/>
        <v>1</v>
      </c>
    </row>
    <row r="119" spans="1:8" x14ac:dyDescent="0.25">
      <c r="B119" s="122"/>
      <c r="C119" s="28" t="s">
        <v>155</v>
      </c>
      <c r="D119" s="103">
        <f t="shared" ref="D119:H119" si="59">IF(D13=1,1,D13*1.05)</f>
        <v>1</v>
      </c>
      <c r="E119" s="103">
        <f t="shared" si="59"/>
        <v>1</v>
      </c>
      <c r="F119" s="103">
        <f t="shared" si="59"/>
        <v>1</v>
      </c>
      <c r="G119" s="103">
        <f t="shared" si="59"/>
        <v>1</v>
      </c>
      <c r="H119" s="103">
        <f t="shared" si="59"/>
        <v>1</v>
      </c>
    </row>
    <row r="120" spans="1:8" x14ac:dyDescent="0.25">
      <c r="B120" s="122" t="s">
        <v>98</v>
      </c>
      <c r="C120" s="28" t="s">
        <v>153</v>
      </c>
      <c r="D120" s="103">
        <f t="shared" ref="D120:H120" si="60">IF(D14=1,1,D14*1.05)</f>
        <v>1</v>
      </c>
      <c r="E120" s="103">
        <f t="shared" si="60"/>
        <v>1</v>
      </c>
      <c r="F120" s="103">
        <f t="shared" si="60"/>
        <v>1</v>
      </c>
      <c r="G120" s="103">
        <v>2.11</v>
      </c>
      <c r="H120" s="103">
        <f t="shared" si="60"/>
        <v>1</v>
      </c>
    </row>
    <row r="121" spans="1:8" x14ac:dyDescent="0.25">
      <c r="B121" s="122"/>
      <c r="C121" s="28" t="s">
        <v>154</v>
      </c>
      <c r="D121" s="103">
        <f t="shared" ref="D121:H121" si="61">IF(D15=1,1,D15*1.05)</f>
        <v>1</v>
      </c>
      <c r="E121" s="103">
        <f t="shared" si="61"/>
        <v>1</v>
      </c>
      <c r="F121" s="103">
        <f t="shared" si="61"/>
        <v>1</v>
      </c>
      <c r="G121" s="103">
        <v>2.11</v>
      </c>
      <c r="H121" s="103">
        <f t="shared" si="61"/>
        <v>1</v>
      </c>
    </row>
    <row r="122" spans="1:8" x14ac:dyDescent="0.25">
      <c r="B122" s="122"/>
      <c r="C122" s="28" t="s">
        <v>155</v>
      </c>
      <c r="D122" s="103">
        <f t="shared" ref="D122:H122" si="62">IF(D16=1,1,D16*1.05)</f>
        <v>1</v>
      </c>
      <c r="E122" s="103">
        <f t="shared" si="62"/>
        <v>1</v>
      </c>
      <c r="F122" s="103">
        <f t="shared" si="62"/>
        <v>1</v>
      </c>
      <c r="G122" s="103">
        <f t="shared" si="62"/>
        <v>1</v>
      </c>
      <c r="H122" s="103">
        <f t="shared" si="62"/>
        <v>1</v>
      </c>
    </row>
    <row r="123" spans="1:8" ht="13" x14ac:dyDescent="0.25">
      <c r="B123" s="77" t="s">
        <v>156</v>
      </c>
      <c r="C123" s="28" t="s">
        <v>155</v>
      </c>
      <c r="D123" s="103">
        <f t="shared" ref="D123:H123" si="63">IF(D17=1,1,D17*1.05)</f>
        <v>1.1025</v>
      </c>
      <c r="E123" s="103">
        <f t="shared" si="63"/>
        <v>1.1025</v>
      </c>
      <c r="F123" s="103">
        <f t="shared" si="63"/>
        <v>1.1025</v>
      </c>
      <c r="G123" s="103">
        <f t="shared" si="63"/>
        <v>1.1025</v>
      </c>
      <c r="H123" s="103">
        <f t="shared" si="63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241</v>
      </c>
      <c r="B125" s="122" t="s">
        <v>100</v>
      </c>
      <c r="C125" s="28" t="s">
        <v>153</v>
      </c>
      <c r="D125" s="103">
        <f>IF(D19=1,1,D19*1.05)</f>
        <v>1</v>
      </c>
      <c r="E125" s="103">
        <f t="shared" ref="E125:H125" si="64">IF(E19=1,1,E19*1.05)</f>
        <v>1</v>
      </c>
      <c r="F125" s="103">
        <f t="shared" si="64"/>
        <v>1</v>
      </c>
      <c r="G125" s="103">
        <f t="shared" si="64"/>
        <v>1</v>
      </c>
      <c r="H125" s="103">
        <f t="shared" si="64"/>
        <v>1</v>
      </c>
    </row>
    <row r="126" spans="1:8" x14ac:dyDescent="0.25">
      <c r="B126" s="122"/>
      <c r="C126" s="28" t="s">
        <v>154</v>
      </c>
      <c r="D126" s="103">
        <f t="shared" ref="D126:H126" si="65">IF(D20=1,1,D20*1.05)</f>
        <v>1</v>
      </c>
      <c r="E126" s="103">
        <f t="shared" si="65"/>
        <v>1</v>
      </c>
      <c r="F126" s="103">
        <f t="shared" si="65"/>
        <v>1</v>
      </c>
      <c r="G126" s="103">
        <f t="shared" si="65"/>
        <v>1</v>
      </c>
      <c r="H126" s="103">
        <f t="shared" si="65"/>
        <v>1</v>
      </c>
    </row>
    <row r="127" spans="1:8" x14ac:dyDescent="0.25">
      <c r="B127" s="122"/>
      <c r="C127" s="28" t="s">
        <v>155</v>
      </c>
      <c r="D127" s="103">
        <f t="shared" ref="D127:H127" si="66">IF(D21=1,1,D21*1.05)</f>
        <v>1</v>
      </c>
      <c r="E127" s="103">
        <f t="shared" si="66"/>
        <v>1</v>
      </c>
      <c r="F127" s="103">
        <f t="shared" si="66"/>
        <v>1</v>
      </c>
      <c r="G127" s="103">
        <f t="shared" si="66"/>
        <v>1</v>
      </c>
      <c r="H127" s="103">
        <f t="shared" si="66"/>
        <v>1</v>
      </c>
    </row>
    <row r="128" spans="1:8" x14ac:dyDescent="0.25">
      <c r="B128" s="122" t="s">
        <v>109</v>
      </c>
      <c r="C128" s="28" t="s">
        <v>153</v>
      </c>
      <c r="D128" s="103">
        <f t="shared" ref="D128:H128" si="67">IF(D22=1,1,D22*1.05)</f>
        <v>1</v>
      </c>
      <c r="E128" s="103">
        <f t="shared" si="67"/>
        <v>1</v>
      </c>
      <c r="F128" s="103">
        <f t="shared" si="67"/>
        <v>1</v>
      </c>
      <c r="G128" s="103">
        <f t="shared" si="67"/>
        <v>1</v>
      </c>
      <c r="H128" s="103">
        <f t="shared" si="67"/>
        <v>1</v>
      </c>
    </row>
    <row r="129" spans="1:8" x14ac:dyDescent="0.25">
      <c r="B129" s="122"/>
      <c r="C129" s="28" t="s">
        <v>154</v>
      </c>
      <c r="D129" s="103">
        <f t="shared" ref="D129:H129" si="68">IF(D23=1,1,D23*1.05)</f>
        <v>1</v>
      </c>
      <c r="E129" s="103">
        <f t="shared" si="68"/>
        <v>1</v>
      </c>
      <c r="F129" s="103">
        <f t="shared" si="68"/>
        <v>1</v>
      </c>
      <c r="G129" s="103">
        <f t="shared" si="68"/>
        <v>1</v>
      </c>
      <c r="H129" s="103">
        <f t="shared" si="68"/>
        <v>1</v>
      </c>
    </row>
    <row r="130" spans="1:8" x14ac:dyDescent="0.25">
      <c r="B130" s="122"/>
      <c r="C130" s="28" t="s">
        <v>155</v>
      </c>
      <c r="D130" s="103">
        <f t="shared" ref="D130:H130" si="69">IF(D24=1,1,D24*1.05)</f>
        <v>1</v>
      </c>
      <c r="E130" s="103">
        <f t="shared" si="69"/>
        <v>1</v>
      </c>
      <c r="F130" s="103">
        <f t="shared" si="69"/>
        <v>1</v>
      </c>
      <c r="G130" s="103">
        <f t="shared" si="69"/>
        <v>1</v>
      </c>
      <c r="H130" s="103">
        <f t="shared" si="69"/>
        <v>1</v>
      </c>
    </row>
    <row r="131" spans="1:8" x14ac:dyDescent="0.25">
      <c r="B131" s="122" t="s">
        <v>96</v>
      </c>
      <c r="C131" s="28" t="s">
        <v>153</v>
      </c>
      <c r="D131" s="103">
        <f t="shared" ref="D131:H131" si="70">IF(D25=1,1,D25*1.05)</f>
        <v>1</v>
      </c>
      <c r="E131" s="103">
        <f t="shared" si="70"/>
        <v>1</v>
      </c>
      <c r="F131" s="103">
        <f t="shared" si="70"/>
        <v>1</v>
      </c>
      <c r="G131" s="103">
        <f t="shared" si="70"/>
        <v>1</v>
      </c>
      <c r="H131" s="103">
        <f t="shared" si="70"/>
        <v>1</v>
      </c>
    </row>
    <row r="132" spans="1:8" x14ac:dyDescent="0.25">
      <c r="B132" s="122"/>
      <c r="C132" s="28" t="s">
        <v>154</v>
      </c>
      <c r="D132" s="103">
        <f t="shared" ref="D132:H132" si="71">IF(D26=1,1,D26*1.05)</f>
        <v>1</v>
      </c>
      <c r="E132" s="103">
        <f t="shared" si="71"/>
        <v>1</v>
      </c>
      <c r="F132" s="103">
        <f t="shared" si="71"/>
        <v>1</v>
      </c>
      <c r="G132" s="103">
        <f t="shared" si="71"/>
        <v>1</v>
      </c>
      <c r="H132" s="103">
        <f t="shared" si="71"/>
        <v>1</v>
      </c>
    </row>
    <row r="133" spans="1:8" x14ac:dyDescent="0.25">
      <c r="B133" s="122"/>
      <c r="C133" s="28" t="s">
        <v>155</v>
      </c>
      <c r="D133" s="103">
        <f t="shared" ref="D133:H133" si="72">IF(D27=1,1,D27*1.05)</f>
        <v>1</v>
      </c>
      <c r="E133" s="103">
        <f t="shared" si="72"/>
        <v>1</v>
      </c>
      <c r="F133" s="103">
        <f t="shared" si="72"/>
        <v>1</v>
      </c>
      <c r="G133" s="103">
        <f t="shared" si="72"/>
        <v>1</v>
      </c>
      <c r="H133" s="103">
        <f t="shared" si="72"/>
        <v>1</v>
      </c>
    </row>
    <row r="134" spans="1:8" x14ac:dyDescent="0.25">
      <c r="B134" s="122" t="s">
        <v>97</v>
      </c>
      <c r="C134" s="28" t="s">
        <v>153</v>
      </c>
      <c r="D134" s="103">
        <f t="shared" ref="D134:H134" si="73">IF(D28=1,1,D28*1.05)</f>
        <v>1</v>
      </c>
      <c r="E134" s="103">
        <f t="shared" si="73"/>
        <v>1</v>
      </c>
      <c r="F134" s="103">
        <f t="shared" si="73"/>
        <v>1</v>
      </c>
      <c r="G134" s="103">
        <f t="shared" si="73"/>
        <v>1</v>
      </c>
      <c r="H134" s="103">
        <f t="shared" si="73"/>
        <v>1</v>
      </c>
    </row>
    <row r="135" spans="1:8" x14ac:dyDescent="0.25">
      <c r="B135" s="122"/>
      <c r="C135" s="28" t="s">
        <v>154</v>
      </c>
      <c r="D135" s="103">
        <f t="shared" ref="D135:H135" si="74">IF(D29=1,1,D29*1.05)</f>
        <v>1</v>
      </c>
      <c r="E135" s="103">
        <f t="shared" si="74"/>
        <v>1</v>
      </c>
      <c r="F135" s="103">
        <f t="shared" si="74"/>
        <v>1</v>
      </c>
      <c r="G135" s="103">
        <f t="shared" si="74"/>
        <v>1</v>
      </c>
      <c r="H135" s="103">
        <f t="shared" si="74"/>
        <v>1</v>
      </c>
    </row>
    <row r="136" spans="1:8" x14ac:dyDescent="0.25">
      <c r="B136" s="122"/>
      <c r="C136" s="28" t="s">
        <v>155</v>
      </c>
      <c r="D136" s="103">
        <f t="shared" ref="D136:H136" si="75">IF(D30=1,1,D30*1.05)</f>
        <v>1</v>
      </c>
      <c r="E136" s="103">
        <f t="shared" si="75"/>
        <v>1</v>
      </c>
      <c r="F136" s="103">
        <f t="shared" si="75"/>
        <v>1</v>
      </c>
      <c r="G136" s="103">
        <f t="shared" si="75"/>
        <v>1</v>
      </c>
      <c r="H136" s="103">
        <f t="shared" si="75"/>
        <v>1</v>
      </c>
    </row>
    <row r="137" spans="1:8" x14ac:dyDescent="0.25">
      <c r="B137" s="122" t="s">
        <v>98</v>
      </c>
      <c r="C137" s="28" t="s">
        <v>153</v>
      </c>
      <c r="D137" s="103">
        <f t="shared" ref="D137:H137" si="76">IF(D31=1,1,D31*1.05)</f>
        <v>1</v>
      </c>
      <c r="E137" s="103">
        <f t="shared" si="76"/>
        <v>1</v>
      </c>
      <c r="F137" s="103">
        <f t="shared" si="76"/>
        <v>1</v>
      </c>
      <c r="G137" s="103">
        <f t="shared" si="76"/>
        <v>1</v>
      </c>
      <c r="H137" s="103">
        <f t="shared" si="76"/>
        <v>1</v>
      </c>
    </row>
    <row r="138" spans="1:8" x14ac:dyDescent="0.25">
      <c r="B138" s="122"/>
      <c r="C138" s="28" t="s">
        <v>154</v>
      </c>
      <c r="D138" s="103">
        <f t="shared" ref="D138:H138" si="77">IF(D32=1,1,D32*1.05)</f>
        <v>1</v>
      </c>
      <c r="E138" s="103">
        <f t="shared" si="77"/>
        <v>1</v>
      </c>
      <c r="F138" s="103">
        <f t="shared" si="77"/>
        <v>1</v>
      </c>
      <c r="G138" s="103">
        <f t="shared" si="77"/>
        <v>1</v>
      </c>
      <c r="H138" s="103">
        <f t="shared" si="77"/>
        <v>1</v>
      </c>
    </row>
    <row r="139" spans="1:8" x14ac:dyDescent="0.25">
      <c r="B139" s="122"/>
      <c r="C139" s="28" t="s">
        <v>155</v>
      </c>
      <c r="D139" s="103">
        <f t="shared" ref="D139:H139" si="78">IF(D33=1,1,D33*1.05)</f>
        <v>1</v>
      </c>
      <c r="E139" s="103">
        <f t="shared" si="78"/>
        <v>1</v>
      </c>
      <c r="F139" s="103">
        <f t="shared" si="78"/>
        <v>1</v>
      </c>
      <c r="G139" s="103">
        <f t="shared" si="78"/>
        <v>1</v>
      </c>
      <c r="H139" s="103">
        <f t="shared" si="78"/>
        <v>1</v>
      </c>
    </row>
    <row r="140" spans="1:8" ht="13" x14ac:dyDescent="0.25">
      <c r="B140" s="77" t="s">
        <v>156</v>
      </c>
      <c r="C140" s="28" t="s">
        <v>155</v>
      </c>
      <c r="D140" s="103">
        <f t="shared" ref="D140:H140" si="79">IF(D34=1,1,D34*1.05)</f>
        <v>1</v>
      </c>
      <c r="E140" s="103">
        <f t="shared" si="79"/>
        <v>1</v>
      </c>
      <c r="F140" s="103">
        <f t="shared" si="79"/>
        <v>1</v>
      </c>
      <c r="G140" s="103">
        <f t="shared" si="79"/>
        <v>1</v>
      </c>
      <c r="H140" s="103">
        <f t="shared" si="79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242</v>
      </c>
      <c r="B142" s="122" t="s">
        <v>100</v>
      </c>
      <c r="C142" s="28" t="s">
        <v>153</v>
      </c>
      <c r="D142" s="103">
        <f>IF(D36=1,1,D36*1.05)</f>
        <v>1</v>
      </c>
      <c r="E142" s="103">
        <f t="shared" ref="E142:H142" si="80">IF(E36=1,1,E36*1.05)</f>
        <v>1</v>
      </c>
      <c r="F142" s="103">
        <f t="shared" si="80"/>
        <v>1</v>
      </c>
      <c r="G142" s="103">
        <f t="shared" si="80"/>
        <v>1</v>
      </c>
      <c r="H142" s="103">
        <f t="shared" si="80"/>
        <v>1</v>
      </c>
    </row>
    <row r="143" spans="1:8" x14ac:dyDescent="0.25">
      <c r="B143" s="122"/>
      <c r="C143" s="28" t="s">
        <v>154</v>
      </c>
      <c r="D143" s="103">
        <f t="shared" ref="D143:H143" si="81">IF(D37=1,1,D37*1.05)</f>
        <v>1</v>
      </c>
      <c r="E143" s="103">
        <f t="shared" si="81"/>
        <v>1</v>
      </c>
      <c r="F143" s="103">
        <f t="shared" si="81"/>
        <v>1</v>
      </c>
      <c r="G143" s="103">
        <f t="shared" si="81"/>
        <v>1</v>
      </c>
      <c r="H143" s="103">
        <f t="shared" si="81"/>
        <v>1</v>
      </c>
    </row>
    <row r="144" spans="1:8" x14ac:dyDescent="0.25">
      <c r="B144" s="122"/>
      <c r="C144" s="28" t="s">
        <v>155</v>
      </c>
      <c r="D144" s="103">
        <f t="shared" ref="D144:H144" si="82">IF(D38=1,1,D38*1.05)</f>
        <v>1</v>
      </c>
      <c r="E144" s="103">
        <f t="shared" si="82"/>
        <v>1</v>
      </c>
      <c r="F144" s="103">
        <f t="shared" si="82"/>
        <v>1</v>
      </c>
      <c r="G144" s="103">
        <f t="shared" si="82"/>
        <v>1</v>
      </c>
      <c r="H144" s="103">
        <f t="shared" si="82"/>
        <v>1</v>
      </c>
    </row>
    <row r="145" spans="2:8" x14ac:dyDescent="0.25">
      <c r="B145" s="122" t="s">
        <v>109</v>
      </c>
      <c r="C145" s="28" t="s">
        <v>153</v>
      </c>
      <c r="D145" s="103">
        <f t="shared" ref="D145:H145" si="83">IF(D39=1,1,D39*1.05)</f>
        <v>1</v>
      </c>
      <c r="E145" s="103">
        <f t="shared" si="83"/>
        <v>1</v>
      </c>
      <c r="F145" s="103">
        <f t="shared" si="83"/>
        <v>1</v>
      </c>
      <c r="G145" s="103">
        <f t="shared" si="83"/>
        <v>1</v>
      </c>
      <c r="H145" s="103">
        <f t="shared" si="83"/>
        <v>1</v>
      </c>
    </row>
    <row r="146" spans="2:8" x14ac:dyDescent="0.25">
      <c r="B146" s="122"/>
      <c r="C146" s="28" t="s">
        <v>154</v>
      </c>
      <c r="D146" s="103">
        <f t="shared" ref="D146:H146" si="84">IF(D40=1,1,D40*1.05)</f>
        <v>1</v>
      </c>
      <c r="E146" s="103">
        <f t="shared" si="84"/>
        <v>1</v>
      </c>
      <c r="F146" s="103">
        <f t="shared" si="84"/>
        <v>1</v>
      </c>
      <c r="G146" s="103">
        <f t="shared" si="84"/>
        <v>1</v>
      </c>
      <c r="H146" s="103">
        <f t="shared" si="84"/>
        <v>1</v>
      </c>
    </row>
    <row r="147" spans="2:8" x14ac:dyDescent="0.25">
      <c r="B147" s="122"/>
      <c r="C147" s="28" t="s">
        <v>155</v>
      </c>
      <c r="D147" s="103">
        <f t="shared" ref="D147:H147" si="85">IF(D41=1,1,D41*1.05)</f>
        <v>1</v>
      </c>
      <c r="E147" s="103">
        <f t="shared" si="85"/>
        <v>1</v>
      </c>
      <c r="F147" s="103">
        <f t="shared" si="85"/>
        <v>1</v>
      </c>
      <c r="G147" s="103">
        <f t="shared" si="85"/>
        <v>1</v>
      </c>
      <c r="H147" s="103">
        <f t="shared" si="85"/>
        <v>1</v>
      </c>
    </row>
    <row r="148" spans="2:8" x14ac:dyDescent="0.25">
      <c r="B148" s="122" t="s">
        <v>96</v>
      </c>
      <c r="C148" s="28" t="s">
        <v>153</v>
      </c>
      <c r="D148" s="103">
        <f t="shared" ref="D148:H148" si="86">IF(D42=1,1,D42*1.05)</f>
        <v>1</v>
      </c>
      <c r="E148" s="103">
        <f t="shared" si="86"/>
        <v>1</v>
      </c>
      <c r="F148" s="103">
        <f t="shared" si="86"/>
        <v>1</v>
      </c>
      <c r="G148" s="103">
        <f t="shared" si="86"/>
        <v>1</v>
      </c>
      <c r="H148" s="103">
        <f t="shared" si="86"/>
        <v>1</v>
      </c>
    </row>
    <row r="149" spans="2:8" x14ac:dyDescent="0.25">
      <c r="B149" s="122"/>
      <c r="C149" s="28" t="s">
        <v>154</v>
      </c>
      <c r="D149" s="103">
        <f t="shared" ref="D149:H149" si="87">IF(D43=1,1,D43*1.05)</f>
        <v>1</v>
      </c>
      <c r="E149" s="103">
        <f t="shared" si="87"/>
        <v>1</v>
      </c>
      <c r="F149" s="103">
        <f t="shared" si="87"/>
        <v>1</v>
      </c>
      <c r="G149" s="103">
        <f t="shared" si="87"/>
        <v>1</v>
      </c>
      <c r="H149" s="103">
        <f t="shared" si="87"/>
        <v>1</v>
      </c>
    </row>
    <row r="150" spans="2:8" x14ac:dyDescent="0.25">
      <c r="B150" s="122"/>
      <c r="C150" s="28" t="s">
        <v>155</v>
      </c>
      <c r="D150" s="103">
        <f t="shared" ref="D150:H150" si="88">IF(D44=1,1,D44*1.05)</f>
        <v>1</v>
      </c>
      <c r="E150" s="103">
        <f t="shared" si="88"/>
        <v>1</v>
      </c>
      <c r="F150" s="103">
        <f t="shared" si="88"/>
        <v>1</v>
      </c>
      <c r="G150" s="103">
        <f t="shared" si="88"/>
        <v>1</v>
      </c>
      <c r="H150" s="103">
        <f t="shared" si="88"/>
        <v>1</v>
      </c>
    </row>
    <row r="151" spans="2:8" x14ac:dyDescent="0.25">
      <c r="B151" s="122" t="s">
        <v>97</v>
      </c>
      <c r="C151" s="28" t="s">
        <v>153</v>
      </c>
      <c r="D151" s="103">
        <f t="shared" ref="D151:H151" si="89">IF(D45=1,1,D45*1.05)</f>
        <v>1</v>
      </c>
      <c r="E151" s="103">
        <f t="shared" si="89"/>
        <v>1</v>
      </c>
      <c r="F151" s="103">
        <f t="shared" si="89"/>
        <v>1</v>
      </c>
      <c r="G151" s="103">
        <f t="shared" si="89"/>
        <v>1</v>
      </c>
      <c r="H151" s="103">
        <f t="shared" si="89"/>
        <v>1</v>
      </c>
    </row>
    <row r="152" spans="2:8" x14ac:dyDescent="0.25">
      <c r="B152" s="122"/>
      <c r="C152" s="28" t="s">
        <v>154</v>
      </c>
      <c r="D152" s="103">
        <f t="shared" ref="D152:H152" si="90">IF(D46=1,1,D46*1.05)</f>
        <v>1</v>
      </c>
      <c r="E152" s="103">
        <f t="shared" si="90"/>
        <v>1</v>
      </c>
      <c r="F152" s="103">
        <f t="shared" si="90"/>
        <v>1</v>
      </c>
      <c r="G152" s="103">
        <f t="shared" si="90"/>
        <v>1</v>
      </c>
      <c r="H152" s="103">
        <f t="shared" si="90"/>
        <v>1</v>
      </c>
    </row>
    <row r="153" spans="2:8" x14ac:dyDescent="0.25">
      <c r="B153" s="122"/>
      <c r="C153" s="28" t="s">
        <v>155</v>
      </c>
      <c r="D153" s="103">
        <f t="shared" ref="D153:H153" si="91">IF(D47=1,1,D47*1.05)</f>
        <v>1</v>
      </c>
      <c r="E153" s="103">
        <f t="shared" si="91"/>
        <v>1</v>
      </c>
      <c r="F153" s="103">
        <f t="shared" si="91"/>
        <v>1</v>
      </c>
      <c r="G153" s="103">
        <f t="shared" si="91"/>
        <v>1</v>
      </c>
      <c r="H153" s="103">
        <f t="shared" si="91"/>
        <v>1</v>
      </c>
    </row>
    <row r="154" spans="2:8" x14ac:dyDescent="0.25">
      <c r="B154" s="122" t="s">
        <v>98</v>
      </c>
      <c r="C154" s="28" t="s">
        <v>153</v>
      </c>
      <c r="D154" s="103">
        <f t="shared" ref="D154:H154" si="92">IF(D48=1,1,D48*1.05)</f>
        <v>1</v>
      </c>
      <c r="E154" s="103">
        <f t="shared" si="92"/>
        <v>1</v>
      </c>
      <c r="F154" s="103">
        <f t="shared" si="92"/>
        <v>1</v>
      </c>
      <c r="G154" s="103">
        <f t="shared" si="92"/>
        <v>1</v>
      </c>
      <c r="H154" s="103">
        <f t="shared" si="92"/>
        <v>1</v>
      </c>
    </row>
    <row r="155" spans="2:8" x14ac:dyDescent="0.25">
      <c r="B155" s="122"/>
      <c r="C155" s="28" t="s">
        <v>154</v>
      </c>
      <c r="D155" s="103">
        <f t="shared" ref="D155:H155" si="93">IF(D49=1,1,D49*1.05)</f>
        <v>1</v>
      </c>
      <c r="E155" s="103">
        <f t="shared" si="93"/>
        <v>1</v>
      </c>
      <c r="F155" s="103">
        <f t="shared" si="93"/>
        <v>1</v>
      </c>
      <c r="G155" s="103">
        <f t="shared" si="93"/>
        <v>1</v>
      </c>
      <c r="H155" s="103">
        <f t="shared" si="93"/>
        <v>1</v>
      </c>
    </row>
    <row r="156" spans="2:8" x14ac:dyDescent="0.25">
      <c r="B156" s="122"/>
      <c r="C156" s="28" t="s">
        <v>155</v>
      </c>
      <c r="D156" s="103">
        <f t="shared" ref="D156:H156" si="94">IF(D50=1,1,D50*1.05)</f>
        <v>1</v>
      </c>
      <c r="E156" s="103">
        <f t="shared" si="94"/>
        <v>1</v>
      </c>
      <c r="F156" s="103">
        <f t="shared" si="94"/>
        <v>1</v>
      </c>
      <c r="G156" s="103">
        <f t="shared" si="94"/>
        <v>1</v>
      </c>
      <c r="H156" s="103">
        <f t="shared" si="94"/>
        <v>1</v>
      </c>
    </row>
    <row r="157" spans="2:8" ht="13" x14ac:dyDescent="0.25">
      <c r="B157" s="77" t="s">
        <v>156</v>
      </c>
      <c r="C157" s="28" t="s">
        <v>155</v>
      </c>
      <c r="D157" s="103">
        <f t="shared" ref="D157:H157" si="95">IF(D51=1,1,D51*1.05)</f>
        <v>1</v>
      </c>
      <c r="E157" s="103">
        <f t="shared" si="95"/>
        <v>1</v>
      </c>
      <c r="F157" s="103">
        <f t="shared" si="95"/>
        <v>1</v>
      </c>
      <c r="G157" s="103">
        <f t="shared" si="95"/>
        <v>1</v>
      </c>
      <c r="H157" s="103">
        <f t="shared" si="95"/>
        <v>1</v>
      </c>
    </row>
  </sheetData>
  <sheetProtection algorithmName="SHA-512" hashValue="fJ/Sl7/Zll8i/3974DTLMxQZlLt/4QahbWzvEbFIXAAkIX/APbcB48RZFZbCTzixfC/0Nv2varIjdWW0r/D4qA==" saltValue="St1vVuH6VHJnzpCWLsARB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 D108:H110 D142:H157 D55:H57 D72:H87 D125:H140 D89:H97 D66:H66 D64:E64 G64:H64 D65:E65 G65:H65 D69:H70 D67:F67 H67 D68:F68 H68 D100:H100 D98:E98 G98:H98 D99:E99 G99:H99 D103:H104 D101:F101 H101 D102:F102 H102 D119:H119 D117:E117 G117:H117 D118:E118 G118:H118 D122:H123 D120:F120 H120 D121:F121 H121 D60:H60 E58:H58 E59:H59 D63:H63 D61 F61:H61 D62 F62:H62 D113:H113 E111:H111 E112:H112 D116:H116 D114 F114:H114 D115 F115: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243</v>
      </c>
    </row>
    <row r="2" spans="1:6" ht="15.75" customHeight="1" x14ac:dyDescent="0.3">
      <c r="B2" s="81"/>
      <c r="C2" s="82" t="s">
        <v>54</v>
      </c>
      <c r="D2" s="83" t="s">
        <v>53</v>
      </c>
      <c r="E2" s="83" t="s">
        <v>52</v>
      </c>
      <c r="F2" s="83" t="s">
        <v>51</v>
      </c>
    </row>
    <row r="3" spans="1:6" ht="15.75" customHeight="1" x14ac:dyDescent="0.3">
      <c r="A3" s="30" t="s">
        <v>244</v>
      </c>
      <c r="B3" s="84"/>
      <c r="C3" s="85"/>
      <c r="D3" s="86"/>
      <c r="E3" s="86"/>
      <c r="F3" s="86"/>
    </row>
    <row r="4" spans="1:6" ht="15.75" customHeight="1" x14ac:dyDescent="0.25">
      <c r="B4" s="73" t="s">
        <v>37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38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39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40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249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245</v>
      </c>
      <c r="C11" s="88"/>
      <c r="D11" s="89"/>
      <c r="E11" s="89"/>
      <c r="F11" s="89"/>
    </row>
    <row r="12" spans="1:6" ht="15.75" customHeight="1" x14ac:dyDescent="0.3">
      <c r="A12" s="30" t="s">
        <v>246</v>
      </c>
      <c r="C12" s="87"/>
      <c r="D12" s="76"/>
      <c r="E12" s="76"/>
      <c r="F12" s="76"/>
    </row>
    <row r="13" spans="1:6" ht="15.75" customHeight="1" x14ac:dyDescent="0.25">
      <c r="B13" s="46" t="s">
        <v>247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119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120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248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78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79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80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81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82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83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84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85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235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243</v>
      </c>
    </row>
    <row r="29" spans="1:6" ht="15.75" customHeight="1" x14ac:dyDescent="0.3">
      <c r="B29" s="81"/>
      <c r="C29" s="82" t="s">
        <v>54</v>
      </c>
      <c r="D29" s="83" t="s">
        <v>53</v>
      </c>
      <c r="E29" s="83" t="s">
        <v>52</v>
      </c>
      <c r="F29" s="83" t="s">
        <v>51</v>
      </c>
    </row>
    <row r="30" spans="1:6" ht="15.75" customHeight="1" x14ac:dyDescent="0.3">
      <c r="A30" s="30" t="s">
        <v>250</v>
      </c>
      <c r="B30" s="84"/>
      <c r="C30" s="85"/>
      <c r="D30" s="86"/>
      <c r="E30" s="86"/>
      <c r="F30" s="86"/>
    </row>
    <row r="31" spans="1:6" ht="15.75" customHeight="1" x14ac:dyDescent="0.25">
      <c r="B31" s="73" t="s">
        <v>37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38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39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40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262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245</v>
      </c>
      <c r="B38" s="80"/>
      <c r="C38" s="88"/>
      <c r="D38" s="89"/>
      <c r="E38" s="89"/>
      <c r="F38" s="89"/>
    </row>
    <row r="39" spans="1:6" ht="15.75" customHeight="1" x14ac:dyDescent="0.3">
      <c r="A39" s="30" t="s">
        <v>251</v>
      </c>
      <c r="C39" s="87"/>
      <c r="D39" s="76"/>
      <c r="E39" s="76"/>
      <c r="F39" s="76"/>
    </row>
    <row r="40" spans="1:6" ht="15.75" customHeight="1" x14ac:dyDescent="0.25">
      <c r="B40" s="46" t="s">
        <v>256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257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258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252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78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79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80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81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82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83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84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85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239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243</v>
      </c>
    </row>
    <row r="56" spans="1:6" ht="15.75" customHeight="1" x14ac:dyDescent="0.3">
      <c r="B56" s="81"/>
      <c r="C56" s="82" t="s">
        <v>54</v>
      </c>
      <c r="D56" s="83" t="s">
        <v>53</v>
      </c>
      <c r="E56" s="83" t="s">
        <v>52</v>
      </c>
      <c r="F56" s="83" t="s">
        <v>51</v>
      </c>
    </row>
    <row r="57" spans="1:6" ht="15.75" customHeight="1" x14ac:dyDescent="0.3">
      <c r="A57" s="30" t="s">
        <v>253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37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38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39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40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263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245</v>
      </c>
      <c r="B65" s="80"/>
      <c r="C65" s="88"/>
      <c r="D65" s="89"/>
      <c r="E65" s="89"/>
      <c r="F65" s="89"/>
    </row>
    <row r="66" spans="1:6" ht="15.75" customHeight="1" x14ac:dyDescent="0.3">
      <c r="A66" s="30" t="s">
        <v>254</v>
      </c>
      <c r="C66" s="87"/>
      <c r="D66" s="76"/>
      <c r="E66" s="76"/>
      <c r="F66" s="76"/>
    </row>
    <row r="67" spans="1:6" ht="15.75" customHeight="1" x14ac:dyDescent="0.25">
      <c r="B67" s="46" t="s">
        <v>259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260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261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255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78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79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80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81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82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83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84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85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T7nKK2T7RQGRtbrvBgVn3Y1br4LaCwSBK4374eEBWE6QdCUhiLP1xfxJlIaDoyfE+i+XPoYDsmDnk6qoz13J/w==" saltValue="Q6B5cbZ9HaiCPSpbgdtER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264</v>
      </c>
    </row>
    <row r="2" spans="1:16" ht="13" x14ac:dyDescent="0.3">
      <c r="A2" s="93" t="s">
        <v>226</v>
      </c>
      <c r="B2" s="42" t="s">
        <v>265</v>
      </c>
      <c r="C2" s="42" t="s">
        <v>266</v>
      </c>
      <c r="D2" s="83" t="s">
        <v>109</v>
      </c>
      <c r="E2" s="83" t="s">
        <v>96</v>
      </c>
      <c r="F2" s="83" t="s">
        <v>97</v>
      </c>
      <c r="G2" s="83" t="s">
        <v>98</v>
      </c>
      <c r="H2" s="83" t="s">
        <v>99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87</v>
      </c>
      <c r="C3" s="32" t="s">
        <v>9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267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268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269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88</v>
      </c>
      <c r="C7" s="32" t="s">
        <v>9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267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268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269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90</v>
      </c>
      <c r="C11" s="32" t="s">
        <v>9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267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268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269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91</v>
      </c>
      <c r="C15" s="32" t="s">
        <v>9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267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268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269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89</v>
      </c>
      <c r="C19" s="32" t="s">
        <v>9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267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268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269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95</v>
      </c>
      <c r="C23" s="32" t="s">
        <v>9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267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268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269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278</v>
      </c>
    </row>
    <row r="29" spans="1:16" ht="13" x14ac:dyDescent="0.3">
      <c r="A29" s="93" t="s">
        <v>279</v>
      </c>
      <c r="B29" s="30" t="s">
        <v>265</v>
      </c>
      <c r="C29" s="30" t="s">
        <v>270</v>
      </c>
      <c r="D29" s="83" t="s">
        <v>109</v>
      </c>
      <c r="E29" s="83" t="s">
        <v>96</v>
      </c>
      <c r="F29" s="83" t="s">
        <v>97</v>
      </c>
      <c r="G29" s="83" t="s">
        <v>98</v>
      </c>
      <c r="H29" s="83" t="s">
        <v>99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87</v>
      </c>
      <c r="C30" s="32" t="s">
        <v>9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267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209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208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88</v>
      </c>
      <c r="C34" s="32" t="s">
        <v>9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267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209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208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90</v>
      </c>
      <c r="C38" s="32" t="s">
        <v>9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267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209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208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91</v>
      </c>
      <c r="C42" s="32" t="s">
        <v>9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267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209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208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89</v>
      </c>
      <c r="C46" s="32" t="s">
        <v>9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267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209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208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95</v>
      </c>
      <c r="C50" s="32" t="s">
        <v>9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267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209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208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271</v>
      </c>
    </row>
    <row r="56" spans="1:16" ht="26" x14ac:dyDescent="0.3">
      <c r="A56" s="93" t="s">
        <v>121</v>
      </c>
      <c r="B56" s="30" t="s">
        <v>265</v>
      </c>
      <c r="C56" s="81" t="s">
        <v>272</v>
      </c>
      <c r="D56" s="83" t="s">
        <v>122</v>
      </c>
      <c r="E56" s="83" t="s">
        <v>123</v>
      </c>
      <c r="F56" s="83" t="s">
        <v>124</v>
      </c>
      <c r="G56" s="83" t="s">
        <v>125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101</v>
      </c>
      <c r="C57" s="32" t="s">
        <v>273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274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102</v>
      </c>
      <c r="C59" s="32" t="s">
        <v>273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274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103</v>
      </c>
      <c r="C61" s="32" t="s">
        <v>273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274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275</v>
      </c>
    </row>
    <row r="65" spans="1:16" ht="26" x14ac:dyDescent="0.3">
      <c r="A65" s="93" t="s">
        <v>128</v>
      </c>
      <c r="B65" s="30" t="s">
        <v>265</v>
      </c>
      <c r="C65" s="81" t="s">
        <v>276</v>
      </c>
      <c r="D65" s="83" t="s">
        <v>109</v>
      </c>
      <c r="E65" s="83" t="s">
        <v>96</v>
      </c>
      <c r="F65" s="83" t="s">
        <v>97</v>
      </c>
      <c r="G65" s="83" t="s">
        <v>98</v>
      </c>
      <c r="H65" s="96" t="s">
        <v>99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78</v>
      </c>
      <c r="C66" s="32" t="s">
        <v>129</v>
      </c>
      <c r="D66" s="105">
        <v>1.35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130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131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132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79</v>
      </c>
      <c r="C70" s="32" t="s">
        <v>129</v>
      </c>
      <c r="D70" s="105">
        <v>1.35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130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131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132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80</v>
      </c>
      <c r="C74" s="32" t="s">
        <v>129</v>
      </c>
      <c r="D74" s="105">
        <v>1.35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130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131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132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82</v>
      </c>
      <c r="C78" s="32" t="s">
        <v>129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130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131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132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87</v>
      </c>
      <c r="C82" s="32" t="s">
        <v>129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130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131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132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88</v>
      </c>
      <c r="C86" s="32" t="s">
        <v>129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130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131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132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90</v>
      </c>
      <c r="C90" s="32" t="s">
        <v>129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130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131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132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89</v>
      </c>
      <c r="C94" s="32" t="s">
        <v>129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130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131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132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92</v>
      </c>
      <c r="C98" s="32" t="s">
        <v>129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130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131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132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277</v>
      </c>
    </row>
    <row r="104" spans="1:16" ht="26" x14ac:dyDescent="0.3">
      <c r="A104" s="93" t="s">
        <v>87</v>
      </c>
      <c r="B104" s="97" t="s">
        <v>132</v>
      </c>
      <c r="C104" s="81" t="s">
        <v>276</v>
      </c>
      <c r="D104" s="83" t="s">
        <v>109</v>
      </c>
      <c r="E104" s="83" t="s">
        <v>96</v>
      </c>
      <c r="F104" s="83" t="s">
        <v>97</v>
      </c>
      <c r="G104" s="83" t="s">
        <v>98</v>
      </c>
      <c r="H104" s="96" t="s">
        <v>99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129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130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131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132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235</v>
      </c>
      <c r="H110" s="107"/>
    </row>
    <row r="111" spans="1:16" ht="13" x14ac:dyDescent="0.3">
      <c r="A111" s="79" t="s">
        <v>264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226</v>
      </c>
      <c r="B112" s="42" t="s">
        <v>265</v>
      </c>
      <c r="C112" s="42" t="s">
        <v>266</v>
      </c>
      <c r="D112" s="83" t="s">
        <v>109</v>
      </c>
      <c r="E112" s="83" t="s">
        <v>96</v>
      </c>
      <c r="F112" s="83" t="s">
        <v>97</v>
      </c>
      <c r="G112" s="83" t="s">
        <v>98</v>
      </c>
      <c r="H112" s="83" t="s">
        <v>99</v>
      </c>
    </row>
    <row r="113" spans="1:8" ht="13" x14ac:dyDescent="0.3">
      <c r="A113" s="30"/>
      <c r="B113" s="28" t="s">
        <v>87</v>
      </c>
      <c r="C113" s="32" t="s">
        <v>9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267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268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269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88</v>
      </c>
      <c r="C117" s="32" t="s">
        <v>9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267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268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269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90</v>
      </c>
      <c r="C121" s="32" t="s">
        <v>9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267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268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269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91</v>
      </c>
      <c r="C125" s="32" t="s">
        <v>9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267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268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269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89</v>
      </c>
      <c r="C129" s="32" t="s">
        <v>9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267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268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269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95</v>
      </c>
      <c r="C133" s="32" t="s">
        <v>9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267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268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269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278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279</v>
      </c>
      <c r="B139" s="30" t="s">
        <v>265</v>
      </c>
      <c r="C139" s="30" t="s">
        <v>270</v>
      </c>
      <c r="D139" s="83" t="s">
        <v>109</v>
      </c>
      <c r="E139" s="83" t="s">
        <v>96</v>
      </c>
      <c r="F139" s="83" t="s">
        <v>97</v>
      </c>
      <c r="G139" s="83" t="s">
        <v>98</v>
      </c>
      <c r="H139" s="83" t="s">
        <v>99</v>
      </c>
    </row>
    <row r="140" spans="1:8" ht="13" x14ac:dyDescent="0.3">
      <c r="A140" s="30"/>
      <c r="B140" s="28" t="s">
        <v>87</v>
      </c>
      <c r="C140" s="32" t="s">
        <v>9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267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209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208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88</v>
      </c>
      <c r="C144" s="32" t="s">
        <v>9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267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209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208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90</v>
      </c>
      <c r="C148" s="32" t="s">
        <v>9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267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209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208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91</v>
      </c>
      <c r="C152" s="32" t="s">
        <v>9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267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209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208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89</v>
      </c>
      <c r="C156" s="32" t="s">
        <v>9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267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209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208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95</v>
      </c>
      <c r="C160" s="32" t="s">
        <v>9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267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209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208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271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121</v>
      </c>
      <c r="B166" s="30" t="s">
        <v>265</v>
      </c>
      <c r="C166" s="81" t="s">
        <v>272</v>
      </c>
      <c r="D166" s="83" t="s">
        <v>122</v>
      </c>
      <c r="E166" s="83" t="s">
        <v>123</v>
      </c>
      <c r="F166" s="83" t="s">
        <v>124</v>
      </c>
      <c r="G166" s="83" t="s">
        <v>125</v>
      </c>
      <c r="H166" s="94"/>
    </row>
    <row r="167" spans="1:8" ht="13" x14ac:dyDescent="0.3">
      <c r="A167" s="30"/>
      <c r="B167" s="28" t="s">
        <v>101</v>
      </c>
      <c r="C167" s="32" t="s">
        <v>273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274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102</v>
      </c>
      <c r="C169" s="32" t="s">
        <v>273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274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103</v>
      </c>
      <c r="C171" s="32" t="s">
        <v>273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274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275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128</v>
      </c>
      <c r="B175" s="30" t="s">
        <v>265</v>
      </c>
      <c r="C175" s="81" t="s">
        <v>276</v>
      </c>
      <c r="D175" s="83" t="s">
        <v>109</v>
      </c>
      <c r="E175" s="83" t="s">
        <v>96</v>
      </c>
      <c r="F175" s="83" t="s">
        <v>97</v>
      </c>
      <c r="G175" s="83" t="s">
        <v>98</v>
      </c>
      <c r="H175" s="96" t="s">
        <v>99</v>
      </c>
    </row>
    <row r="176" spans="1:8" ht="13" x14ac:dyDescent="0.3">
      <c r="A176" s="97"/>
      <c r="B176" s="28" t="s">
        <v>78</v>
      </c>
      <c r="C176" s="32" t="s">
        <v>129</v>
      </c>
      <c r="D176" s="106">
        <f>IF(D66=1,1,D66*0.9)</f>
        <v>1.2150000000000001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130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131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132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79</v>
      </c>
      <c r="C180" s="32" t="s">
        <v>129</v>
      </c>
      <c r="D180" s="106">
        <f t="shared" ref="D180:G180" si="58">IF(D70=1,1,D70*0.9)</f>
        <v>1.2150000000000001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130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131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132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80</v>
      </c>
      <c r="C184" s="32" t="s">
        <v>129</v>
      </c>
      <c r="D184" s="106">
        <f t="shared" ref="D184:G184" si="62">IF(D74=1,1,D74*0.9)</f>
        <v>1.2150000000000001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130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131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132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82</v>
      </c>
      <c r="C188" s="32" t="s">
        <v>129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130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131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132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87</v>
      </c>
      <c r="C192" s="32" t="s">
        <v>129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130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131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132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88</v>
      </c>
      <c r="C196" s="32" t="s">
        <v>129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130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131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132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90</v>
      </c>
      <c r="C200" s="32" t="s">
        <v>129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130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131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132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89</v>
      </c>
      <c r="C204" s="32" t="s">
        <v>129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130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131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132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92</v>
      </c>
      <c r="C208" s="32" t="s">
        <v>129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130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131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132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277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87</v>
      </c>
      <c r="B214" s="97" t="s">
        <v>132</v>
      </c>
      <c r="C214" s="81" t="s">
        <v>276</v>
      </c>
      <c r="D214" s="83" t="s">
        <v>109</v>
      </c>
      <c r="E214" s="83" t="s">
        <v>96</v>
      </c>
      <c r="F214" s="83" t="s">
        <v>97</v>
      </c>
      <c r="G214" s="83" t="s">
        <v>98</v>
      </c>
      <c r="H214" s="96" t="s">
        <v>99</v>
      </c>
    </row>
    <row r="215" spans="1:9" ht="13" x14ac:dyDescent="0.3">
      <c r="A215" s="30"/>
      <c r="C215" s="32" t="s">
        <v>129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130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131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132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239</v>
      </c>
      <c r="H220" s="107"/>
    </row>
    <row r="221" spans="1:9" ht="13" x14ac:dyDescent="0.3">
      <c r="A221" s="79" t="s">
        <v>264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226</v>
      </c>
      <c r="B222" s="42" t="s">
        <v>265</v>
      </c>
      <c r="C222" s="42" t="s">
        <v>266</v>
      </c>
      <c r="D222" s="83" t="s">
        <v>109</v>
      </c>
      <c r="E222" s="83" t="s">
        <v>96</v>
      </c>
      <c r="F222" s="83" t="s">
        <v>97</v>
      </c>
      <c r="G222" s="83" t="s">
        <v>98</v>
      </c>
      <c r="H222" s="83" t="s">
        <v>99</v>
      </c>
      <c r="I222" s="94"/>
    </row>
    <row r="223" spans="1:9" ht="13" x14ac:dyDescent="0.3">
      <c r="A223" s="30"/>
      <c r="B223" s="28" t="s">
        <v>87</v>
      </c>
      <c r="C223" s="32" t="s">
        <v>9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267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268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269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88</v>
      </c>
      <c r="C227" s="32" t="s">
        <v>9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267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268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269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90</v>
      </c>
      <c r="C231" s="32" t="s">
        <v>9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267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268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269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91</v>
      </c>
      <c r="C235" s="32" t="s">
        <v>9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267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268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269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89</v>
      </c>
      <c r="C239" s="32" t="s">
        <v>9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267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268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269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95</v>
      </c>
      <c r="C243" s="32" t="s">
        <v>9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267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268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269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278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279</v>
      </c>
      <c r="B249" s="30" t="s">
        <v>265</v>
      </c>
      <c r="C249" s="30" t="s">
        <v>270</v>
      </c>
      <c r="D249" s="83" t="s">
        <v>109</v>
      </c>
      <c r="E249" s="83" t="s">
        <v>96</v>
      </c>
      <c r="F249" s="83" t="s">
        <v>97</v>
      </c>
      <c r="G249" s="83" t="s">
        <v>98</v>
      </c>
      <c r="H249" s="83" t="s">
        <v>99</v>
      </c>
      <c r="I249" s="94"/>
    </row>
    <row r="250" spans="1:9" ht="13" x14ac:dyDescent="0.3">
      <c r="A250" s="30"/>
      <c r="B250" s="28" t="s">
        <v>87</v>
      </c>
      <c r="C250" s="32" t="s">
        <v>9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267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209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208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88</v>
      </c>
      <c r="C254" s="32" t="s">
        <v>9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267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209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208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90</v>
      </c>
      <c r="C258" s="32" t="s">
        <v>9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267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209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208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91</v>
      </c>
      <c r="C262" s="32" t="s">
        <v>9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267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209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208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89</v>
      </c>
      <c r="C266" s="32" t="s">
        <v>9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267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209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208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95</v>
      </c>
      <c r="C270" s="32" t="s">
        <v>9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267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209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208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271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121</v>
      </c>
      <c r="B276" s="30" t="s">
        <v>265</v>
      </c>
      <c r="C276" s="81" t="s">
        <v>272</v>
      </c>
      <c r="D276" s="83" t="s">
        <v>122</v>
      </c>
      <c r="E276" s="83" t="s">
        <v>123</v>
      </c>
      <c r="F276" s="83" t="s">
        <v>124</v>
      </c>
      <c r="G276" s="83" t="s">
        <v>125</v>
      </c>
      <c r="H276" s="94"/>
    </row>
    <row r="277" spans="1:9" ht="13" x14ac:dyDescent="0.3">
      <c r="A277" s="30"/>
      <c r="B277" s="28" t="s">
        <v>101</v>
      </c>
      <c r="C277" s="32" t="s">
        <v>273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274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102</v>
      </c>
      <c r="C279" s="32" t="s">
        <v>273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274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103</v>
      </c>
      <c r="C281" s="32" t="s">
        <v>273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274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275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128</v>
      </c>
      <c r="B285" s="30" t="s">
        <v>265</v>
      </c>
      <c r="C285" s="81" t="s">
        <v>276</v>
      </c>
      <c r="D285" s="83" t="s">
        <v>109</v>
      </c>
      <c r="E285" s="83" t="s">
        <v>96</v>
      </c>
      <c r="F285" s="83" t="s">
        <v>97</v>
      </c>
      <c r="G285" s="83" t="s">
        <v>98</v>
      </c>
      <c r="H285" s="96" t="s">
        <v>99</v>
      </c>
      <c r="I285" s="94"/>
    </row>
    <row r="286" spans="1:9" ht="13" x14ac:dyDescent="0.3">
      <c r="A286" s="97"/>
      <c r="B286" s="28" t="s">
        <v>78</v>
      </c>
      <c r="C286" s="32" t="s">
        <v>129</v>
      </c>
      <c r="D286" s="106">
        <f>IF(D66=1,1,D66*1.1)</f>
        <v>1.4850000000000003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130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131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132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79</v>
      </c>
      <c r="C290" s="32" t="s">
        <v>129</v>
      </c>
      <c r="D290" s="106">
        <f t="shared" ref="D290:G290" si="152">IF(D70=1,1,D70*1.1)</f>
        <v>1.4850000000000003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130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131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132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80</v>
      </c>
      <c r="C294" s="32" t="s">
        <v>129</v>
      </c>
      <c r="D294" s="106">
        <f t="shared" ref="D294:G294" si="156">IF(D74=1,1,D74*1.1)</f>
        <v>1.4850000000000003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130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131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132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82</v>
      </c>
      <c r="C298" s="32" t="s">
        <v>129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130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131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132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87</v>
      </c>
      <c r="C302" s="32" t="s">
        <v>129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130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131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132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88</v>
      </c>
      <c r="C306" s="32" t="s">
        <v>129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130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131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132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90</v>
      </c>
      <c r="C310" s="32" t="s">
        <v>129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130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131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132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89</v>
      </c>
      <c r="C314" s="32" t="s">
        <v>129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130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131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132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92</v>
      </c>
      <c r="C318" s="32" t="s">
        <v>129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130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131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132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277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87</v>
      </c>
      <c r="B324" s="97" t="s">
        <v>132</v>
      </c>
      <c r="C324" s="81" t="s">
        <v>276</v>
      </c>
      <c r="D324" s="83" t="s">
        <v>109</v>
      </c>
      <c r="E324" s="83" t="s">
        <v>96</v>
      </c>
      <c r="F324" s="83" t="s">
        <v>97</v>
      </c>
      <c r="G324" s="83" t="s">
        <v>98</v>
      </c>
      <c r="H324" s="96" t="s">
        <v>99</v>
      </c>
      <c r="I324" s="94"/>
    </row>
    <row r="325" spans="1:9" ht="13" x14ac:dyDescent="0.3">
      <c r="A325" s="30"/>
      <c r="C325" s="32" t="s">
        <v>129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130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131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132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Kg2gEdauK1tC10HTWQ1Fikid+yU3Z3atA0TM88kXu22XBpIhicRLU17QMZPJWZdh2ptt2o5Yny7QNEeDm2gNcw==" saltValue="5JIAENXxvjGjI/u0B1ccPw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233</v>
      </c>
    </row>
    <row r="2" spans="1:7" ht="14.25" customHeight="1" x14ac:dyDescent="0.3">
      <c r="A2" s="97" t="s">
        <v>0</v>
      </c>
      <c r="B2" s="42"/>
      <c r="C2" s="30" t="s">
        <v>109</v>
      </c>
      <c r="D2" s="30" t="s">
        <v>96</v>
      </c>
      <c r="E2" s="30" t="s">
        <v>97</v>
      </c>
      <c r="F2" s="30" t="s">
        <v>98</v>
      </c>
      <c r="G2" s="30" t="s">
        <v>99</v>
      </c>
    </row>
    <row r="3" spans="1:7" ht="14.25" customHeight="1" x14ac:dyDescent="0.25">
      <c r="B3" s="46" t="s">
        <v>280</v>
      </c>
      <c r="C3" s="105" t="s">
        <v>10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281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282</v>
      </c>
    </row>
    <row r="6" spans="1:7" ht="14.25" customHeight="1" x14ac:dyDescent="0.25">
      <c r="B6" s="73" t="s">
        <v>192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185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205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200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286</v>
      </c>
    </row>
    <row r="12" spans="1:7" ht="14.25" customHeight="1" x14ac:dyDescent="0.3">
      <c r="A12" s="84"/>
      <c r="B12" s="46" t="s">
        <v>184</v>
      </c>
      <c r="C12" s="105">
        <v>1.5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283</v>
      </c>
    </row>
    <row r="15" spans="1:7" ht="14.25" customHeight="1" x14ac:dyDescent="0.3">
      <c r="A15" s="97" t="s">
        <v>279</v>
      </c>
      <c r="B15" s="73" t="s">
        <v>284</v>
      </c>
      <c r="C15" s="105">
        <v>1.0249999999999999</v>
      </c>
      <c r="D15" s="105">
        <v>1.0249999999999999</v>
      </c>
      <c r="E15" s="105">
        <v>1.0249999999999999</v>
      </c>
      <c r="F15" s="105">
        <v>1.0249999999999999</v>
      </c>
      <c r="G15" s="105">
        <v>1.0249999999999999</v>
      </c>
    </row>
    <row r="16" spans="1:7" ht="14.25" customHeight="1" x14ac:dyDescent="0.3">
      <c r="A16" s="30"/>
      <c r="B16" s="73" t="s">
        <v>287</v>
      </c>
      <c r="C16" s="105">
        <v>1.0249999999999999</v>
      </c>
      <c r="D16" s="105">
        <v>1.0249999999999999</v>
      </c>
      <c r="E16" s="105">
        <v>1.0249999999999999</v>
      </c>
      <c r="F16" s="105">
        <v>1.0249999999999999</v>
      </c>
      <c r="G16" s="105">
        <v>1.0249999999999999</v>
      </c>
    </row>
    <row r="17" spans="1:7" ht="14.25" customHeight="1" x14ac:dyDescent="0.3">
      <c r="A17" s="97" t="s">
        <v>121</v>
      </c>
      <c r="B17" s="46" t="s">
        <v>285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288</v>
      </c>
    </row>
    <row r="20" spans="1:7" s="84" customFormat="1" ht="14.25" customHeight="1" x14ac:dyDescent="0.3">
      <c r="C20" s="44" t="s">
        <v>69</v>
      </c>
      <c r="D20" s="44" t="s">
        <v>70</v>
      </c>
      <c r="E20" s="44" t="s">
        <v>71</v>
      </c>
      <c r="F20" s="44" t="s">
        <v>72</v>
      </c>
    </row>
    <row r="21" spans="1:7" x14ac:dyDescent="0.25">
      <c r="B21" s="46" t="s">
        <v>172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235</v>
      </c>
    </row>
    <row r="24" spans="1:7" ht="13" x14ac:dyDescent="0.3">
      <c r="A24" s="79" t="s">
        <v>233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0</v>
      </c>
      <c r="B25" s="42"/>
      <c r="C25" s="30" t="s">
        <v>109</v>
      </c>
      <c r="D25" s="30" t="s">
        <v>96</v>
      </c>
      <c r="E25" s="30" t="s">
        <v>97</v>
      </c>
      <c r="F25" s="30" t="s">
        <v>98</v>
      </c>
      <c r="G25" s="30" t="s">
        <v>99</v>
      </c>
    </row>
    <row r="26" spans="1:7" x14ac:dyDescent="0.25">
      <c r="B26" s="46" t="s">
        <v>289</v>
      </c>
      <c r="C26" s="105" t="s">
        <v>10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290</v>
      </c>
      <c r="C27" s="105">
        <f>IF(C4=1,1,C4*0.9)</f>
        <v>0.92249999999999999</v>
      </c>
      <c r="D27" s="105">
        <f t="shared" ref="D27:G27" si="1">IF(D4=1,1,D4*0.9)</f>
        <v>0.92249999999999999</v>
      </c>
      <c r="E27" s="105">
        <f t="shared" si="1"/>
        <v>0.92249999999999999</v>
      </c>
      <c r="F27" s="105">
        <f t="shared" si="1"/>
        <v>0.92249999999999999</v>
      </c>
      <c r="G27" s="105">
        <f t="shared" si="1"/>
        <v>0.92249999999999999</v>
      </c>
    </row>
    <row r="28" spans="1:7" ht="13" x14ac:dyDescent="0.3">
      <c r="A28" s="84" t="s">
        <v>291</v>
      </c>
    </row>
    <row r="29" spans="1:7" x14ac:dyDescent="0.25">
      <c r="B29" s="73" t="s">
        <v>292</v>
      </c>
      <c r="C29" s="105">
        <f>IF(C6=1,1,C6*0.9)</f>
        <v>1</v>
      </c>
      <c r="D29" s="105">
        <f t="shared" ref="D29:G29" si="2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2"/>
        <v>1</v>
      </c>
    </row>
    <row r="30" spans="1:7" x14ac:dyDescent="0.25">
      <c r="B30" s="73" t="s">
        <v>293</v>
      </c>
      <c r="C30" s="105">
        <f t="shared" ref="C30:G30" si="3">IF(C7=1,1,C7*0.9)</f>
        <v>1</v>
      </c>
      <c r="D30" s="105">
        <f t="shared" si="3"/>
        <v>1</v>
      </c>
      <c r="E30" s="105">
        <v>0.85</v>
      </c>
      <c r="F30" s="105">
        <v>0.85</v>
      </c>
      <c r="G30" s="105">
        <f t="shared" si="3"/>
        <v>1</v>
      </c>
    </row>
    <row r="31" spans="1:7" x14ac:dyDescent="0.25">
      <c r="B31" s="73" t="s">
        <v>315</v>
      </c>
      <c r="C31" s="105">
        <f t="shared" ref="C31:G31" si="4">IF(C8=1,1,C8*0.9)</f>
        <v>1</v>
      </c>
      <c r="D31" s="105">
        <f t="shared" si="4"/>
        <v>1</v>
      </c>
      <c r="E31" s="105">
        <v>0.85</v>
      </c>
      <c r="F31" s="105">
        <v>0.85</v>
      </c>
      <c r="G31" s="105">
        <f t="shared" si="4"/>
        <v>1</v>
      </c>
    </row>
    <row r="32" spans="1:7" x14ac:dyDescent="0.25">
      <c r="B32" s="73" t="s">
        <v>294</v>
      </c>
      <c r="C32" s="105">
        <f t="shared" ref="C32:G32" si="5">IF(C9=1,1,C9*0.9)</f>
        <v>1</v>
      </c>
      <c r="D32" s="105">
        <f t="shared" si="5"/>
        <v>1</v>
      </c>
      <c r="E32" s="105">
        <f t="shared" si="5"/>
        <v>1</v>
      </c>
      <c r="F32" s="105">
        <f t="shared" si="5"/>
        <v>1</v>
      </c>
      <c r="G32" s="105">
        <f t="shared" si="5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295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296</v>
      </c>
      <c r="C35" s="105">
        <v>1.26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283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279</v>
      </c>
      <c r="B38" s="73" t="s">
        <v>297</v>
      </c>
      <c r="C38" s="105">
        <f>IF(C15=1,1,C15*0.9)</f>
        <v>0.92249999999999999</v>
      </c>
      <c r="D38" s="105">
        <f t="shared" ref="D38:G38" si="6">IF(D15=1,1,D15*0.9)</f>
        <v>0.92249999999999999</v>
      </c>
      <c r="E38" s="105">
        <f t="shared" si="6"/>
        <v>0.92249999999999999</v>
      </c>
      <c r="F38" s="105">
        <f t="shared" si="6"/>
        <v>0.92249999999999999</v>
      </c>
      <c r="G38" s="105">
        <f t="shared" si="6"/>
        <v>0.92249999999999999</v>
      </c>
    </row>
    <row r="39" spans="1:7" ht="13" x14ac:dyDescent="0.3">
      <c r="A39" s="30"/>
      <c r="B39" s="73" t="s">
        <v>298</v>
      </c>
      <c r="C39" s="105">
        <f t="shared" ref="C39:G39" si="7">IF(C16=1,1,C16*0.9)</f>
        <v>0.92249999999999999</v>
      </c>
      <c r="D39" s="105">
        <f t="shared" si="7"/>
        <v>0.92249999999999999</v>
      </c>
      <c r="E39" s="105">
        <f t="shared" si="7"/>
        <v>0.92249999999999999</v>
      </c>
      <c r="F39" s="105">
        <f t="shared" si="7"/>
        <v>0.92249999999999999</v>
      </c>
      <c r="G39" s="105">
        <f t="shared" si="7"/>
        <v>0.92249999999999999</v>
      </c>
    </row>
    <row r="40" spans="1:7" ht="13" x14ac:dyDescent="0.3">
      <c r="A40" s="97" t="s">
        <v>121</v>
      </c>
      <c r="B40" s="46" t="s">
        <v>299</v>
      </c>
      <c r="C40" s="105">
        <f t="shared" ref="C40:G40" si="8">IF(C17=1,1,C17*0.9)</f>
        <v>1</v>
      </c>
      <c r="D40" s="105">
        <f t="shared" si="8"/>
        <v>1</v>
      </c>
      <c r="E40" s="105">
        <f t="shared" si="8"/>
        <v>1</v>
      </c>
      <c r="F40" s="105">
        <f t="shared" si="8"/>
        <v>1</v>
      </c>
      <c r="G40" s="105">
        <f t="shared" si="8"/>
        <v>1</v>
      </c>
    </row>
    <row r="42" spans="1:7" ht="13" x14ac:dyDescent="0.3">
      <c r="A42" s="79" t="s">
        <v>300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69</v>
      </c>
      <c r="D43" s="44" t="s">
        <v>70</v>
      </c>
      <c r="E43" s="44" t="s">
        <v>71</v>
      </c>
      <c r="F43" s="44" t="s">
        <v>72</v>
      </c>
      <c r="G43" s="84"/>
    </row>
    <row r="44" spans="1:7" x14ac:dyDescent="0.25">
      <c r="B44" s="46" t="s">
        <v>301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239</v>
      </c>
    </row>
    <row r="47" spans="1:7" ht="13" x14ac:dyDescent="0.3">
      <c r="A47" s="79" t="s">
        <v>233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0</v>
      </c>
      <c r="B48" s="42"/>
      <c r="C48" s="30" t="s">
        <v>109</v>
      </c>
      <c r="D48" s="30" t="s">
        <v>96</v>
      </c>
      <c r="E48" s="30" t="s">
        <v>97</v>
      </c>
      <c r="F48" s="30" t="s">
        <v>98</v>
      </c>
      <c r="G48" s="30" t="s">
        <v>99</v>
      </c>
    </row>
    <row r="49" spans="1:7" x14ac:dyDescent="0.25">
      <c r="B49" s="46" t="s">
        <v>302</v>
      </c>
      <c r="C49" s="105" t="s">
        <v>10</v>
      </c>
      <c r="D49" s="105">
        <f t="shared" ref="D49:G50" si="9">D3*1.05</f>
        <v>47.25</v>
      </c>
      <c r="E49" s="105">
        <f t="shared" si="9"/>
        <v>379.68000000000006</v>
      </c>
      <c r="F49" s="105">
        <f t="shared" si="9"/>
        <v>183.435</v>
      </c>
      <c r="G49" s="105">
        <f t="shared" si="9"/>
        <v>183.435</v>
      </c>
    </row>
    <row r="50" spans="1:7" ht="13" x14ac:dyDescent="0.3">
      <c r="A50" s="30"/>
      <c r="B50" s="73" t="s">
        <v>303</v>
      </c>
      <c r="C50" s="105">
        <f>C4*1.05</f>
        <v>1.0762499999999999</v>
      </c>
      <c r="D50" s="105">
        <f t="shared" si="9"/>
        <v>1.0762499999999999</v>
      </c>
      <c r="E50" s="105">
        <f t="shared" si="9"/>
        <v>1.0762499999999999</v>
      </c>
      <c r="F50" s="105">
        <f t="shared" si="9"/>
        <v>1.0762499999999999</v>
      </c>
      <c r="G50" s="105">
        <f t="shared" si="9"/>
        <v>1.0762499999999999</v>
      </c>
    </row>
    <row r="51" spans="1:7" ht="13" x14ac:dyDescent="0.3">
      <c r="A51" s="84" t="s">
        <v>304</v>
      </c>
    </row>
    <row r="52" spans="1:7" x14ac:dyDescent="0.25">
      <c r="B52" s="73" t="s">
        <v>305</v>
      </c>
      <c r="C52" s="105">
        <f>IF(C6=1,1,C6*1.1)</f>
        <v>1</v>
      </c>
      <c r="D52" s="105">
        <f t="shared" ref="D52:G52" si="10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10"/>
        <v>1</v>
      </c>
    </row>
    <row r="53" spans="1:7" x14ac:dyDescent="0.25">
      <c r="B53" s="73" t="s">
        <v>306</v>
      </c>
      <c r="C53" s="105">
        <f t="shared" ref="C53:G53" si="11">IF(C7=1,1,C7*1.1)</f>
        <v>1</v>
      </c>
      <c r="D53" s="105">
        <f t="shared" si="11"/>
        <v>1</v>
      </c>
      <c r="E53" s="105">
        <v>0.91</v>
      </c>
      <c r="F53" s="105">
        <v>0.91</v>
      </c>
      <c r="G53" s="105">
        <f t="shared" si="11"/>
        <v>1</v>
      </c>
    </row>
    <row r="54" spans="1:7" x14ac:dyDescent="0.25">
      <c r="B54" s="73" t="s">
        <v>316</v>
      </c>
      <c r="C54" s="105">
        <f t="shared" ref="C54:G54" si="12">IF(C8=1,1,C8*1.1)</f>
        <v>1</v>
      </c>
      <c r="D54" s="105">
        <f t="shared" si="12"/>
        <v>1</v>
      </c>
      <c r="E54" s="105">
        <v>0.91</v>
      </c>
      <c r="F54" s="105">
        <v>0.91</v>
      </c>
      <c r="G54" s="105">
        <f t="shared" si="12"/>
        <v>1</v>
      </c>
    </row>
    <row r="55" spans="1:7" x14ac:dyDescent="0.25">
      <c r="B55" s="73" t="s">
        <v>307</v>
      </c>
      <c r="C55" s="105">
        <f t="shared" ref="C55:G55" si="13">IF(C9=1,1,C9*1.1)</f>
        <v>1</v>
      </c>
      <c r="D55" s="105">
        <f t="shared" si="13"/>
        <v>1</v>
      </c>
      <c r="E55" s="105">
        <f t="shared" si="13"/>
        <v>1</v>
      </c>
      <c r="F55" s="105">
        <f t="shared" si="13"/>
        <v>1</v>
      </c>
      <c r="G55" s="105">
        <f t="shared" si="13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308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309</v>
      </c>
      <c r="C58" s="105">
        <v>1.78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283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279</v>
      </c>
      <c r="B61" s="73" t="s">
        <v>310</v>
      </c>
      <c r="C61" s="105">
        <f>IF(C15=1,1,C15*1.1)</f>
        <v>1.1274999999999999</v>
      </c>
      <c r="D61" s="105">
        <f t="shared" ref="D61:G61" si="14">IF(D15=1,1,D15*1.1)</f>
        <v>1.1274999999999999</v>
      </c>
      <c r="E61" s="105">
        <f t="shared" si="14"/>
        <v>1.1274999999999999</v>
      </c>
      <c r="F61" s="105">
        <f t="shared" si="14"/>
        <v>1.1274999999999999</v>
      </c>
      <c r="G61" s="105">
        <f t="shared" si="14"/>
        <v>1.1274999999999999</v>
      </c>
    </row>
    <row r="62" spans="1:7" ht="13" x14ac:dyDescent="0.3">
      <c r="A62" s="30"/>
      <c r="B62" s="73" t="s">
        <v>311</v>
      </c>
      <c r="C62" s="105">
        <f t="shared" ref="C62:G62" si="15">IF(C16=1,1,C16*1.1)</f>
        <v>1.1274999999999999</v>
      </c>
      <c r="D62" s="105">
        <f t="shared" si="15"/>
        <v>1.1274999999999999</v>
      </c>
      <c r="E62" s="105">
        <f t="shared" si="15"/>
        <v>1.1274999999999999</v>
      </c>
      <c r="F62" s="105">
        <f t="shared" si="15"/>
        <v>1.1274999999999999</v>
      </c>
      <c r="G62" s="105">
        <f t="shared" si="15"/>
        <v>1.1274999999999999</v>
      </c>
    </row>
    <row r="63" spans="1:7" ht="13" x14ac:dyDescent="0.3">
      <c r="A63" s="97" t="s">
        <v>121</v>
      </c>
      <c r="B63" s="46" t="s">
        <v>312</v>
      </c>
      <c r="C63" s="105">
        <f t="shared" ref="C63:G63" si="16">IF(C17=1,1,C17*1.1)</f>
        <v>1</v>
      </c>
      <c r="D63" s="105">
        <f t="shared" si="16"/>
        <v>1</v>
      </c>
      <c r="E63" s="105">
        <f t="shared" si="16"/>
        <v>1</v>
      </c>
      <c r="F63" s="105">
        <f t="shared" si="16"/>
        <v>1</v>
      </c>
      <c r="G63" s="105">
        <f t="shared" si="16"/>
        <v>1</v>
      </c>
    </row>
    <row r="65" spans="1:7" ht="13" x14ac:dyDescent="0.3">
      <c r="A65" s="79" t="s">
        <v>313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69</v>
      </c>
      <c r="D66" s="44" t="s">
        <v>70</v>
      </c>
      <c r="E66" s="44" t="s">
        <v>71</v>
      </c>
      <c r="F66" s="44" t="s">
        <v>72</v>
      </c>
      <c r="G66" s="84"/>
    </row>
    <row r="67" spans="1:7" x14ac:dyDescent="0.25">
      <c r="B67" s="46" t="s">
        <v>314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vldxrHxVLDuxt/HWOaixW/3kQE9BBdk/yKPmhq7d/lkKQqEzRJtetfSJNww+vmQaMcYkB2RtDUYU7TFwSIaljw==" saltValue="hkfL8jiY3F6ohXlwJ8TvF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26:G26 C44 C50:G50 D49:G49 C61:G63 C27:G28 C38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160</v>
      </c>
      <c r="B1" s="30"/>
      <c r="C1" s="30" t="s">
        <v>51</v>
      </c>
      <c r="D1" s="30" t="s">
        <v>53</v>
      </c>
      <c r="E1" s="30" t="s">
        <v>52</v>
      </c>
      <c r="F1" s="42" t="s">
        <v>54</v>
      </c>
    </row>
    <row r="2" spans="1:6" ht="15.75" customHeight="1" x14ac:dyDescent="0.25">
      <c r="A2" s="73" t="s">
        <v>168</v>
      </c>
      <c r="B2" s="73" t="s">
        <v>317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318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180</v>
      </c>
      <c r="B4" s="73" t="s">
        <v>317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318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181</v>
      </c>
      <c r="B6" s="73" t="s">
        <v>317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318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182</v>
      </c>
      <c r="B8" s="73" t="s">
        <v>317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318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186</v>
      </c>
      <c r="B10" s="73" t="s">
        <v>317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318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190</v>
      </c>
      <c r="B12" s="73" t="s">
        <v>317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318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235</v>
      </c>
    </row>
    <row r="16" spans="1:6" ht="15.75" customHeight="1" x14ac:dyDescent="0.3">
      <c r="A16" s="42" t="s">
        <v>160</v>
      </c>
      <c r="B16" s="30"/>
      <c r="C16" s="30" t="s">
        <v>51</v>
      </c>
      <c r="D16" s="30" t="s">
        <v>53</v>
      </c>
      <c r="E16" s="30" t="s">
        <v>52</v>
      </c>
      <c r="F16" s="42" t="s">
        <v>54</v>
      </c>
    </row>
    <row r="17" spans="1:6" ht="15.75" customHeight="1" x14ac:dyDescent="0.25">
      <c r="A17" s="73" t="s">
        <v>168</v>
      </c>
      <c r="B17" s="73" t="s">
        <v>317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318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180</v>
      </c>
      <c r="B19" s="73" t="s">
        <v>317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318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181</v>
      </c>
      <c r="B21" s="73" t="s">
        <v>317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318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182</v>
      </c>
      <c r="B23" s="73" t="s">
        <v>317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318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186</v>
      </c>
      <c r="B25" s="73" t="s">
        <v>317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318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190</v>
      </c>
      <c r="B27" s="73" t="s">
        <v>317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318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239</v>
      </c>
    </row>
    <row r="31" spans="1:6" ht="15.75" customHeight="1" x14ac:dyDescent="0.3">
      <c r="A31" s="42" t="s">
        <v>160</v>
      </c>
      <c r="B31" s="30"/>
      <c r="C31" s="30" t="s">
        <v>51</v>
      </c>
      <c r="D31" s="30" t="s">
        <v>53</v>
      </c>
      <c r="E31" s="30" t="s">
        <v>52</v>
      </c>
      <c r="F31" s="42" t="s">
        <v>54</v>
      </c>
    </row>
    <row r="32" spans="1:6" ht="15.75" customHeight="1" x14ac:dyDescent="0.25">
      <c r="A32" s="73" t="s">
        <v>168</v>
      </c>
      <c r="B32" s="73" t="s">
        <v>317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318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180</v>
      </c>
      <c r="B34" s="73" t="s">
        <v>317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318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181</v>
      </c>
      <c r="B36" s="73" t="s">
        <v>317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318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182</v>
      </c>
      <c r="B38" s="73" t="s">
        <v>317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318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186</v>
      </c>
      <c r="B40" s="73" t="s">
        <v>317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318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190</v>
      </c>
      <c r="B42" s="73" t="s">
        <v>317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318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VpOLYWjrkAWvzjUYJS7SrKdkH9Qh1inCdpEVtIBSCf7TQeu0gWEI+vLIlDjcbjHjV6PxBXAg1SgW/6Y67wNmTw==" saltValue="60z3aQ4LIJY6dYJVG+6rF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D1" zoomScale="70" zoomScaleNormal="70" workbookViewId="0">
      <selection activeCell="L14" sqref="L14:O14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109</v>
      </c>
      <c r="D1" s="83" t="s">
        <v>96</v>
      </c>
      <c r="E1" s="83" t="s">
        <v>97</v>
      </c>
      <c r="F1" s="83" t="s">
        <v>98</v>
      </c>
      <c r="G1" s="83" t="s">
        <v>99</v>
      </c>
      <c r="H1" s="83" t="s">
        <v>69</v>
      </c>
      <c r="I1" s="83" t="s">
        <v>70</v>
      </c>
      <c r="J1" s="83" t="s">
        <v>71</v>
      </c>
      <c r="K1" s="83" t="s">
        <v>72</v>
      </c>
      <c r="L1" s="83" t="s">
        <v>122</v>
      </c>
      <c r="M1" s="83" t="s">
        <v>123</v>
      </c>
      <c r="N1" s="83" t="s">
        <v>124</v>
      </c>
      <c r="O1" s="83" t="s">
        <v>125</v>
      </c>
    </row>
    <row r="2" spans="1:15" ht="13" x14ac:dyDescent="0.3">
      <c r="A2" s="30" t="s">
        <v>319</v>
      </c>
    </row>
    <row r="3" spans="1:15" x14ac:dyDescent="0.25">
      <c r="B3" s="46" t="s">
        <v>171</v>
      </c>
      <c r="C3" s="105">
        <v>0.92</v>
      </c>
      <c r="D3" s="105">
        <v>0.53</v>
      </c>
      <c r="E3" s="105">
        <v>1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176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177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178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179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180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181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182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185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186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189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190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205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320</v>
      </c>
      <c r="B17" s="46"/>
    </row>
    <row r="18" spans="1:15" x14ac:dyDescent="0.25">
      <c r="B18" s="73" t="s">
        <v>173</v>
      </c>
      <c r="C18" s="105">
        <v>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105">
        <v>1</v>
      </c>
      <c r="J18" s="105">
        <v>1</v>
      </c>
      <c r="K18" s="105">
        <v>1</v>
      </c>
      <c r="L18" s="105">
        <v>1</v>
      </c>
      <c r="M18" s="105">
        <v>1</v>
      </c>
      <c r="N18" s="105">
        <v>1</v>
      </c>
      <c r="O18" s="105">
        <v>1</v>
      </c>
    </row>
    <row r="19" spans="1:15" x14ac:dyDescent="0.25">
      <c r="B19" s="73" t="s">
        <v>174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175</v>
      </c>
      <c r="C20" s="105">
        <v>1</v>
      </c>
      <c r="D20" s="105">
        <v>1</v>
      </c>
      <c r="E20" s="105">
        <f>E19</f>
        <v>0.97599999999999998</v>
      </c>
      <c r="F20" s="105">
        <f t="shared" ref="F20:O20" si="1">F19</f>
        <v>0.97599999999999998</v>
      </c>
      <c r="G20" s="105">
        <f t="shared" si="1"/>
        <v>0.97599999999999998</v>
      </c>
      <c r="H20" s="105">
        <f t="shared" si="1"/>
        <v>0.97599999999999998</v>
      </c>
      <c r="I20" s="105">
        <f t="shared" si="1"/>
        <v>0.97599999999999998</v>
      </c>
      <c r="J20" s="105">
        <f t="shared" si="1"/>
        <v>0.97599999999999998</v>
      </c>
      <c r="K20" s="105">
        <f t="shared" si="1"/>
        <v>0.97599999999999998</v>
      </c>
      <c r="L20" s="105">
        <f t="shared" si="1"/>
        <v>0.97599999999999998</v>
      </c>
      <c r="M20" s="105">
        <f t="shared" si="1"/>
        <v>0.97599999999999998</v>
      </c>
      <c r="N20" s="105">
        <f t="shared" si="1"/>
        <v>0.97599999999999998</v>
      </c>
      <c r="O20" s="105">
        <f t="shared" si="1"/>
        <v>0.97599999999999998</v>
      </c>
    </row>
    <row r="21" spans="1:15" x14ac:dyDescent="0.25">
      <c r="B21" s="73" t="s">
        <v>183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235</v>
      </c>
    </row>
    <row r="24" spans="1:15" ht="26" x14ac:dyDescent="0.3">
      <c r="A24" s="30"/>
      <c r="B24" s="30"/>
      <c r="C24" s="83" t="s">
        <v>109</v>
      </c>
      <c r="D24" s="83" t="s">
        <v>96</v>
      </c>
      <c r="E24" s="83" t="s">
        <v>97</v>
      </c>
      <c r="F24" s="83" t="s">
        <v>98</v>
      </c>
      <c r="G24" s="83" t="s">
        <v>99</v>
      </c>
      <c r="H24" s="83" t="s">
        <v>69</v>
      </c>
      <c r="I24" s="83" t="s">
        <v>70</v>
      </c>
      <c r="J24" s="83" t="s">
        <v>71</v>
      </c>
      <c r="K24" s="83" t="s">
        <v>72</v>
      </c>
      <c r="L24" s="83" t="s">
        <v>122</v>
      </c>
      <c r="M24" s="83" t="s">
        <v>123</v>
      </c>
      <c r="N24" s="83" t="s">
        <v>124</v>
      </c>
      <c r="O24" s="83" t="s">
        <v>125</v>
      </c>
    </row>
    <row r="25" spans="1:15" ht="13" x14ac:dyDescent="0.3">
      <c r="A25" s="30" t="s">
        <v>321</v>
      </c>
    </row>
    <row r="26" spans="1:15" x14ac:dyDescent="0.25">
      <c r="B26" s="46" t="s">
        <v>171</v>
      </c>
      <c r="C26" s="105">
        <v>0.87</v>
      </c>
      <c r="D26" s="105">
        <v>0.4</v>
      </c>
      <c r="E26" s="105">
        <f t="shared" ref="E26:O26" si="2">IF(E3=1,1,E3*0.9)</f>
        <v>1</v>
      </c>
      <c r="F26" s="105">
        <f t="shared" si="2"/>
        <v>1</v>
      </c>
      <c r="G26" s="105">
        <f t="shared" si="2"/>
        <v>1</v>
      </c>
      <c r="H26" s="105">
        <f t="shared" si="2"/>
        <v>1</v>
      </c>
      <c r="I26" s="105">
        <f t="shared" si="2"/>
        <v>1</v>
      </c>
      <c r="J26" s="105">
        <f t="shared" si="2"/>
        <v>1</v>
      </c>
      <c r="K26" s="105">
        <f t="shared" si="2"/>
        <v>1</v>
      </c>
      <c r="L26" s="105">
        <f t="shared" si="2"/>
        <v>1</v>
      </c>
      <c r="M26" s="105">
        <f t="shared" si="2"/>
        <v>1</v>
      </c>
      <c r="N26" s="105">
        <f t="shared" si="2"/>
        <v>1</v>
      </c>
      <c r="O26" s="105">
        <f t="shared" si="2"/>
        <v>1</v>
      </c>
    </row>
    <row r="27" spans="1:15" x14ac:dyDescent="0.25">
      <c r="B27" s="46" t="s">
        <v>176</v>
      </c>
      <c r="C27" s="105">
        <f t="shared" ref="C27:O27" si="3">IF(C4=1,1,C4*0.9)</f>
        <v>1</v>
      </c>
      <c r="D27" s="105">
        <f t="shared" si="3"/>
        <v>1</v>
      </c>
      <c r="E27" s="105">
        <f t="shared" si="3"/>
        <v>1</v>
      </c>
      <c r="F27" s="105">
        <f t="shared" si="3"/>
        <v>1</v>
      </c>
      <c r="G27" s="105">
        <f t="shared" si="3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3"/>
        <v>1</v>
      </c>
      <c r="M27" s="105">
        <f t="shared" si="3"/>
        <v>1</v>
      </c>
      <c r="N27" s="105">
        <f t="shared" si="3"/>
        <v>1</v>
      </c>
      <c r="O27" s="105">
        <f t="shared" si="3"/>
        <v>1</v>
      </c>
    </row>
    <row r="28" spans="1:15" x14ac:dyDescent="0.25">
      <c r="B28" s="46" t="s">
        <v>177</v>
      </c>
      <c r="C28" s="105">
        <f t="shared" ref="C28:O28" si="4">IF(C5=1,1,C5*0.9)</f>
        <v>1</v>
      </c>
      <c r="D28" s="105">
        <f t="shared" si="4"/>
        <v>1</v>
      </c>
      <c r="E28" s="105">
        <f t="shared" si="4"/>
        <v>1</v>
      </c>
      <c r="F28" s="105">
        <f t="shared" si="4"/>
        <v>1</v>
      </c>
      <c r="G28" s="105">
        <f t="shared" si="4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4"/>
        <v>1</v>
      </c>
      <c r="M28" s="105">
        <f t="shared" si="4"/>
        <v>1</v>
      </c>
      <c r="N28" s="105">
        <f t="shared" si="4"/>
        <v>1</v>
      </c>
      <c r="O28" s="105">
        <f t="shared" si="4"/>
        <v>1</v>
      </c>
    </row>
    <row r="29" spans="1:15" x14ac:dyDescent="0.25">
      <c r="B29" s="46" t="s">
        <v>178</v>
      </c>
      <c r="C29" s="105">
        <f t="shared" ref="C29:O29" si="5">IF(C6=1,1,C6*0.9)</f>
        <v>1</v>
      </c>
      <c r="D29" s="105">
        <f t="shared" si="5"/>
        <v>1</v>
      </c>
      <c r="E29" s="105">
        <f t="shared" si="5"/>
        <v>1</v>
      </c>
      <c r="F29" s="105">
        <f t="shared" si="5"/>
        <v>1</v>
      </c>
      <c r="G29" s="105">
        <f t="shared" si="5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5"/>
        <v>1</v>
      </c>
      <c r="M29" s="105">
        <f t="shared" si="5"/>
        <v>1</v>
      </c>
      <c r="N29" s="105">
        <f t="shared" si="5"/>
        <v>1</v>
      </c>
      <c r="O29" s="105">
        <f t="shared" si="5"/>
        <v>1</v>
      </c>
    </row>
    <row r="30" spans="1:15" x14ac:dyDescent="0.25">
      <c r="B30" s="46" t="s">
        <v>179</v>
      </c>
      <c r="C30" s="105">
        <f t="shared" ref="C30:O30" si="6">IF(C7=1,1,C7*0.9)</f>
        <v>1</v>
      </c>
      <c r="D30" s="105">
        <f t="shared" si="6"/>
        <v>1</v>
      </c>
      <c r="E30" s="105">
        <f t="shared" si="6"/>
        <v>1</v>
      </c>
      <c r="F30" s="105">
        <f t="shared" si="6"/>
        <v>1</v>
      </c>
      <c r="G30" s="105">
        <f t="shared" si="6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6"/>
        <v>1</v>
      </c>
      <c r="M30" s="105">
        <f t="shared" si="6"/>
        <v>1</v>
      </c>
      <c r="N30" s="105">
        <f t="shared" si="6"/>
        <v>1</v>
      </c>
      <c r="O30" s="105">
        <f t="shared" si="6"/>
        <v>1</v>
      </c>
    </row>
    <row r="31" spans="1:15" x14ac:dyDescent="0.25">
      <c r="B31" s="73" t="s">
        <v>180</v>
      </c>
      <c r="C31" s="105">
        <f t="shared" ref="C31:K31" si="7">IF(C8=1,1,C8*0.9)</f>
        <v>1</v>
      </c>
      <c r="D31" s="105">
        <f t="shared" si="7"/>
        <v>1</v>
      </c>
      <c r="E31" s="105">
        <f t="shared" si="7"/>
        <v>1</v>
      </c>
      <c r="F31" s="105">
        <f t="shared" si="7"/>
        <v>1</v>
      </c>
      <c r="G31" s="105">
        <f t="shared" si="7"/>
        <v>1</v>
      </c>
      <c r="H31" s="105">
        <f t="shared" si="7"/>
        <v>1</v>
      </c>
      <c r="I31" s="105">
        <f t="shared" si="7"/>
        <v>1</v>
      </c>
      <c r="J31" s="105">
        <f t="shared" si="7"/>
        <v>1</v>
      </c>
      <c r="K31" s="105">
        <f t="shared" si="7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181</v>
      </c>
      <c r="C32" s="105">
        <f t="shared" ref="C32:K32" si="8">IF(C9=1,1,C9*0.9)</f>
        <v>1</v>
      </c>
      <c r="D32" s="105">
        <f t="shared" si="8"/>
        <v>1</v>
      </c>
      <c r="E32" s="105">
        <f t="shared" si="8"/>
        <v>1</v>
      </c>
      <c r="F32" s="105">
        <f t="shared" si="8"/>
        <v>1</v>
      </c>
      <c r="G32" s="105">
        <f t="shared" si="8"/>
        <v>1</v>
      </c>
      <c r="H32" s="105">
        <f t="shared" si="8"/>
        <v>1</v>
      </c>
      <c r="I32" s="105">
        <f t="shared" si="8"/>
        <v>1</v>
      </c>
      <c r="J32" s="105">
        <f t="shared" si="8"/>
        <v>1</v>
      </c>
      <c r="K32" s="105">
        <f t="shared" si="8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182</v>
      </c>
      <c r="C33" s="105">
        <f t="shared" ref="C33:K33" si="9">IF(C10=1,1,C10*0.9)</f>
        <v>1</v>
      </c>
      <c r="D33" s="105">
        <f t="shared" si="9"/>
        <v>1</v>
      </c>
      <c r="E33" s="105">
        <f t="shared" si="9"/>
        <v>1</v>
      </c>
      <c r="F33" s="105">
        <f t="shared" si="9"/>
        <v>1</v>
      </c>
      <c r="G33" s="105">
        <f t="shared" si="9"/>
        <v>1</v>
      </c>
      <c r="H33" s="105">
        <f t="shared" si="9"/>
        <v>1</v>
      </c>
      <c r="I33" s="105">
        <f t="shared" si="9"/>
        <v>1</v>
      </c>
      <c r="J33" s="105">
        <f t="shared" si="9"/>
        <v>1</v>
      </c>
      <c r="K33" s="105">
        <f t="shared" si="9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185</v>
      </c>
      <c r="C34" s="105">
        <f t="shared" ref="C34:O34" si="10">IF(C11=1,1,C11*0.9)</f>
        <v>1</v>
      </c>
      <c r="D34" s="105">
        <f t="shared" si="10"/>
        <v>1</v>
      </c>
      <c r="E34" s="105">
        <v>0.62</v>
      </c>
      <c r="F34" s="105">
        <v>0.62</v>
      </c>
      <c r="G34" s="105">
        <v>1</v>
      </c>
      <c r="H34" s="105">
        <f t="shared" si="10"/>
        <v>1</v>
      </c>
      <c r="I34" s="105">
        <f t="shared" si="10"/>
        <v>1</v>
      </c>
      <c r="J34" s="105">
        <f t="shared" si="10"/>
        <v>1</v>
      </c>
      <c r="K34" s="105">
        <f t="shared" si="10"/>
        <v>1</v>
      </c>
      <c r="L34" s="105">
        <f t="shared" si="10"/>
        <v>1</v>
      </c>
      <c r="M34" s="105">
        <f t="shared" si="10"/>
        <v>1</v>
      </c>
      <c r="N34" s="105">
        <f t="shared" si="10"/>
        <v>1</v>
      </c>
      <c r="O34" s="105">
        <f t="shared" si="10"/>
        <v>1</v>
      </c>
    </row>
    <row r="35" spans="1:15" x14ac:dyDescent="0.25">
      <c r="B35" s="46" t="s">
        <v>186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189</v>
      </c>
      <c r="C36" s="105">
        <f t="shared" ref="C36:O36" si="11">IF(C13=1,1,C13*0.9)</f>
        <v>1</v>
      </c>
      <c r="D36" s="105">
        <f t="shared" si="11"/>
        <v>1</v>
      </c>
      <c r="E36" s="105">
        <v>0.62</v>
      </c>
      <c r="F36" s="105">
        <v>0.62</v>
      </c>
      <c r="G36" s="105">
        <v>0.62</v>
      </c>
      <c r="H36" s="105">
        <f t="shared" si="11"/>
        <v>1</v>
      </c>
      <c r="I36" s="105">
        <f t="shared" si="11"/>
        <v>1</v>
      </c>
      <c r="J36" s="105">
        <f t="shared" si="11"/>
        <v>1</v>
      </c>
      <c r="K36" s="105">
        <f t="shared" si="11"/>
        <v>1</v>
      </c>
      <c r="L36" s="105">
        <f t="shared" si="11"/>
        <v>1</v>
      </c>
      <c r="M36" s="105">
        <f t="shared" si="11"/>
        <v>1</v>
      </c>
      <c r="N36" s="105">
        <f t="shared" si="11"/>
        <v>1</v>
      </c>
      <c r="O36" s="105">
        <f t="shared" si="11"/>
        <v>1</v>
      </c>
    </row>
    <row r="37" spans="1:15" x14ac:dyDescent="0.25">
      <c r="B37" s="46" t="s">
        <v>190</v>
      </c>
      <c r="C37" s="105">
        <f t="shared" ref="C37:K37" si="12">IF(C14=1,1,C14*0.9)</f>
        <v>1</v>
      </c>
      <c r="D37" s="105">
        <f t="shared" si="12"/>
        <v>1</v>
      </c>
      <c r="E37" s="105">
        <f t="shared" si="12"/>
        <v>1</v>
      </c>
      <c r="F37" s="105">
        <f t="shared" si="12"/>
        <v>1</v>
      </c>
      <c r="G37" s="105">
        <f t="shared" si="12"/>
        <v>1</v>
      </c>
      <c r="H37" s="105">
        <f t="shared" si="12"/>
        <v>1</v>
      </c>
      <c r="I37" s="105">
        <f t="shared" si="12"/>
        <v>1</v>
      </c>
      <c r="J37" s="105">
        <f t="shared" si="12"/>
        <v>1</v>
      </c>
      <c r="K37" s="105">
        <f t="shared" si="12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205</v>
      </c>
      <c r="C38" s="105">
        <f t="shared" ref="C38:O38" si="13">IF(C15=1,1,C15*0.9)</f>
        <v>1</v>
      </c>
      <c r="D38" s="105">
        <f t="shared" si="13"/>
        <v>1</v>
      </c>
      <c r="E38" s="105">
        <v>0.3</v>
      </c>
      <c r="F38" s="105">
        <v>0.3</v>
      </c>
      <c r="G38" s="105">
        <f t="shared" si="13"/>
        <v>1</v>
      </c>
      <c r="H38" s="105">
        <f t="shared" si="13"/>
        <v>1</v>
      </c>
      <c r="I38" s="105">
        <f t="shared" si="13"/>
        <v>1</v>
      </c>
      <c r="J38" s="105">
        <f t="shared" si="13"/>
        <v>1</v>
      </c>
      <c r="K38" s="105">
        <f t="shared" si="13"/>
        <v>1</v>
      </c>
      <c r="L38" s="105">
        <f t="shared" si="13"/>
        <v>1</v>
      </c>
      <c r="M38" s="105">
        <f t="shared" si="13"/>
        <v>1</v>
      </c>
      <c r="N38" s="105">
        <f t="shared" si="13"/>
        <v>1</v>
      </c>
      <c r="O38" s="105">
        <f t="shared" si="13"/>
        <v>1</v>
      </c>
    </row>
    <row r="40" spans="1:15" ht="13" x14ac:dyDescent="0.3">
      <c r="A40" s="30" t="s">
        <v>323</v>
      </c>
      <c r="B40" s="46"/>
    </row>
    <row r="41" spans="1:15" x14ac:dyDescent="0.25">
      <c r="B41" s="73" t="s">
        <v>173</v>
      </c>
      <c r="C41" s="105">
        <f t="shared" ref="C41:O41" si="14">IF(C18=1,1,C18*0.9)</f>
        <v>1</v>
      </c>
      <c r="D41" s="105">
        <f t="shared" si="14"/>
        <v>1</v>
      </c>
      <c r="E41" s="105">
        <f t="shared" si="14"/>
        <v>1</v>
      </c>
      <c r="F41" s="105">
        <f t="shared" si="14"/>
        <v>1</v>
      </c>
      <c r="G41" s="105">
        <f t="shared" si="14"/>
        <v>1</v>
      </c>
      <c r="H41" s="105">
        <f t="shared" si="14"/>
        <v>1</v>
      </c>
      <c r="I41" s="105">
        <f t="shared" si="14"/>
        <v>1</v>
      </c>
      <c r="J41" s="105">
        <f t="shared" si="14"/>
        <v>1</v>
      </c>
      <c r="K41" s="105">
        <f t="shared" si="14"/>
        <v>1</v>
      </c>
      <c r="L41" s="105">
        <f t="shared" si="14"/>
        <v>1</v>
      </c>
      <c r="M41" s="105">
        <f t="shared" si="14"/>
        <v>1</v>
      </c>
      <c r="N41" s="105">
        <f t="shared" si="14"/>
        <v>1</v>
      </c>
      <c r="O41" s="105">
        <f t="shared" si="14"/>
        <v>1</v>
      </c>
    </row>
    <row r="42" spans="1:15" x14ac:dyDescent="0.25">
      <c r="B42" s="73" t="s">
        <v>174</v>
      </c>
      <c r="C42" s="105">
        <f t="shared" ref="C42:D44" si="15">IF(C19=1,1,C19*0.9)</f>
        <v>1</v>
      </c>
      <c r="D42" s="105">
        <f t="shared" si="1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175</v>
      </c>
      <c r="C43" s="105">
        <f t="shared" si="15"/>
        <v>1</v>
      </c>
      <c r="D43" s="105">
        <f t="shared" si="15"/>
        <v>1</v>
      </c>
      <c r="E43" s="105">
        <f t="shared" ref="E43:O43" si="16">IF(E20=1,1,E20*0.9)</f>
        <v>0.87839999999999996</v>
      </c>
      <c r="F43" s="105">
        <f t="shared" si="16"/>
        <v>0.87839999999999996</v>
      </c>
      <c r="G43" s="105">
        <f t="shared" si="16"/>
        <v>0.87839999999999996</v>
      </c>
      <c r="H43" s="105">
        <f t="shared" si="16"/>
        <v>0.87839999999999996</v>
      </c>
      <c r="I43" s="105">
        <f t="shared" si="16"/>
        <v>0.87839999999999996</v>
      </c>
      <c r="J43" s="105">
        <f t="shared" si="16"/>
        <v>0.87839999999999996</v>
      </c>
      <c r="K43" s="105">
        <f t="shared" si="16"/>
        <v>0.87839999999999996</v>
      </c>
      <c r="L43" s="105">
        <f t="shared" si="16"/>
        <v>0.87839999999999996</v>
      </c>
      <c r="M43" s="105">
        <f t="shared" si="16"/>
        <v>0.87839999999999996</v>
      </c>
      <c r="N43" s="105">
        <f t="shared" si="16"/>
        <v>0.87839999999999996</v>
      </c>
      <c r="O43" s="105">
        <f t="shared" si="16"/>
        <v>0.87839999999999996</v>
      </c>
    </row>
    <row r="44" spans="1:15" x14ac:dyDescent="0.25">
      <c r="B44" s="73" t="s">
        <v>183</v>
      </c>
      <c r="C44" s="105">
        <f t="shared" si="15"/>
        <v>1</v>
      </c>
      <c r="D44" s="105">
        <f t="shared" si="1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239</v>
      </c>
    </row>
    <row r="47" spans="1:15" ht="26" x14ac:dyDescent="0.3">
      <c r="A47" s="30"/>
      <c r="B47" s="30"/>
      <c r="C47" s="83" t="s">
        <v>109</v>
      </c>
      <c r="D47" s="83" t="s">
        <v>96</v>
      </c>
      <c r="E47" s="83" t="s">
        <v>97</v>
      </c>
      <c r="F47" s="83" t="s">
        <v>98</v>
      </c>
      <c r="G47" s="83" t="s">
        <v>99</v>
      </c>
      <c r="H47" s="83" t="s">
        <v>69</v>
      </c>
      <c r="I47" s="83" t="s">
        <v>70</v>
      </c>
      <c r="J47" s="83" t="s">
        <v>71</v>
      </c>
      <c r="K47" s="83" t="s">
        <v>72</v>
      </c>
      <c r="L47" s="83" t="s">
        <v>122</v>
      </c>
      <c r="M47" s="83" t="s">
        <v>123</v>
      </c>
      <c r="N47" s="83" t="s">
        <v>124</v>
      </c>
      <c r="O47" s="83" t="s">
        <v>125</v>
      </c>
    </row>
    <row r="48" spans="1:15" ht="13" x14ac:dyDescent="0.3">
      <c r="A48" s="30" t="s">
        <v>322</v>
      </c>
    </row>
    <row r="49" spans="1:15" x14ac:dyDescent="0.25">
      <c r="B49" s="46" t="s">
        <v>171</v>
      </c>
      <c r="C49" s="105">
        <v>0.99</v>
      </c>
      <c r="D49" s="105">
        <v>0.7</v>
      </c>
      <c r="E49" s="105">
        <f t="shared" ref="E49:O49" si="17">IF(E3=1,1,E3*1.05)</f>
        <v>1</v>
      </c>
      <c r="F49" s="105">
        <f t="shared" si="17"/>
        <v>1</v>
      </c>
      <c r="G49" s="105">
        <f t="shared" si="17"/>
        <v>1</v>
      </c>
      <c r="H49" s="105">
        <f t="shared" si="17"/>
        <v>1</v>
      </c>
      <c r="I49" s="105">
        <f t="shared" si="17"/>
        <v>1</v>
      </c>
      <c r="J49" s="105">
        <f t="shared" si="17"/>
        <v>1</v>
      </c>
      <c r="K49" s="105">
        <f t="shared" si="17"/>
        <v>1</v>
      </c>
      <c r="L49" s="105">
        <f t="shared" si="17"/>
        <v>1</v>
      </c>
      <c r="M49" s="105">
        <f t="shared" si="17"/>
        <v>1</v>
      </c>
      <c r="N49" s="105">
        <f t="shared" si="17"/>
        <v>1</v>
      </c>
      <c r="O49" s="105">
        <f t="shared" si="17"/>
        <v>1</v>
      </c>
    </row>
    <row r="50" spans="1:15" x14ac:dyDescent="0.25">
      <c r="B50" s="46" t="s">
        <v>176</v>
      </c>
      <c r="C50" s="105">
        <f t="shared" ref="C50:O50" si="18">IF(C4=1,1,C4*1.05)</f>
        <v>1</v>
      </c>
      <c r="D50" s="105">
        <f t="shared" si="18"/>
        <v>1</v>
      </c>
      <c r="E50" s="105">
        <f t="shared" si="18"/>
        <v>1</v>
      </c>
      <c r="F50" s="105">
        <f t="shared" si="18"/>
        <v>1</v>
      </c>
      <c r="G50" s="105">
        <f t="shared" si="18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18"/>
        <v>1</v>
      </c>
      <c r="M50" s="105">
        <f t="shared" si="18"/>
        <v>1</v>
      </c>
      <c r="N50" s="105">
        <f t="shared" si="18"/>
        <v>1</v>
      </c>
      <c r="O50" s="105">
        <f t="shared" si="18"/>
        <v>1</v>
      </c>
    </row>
    <row r="51" spans="1:15" x14ac:dyDescent="0.25">
      <c r="B51" s="46" t="s">
        <v>177</v>
      </c>
      <c r="C51" s="105">
        <f t="shared" ref="C51:O51" si="19">IF(C5=1,1,C5*1.05)</f>
        <v>1</v>
      </c>
      <c r="D51" s="105">
        <f t="shared" si="19"/>
        <v>1</v>
      </c>
      <c r="E51" s="105">
        <f t="shared" si="19"/>
        <v>1</v>
      </c>
      <c r="F51" s="105">
        <f t="shared" si="19"/>
        <v>1</v>
      </c>
      <c r="G51" s="105">
        <f t="shared" si="19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19"/>
        <v>1</v>
      </c>
      <c r="M51" s="105">
        <f t="shared" si="19"/>
        <v>1</v>
      </c>
      <c r="N51" s="105">
        <f t="shared" si="19"/>
        <v>1</v>
      </c>
      <c r="O51" s="105">
        <f t="shared" si="19"/>
        <v>1</v>
      </c>
    </row>
    <row r="52" spans="1:15" x14ac:dyDescent="0.25">
      <c r="B52" s="46" t="s">
        <v>178</v>
      </c>
      <c r="C52" s="105">
        <f t="shared" ref="C52:O52" si="20">IF(C6=1,1,C6*1.05)</f>
        <v>1</v>
      </c>
      <c r="D52" s="105">
        <f t="shared" si="20"/>
        <v>1</v>
      </c>
      <c r="E52" s="105">
        <f t="shared" si="20"/>
        <v>1</v>
      </c>
      <c r="F52" s="105">
        <f t="shared" si="20"/>
        <v>1</v>
      </c>
      <c r="G52" s="105">
        <f t="shared" si="20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20"/>
        <v>1</v>
      </c>
      <c r="M52" s="105">
        <f t="shared" si="20"/>
        <v>1</v>
      </c>
      <c r="N52" s="105">
        <f t="shared" si="20"/>
        <v>1</v>
      </c>
      <c r="O52" s="105">
        <f t="shared" si="20"/>
        <v>1</v>
      </c>
    </row>
    <row r="53" spans="1:15" x14ac:dyDescent="0.25">
      <c r="B53" s="46" t="s">
        <v>179</v>
      </c>
      <c r="C53" s="105">
        <f t="shared" ref="C53:O53" si="21">IF(C7=1,1,C7*1.05)</f>
        <v>1</v>
      </c>
      <c r="D53" s="105">
        <f t="shared" si="21"/>
        <v>1</v>
      </c>
      <c r="E53" s="105">
        <f t="shared" si="21"/>
        <v>1</v>
      </c>
      <c r="F53" s="105">
        <f t="shared" si="21"/>
        <v>1</v>
      </c>
      <c r="G53" s="105">
        <f t="shared" si="21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21"/>
        <v>1</v>
      </c>
      <c r="M53" s="105">
        <f t="shared" si="21"/>
        <v>1</v>
      </c>
      <c r="N53" s="105">
        <f t="shared" si="21"/>
        <v>1</v>
      </c>
      <c r="O53" s="105">
        <f t="shared" si="21"/>
        <v>1</v>
      </c>
    </row>
    <row r="54" spans="1:15" x14ac:dyDescent="0.25">
      <c r="B54" s="73" t="s">
        <v>180</v>
      </c>
      <c r="C54" s="105">
        <f t="shared" ref="C54:K54" si="22">IF(C8=1,1,C8*1.05)</f>
        <v>1</v>
      </c>
      <c r="D54" s="105">
        <f t="shared" si="22"/>
        <v>1</v>
      </c>
      <c r="E54" s="105">
        <f t="shared" si="22"/>
        <v>1</v>
      </c>
      <c r="F54" s="105">
        <f t="shared" si="22"/>
        <v>1</v>
      </c>
      <c r="G54" s="105">
        <f t="shared" si="22"/>
        <v>1</v>
      </c>
      <c r="H54" s="105">
        <f t="shared" si="22"/>
        <v>1</v>
      </c>
      <c r="I54" s="105">
        <f t="shared" si="22"/>
        <v>1</v>
      </c>
      <c r="J54" s="105">
        <f t="shared" si="22"/>
        <v>1</v>
      </c>
      <c r="K54" s="105">
        <f t="shared" si="22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181</v>
      </c>
      <c r="C55" s="105">
        <f t="shared" ref="C55:K55" si="23">IF(C9=1,1,C9*1.05)</f>
        <v>1</v>
      </c>
      <c r="D55" s="105">
        <f t="shared" si="23"/>
        <v>1</v>
      </c>
      <c r="E55" s="105">
        <f t="shared" si="23"/>
        <v>1</v>
      </c>
      <c r="F55" s="105">
        <f t="shared" si="23"/>
        <v>1</v>
      </c>
      <c r="G55" s="105">
        <f t="shared" si="23"/>
        <v>1</v>
      </c>
      <c r="H55" s="105">
        <f t="shared" si="23"/>
        <v>1</v>
      </c>
      <c r="I55" s="105">
        <f t="shared" si="23"/>
        <v>1</v>
      </c>
      <c r="J55" s="105">
        <f t="shared" si="23"/>
        <v>1</v>
      </c>
      <c r="K55" s="105">
        <f t="shared" si="23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182</v>
      </c>
      <c r="C56" s="105">
        <f t="shared" ref="C56:K56" si="24">IF(C10=1,1,C10*1.05)</f>
        <v>1</v>
      </c>
      <c r="D56" s="105">
        <f t="shared" si="24"/>
        <v>1</v>
      </c>
      <c r="E56" s="105">
        <f t="shared" si="24"/>
        <v>1</v>
      </c>
      <c r="F56" s="105">
        <f t="shared" si="24"/>
        <v>1</v>
      </c>
      <c r="G56" s="105">
        <f t="shared" si="24"/>
        <v>1</v>
      </c>
      <c r="H56" s="105">
        <f t="shared" si="24"/>
        <v>1</v>
      </c>
      <c r="I56" s="105">
        <f t="shared" si="24"/>
        <v>1</v>
      </c>
      <c r="J56" s="105">
        <f t="shared" si="24"/>
        <v>1</v>
      </c>
      <c r="K56" s="105">
        <f t="shared" si="24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185</v>
      </c>
      <c r="C57" s="105">
        <f t="shared" ref="C57:O57" si="25">IF(C11=1,1,C11*1.05)</f>
        <v>1</v>
      </c>
      <c r="D57" s="105">
        <f t="shared" si="25"/>
        <v>1</v>
      </c>
      <c r="E57" s="105">
        <v>0.77</v>
      </c>
      <c r="F57" s="105">
        <v>0.77</v>
      </c>
      <c r="G57" s="105">
        <f t="shared" si="25"/>
        <v>1</v>
      </c>
      <c r="H57" s="105">
        <f t="shared" si="25"/>
        <v>1</v>
      </c>
      <c r="I57" s="105">
        <f t="shared" si="25"/>
        <v>1</v>
      </c>
      <c r="J57" s="105">
        <f t="shared" si="25"/>
        <v>1</v>
      </c>
      <c r="K57" s="105">
        <f t="shared" si="25"/>
        <v>1</v>
      </c>
      <c r="L57" s="105">
        <f t="shared" si="25"/>
        <v>1</v>
      </c>
      <c r="M57" s="105">
        <f t="shared" si="25"/>
        <v>1</v>
      </c>
      <c r="N57" s="105">
        <f t="shared" si="25"/>
        <v>1</v>
      </c>
      <c r="O57" s="105">
        <f t="shared" si="25"/>
        <v>1</v>
      </c>
    </row>
    <row r="58" spans="1:15" x14ac:dyDescent="0.25">
      <c r="B58" s="46" t="s">
        <v>186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189</v>
      </c>
      <c r="C59" s="105">
        <f t="shared" ref="C59:O59" si="26">IF(C13=1,1,C13*1.05)</f>
        <v>1</v>
      </c>
      <c r="D59" s="105">
        <f t="shared" si="26"/>
        <v>1</v>
      </c>
      <c r="E59" s="105">
        <v>0.77</v>
      </c>
      <c r="F59" s="105">
        <v>0.77</v>
      </c>
      <c r="G59" s="105">
        <v>0.77</v>
      </c>
      <c r="H59" s="105">
        <f t="shared" si="26"/>
        <v>1</v>
      </c>
      <c r="I59" s="105">
        <f t="shared" si="26"/>
        <v>1</v>
      </c>
      <c r="J59" s="105">
        <f t="shared" si="26"/>
        <v>1</v>
      </c>
      <c r="K59" s="105">
        <f t="shared" si="26"/>
        <v>1</v>
      </c>
      <c r="L59" s="105">
        <f t="shared" si="26"/>
        <v>1</v>
      </c>
      <c r="M59" s="105">
        <f t="shared" si="26"/>
        <v>1</v>
      </c>
      <c r="N59" s="105">
        <f t="shared" si="26"/>
        <v>1</v>
      </c>
      <c r="O59" s="105">
        <f t="shared" si="26"/>
        <v>1</v>
      </c>
    </row>
    <row r="60" spans="1:15" x14ac:dyDescent="0.25">
      <c r="B60" s="46" t="s">
        <v>190</v>
      </c>
      <c r="C60" s="105">
        <f t="shared" ref="C60:K60" si="27">IF(C14=1,1,C14*1.05)</f>
        <v>1</v>
      </c>
      <c r="D60" s="105">
        <f t="shared" si="27"/>
        <v>1</v>
      </c>
      <c r="E60" s="105">
        <f t="shared" si="27"/>
        <v>1</v>
      </c>
      <c r="F60" s="105">
        <f t="shared" si="27"/>
        <v>1</v>
      </c>
      <c r="G60" s="105">
        <f t="shared" si="27"/>
        <v>1</v>
      </c>
      <c r="H60" s="105">
        <f t="shared" si="27"/>
        <v>1</v>
      </c>
      <c r="I60" s="105">
        <f t="shared" si="27"/>
        <v>1</v>
      </c>
      <c r="J60" s="105">
        <f t="shared" si="27"/>
        <v>1</v>
      </c>
      <c r="K60" s="105">
        <f t="shared" si="27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205</v>
      </c>
      <c r="C61" s="105">
        <f t="shared" ref="C61:O61" si="28">IF(C15=1,1,C15*1.05)</f>
        <v>1</v>
      </c>
      <c r="D61" s="105">
        <f t="shared" si="28"/>
        <v>1</v>
      </c>
      <c r="E61" s="105">
        <v>0.44</v>
      </c>
      <c r="F61" s="105">
        <v>0.44</v>
      </c>
      <c r="G61" s="105">
        <f t="shared" si="28"/>
        <v>1</v>
      </c>
      <c r="H61" s="105">
        <f t="shared" si="28"/>
        <v>1</v>
      </c>
      <c r="I61" s="105">
        <f t="shared" si="28"/>
        <v>1</v>
      </c>
      <c r="J61" s="105">
        <f t="shared" si="28"/>
        <v>1</v>
      </c>
      <c r="K61" s="105">
        <f t="shared" si="28"/>
        <v>1</v>
      </c>
      <c r="L61" s="105">
        <f t="shared" si="28"/>
        <v>1</v>
      </c>
      <c r="M61" s="105">
        <f t="shared" si="28"/>
        <v>1</v>
      </c>
      <c r="N61" s="105">
        <f t="shared" si="28"/>
        <v>1</v>
      </c>
      <c r="O61" s="105">
        <f t="shared" si="28"/>
        <v>1</v>
      </c>
    </row>
    <row r="63" spans="1:15" ht="13" x14ac:dyDescent="0.3">
      <c r="A63" s="30" t="s">
        <v>324</v>
      </c>
      <c r="B63" s="46"/>
    </row>
    <row r="64" spans="1:15" x14ac:dyDescent="0.25">
      <c r="B64" s="73" t="s">
        <v>173</v>
      </c>
      <c r="C64" s="105">
        <f t="shared" ref="C64:O64" si="29">IF(C18=1,1,C18*1.05)</f>
        <v>1</v>
      </c>
      <c r="D64" s="105">
        <f t="shared" si="29"/>
        <v>1</v>
      </c>
      <c r="E64" s="105">
        <f t="shared" si="29"/>
        <v>1</v>
      </c>
      <c r="F64" s="105">
        <f t="shared" si="29"/>
        <v>1</v>
      </c>
      <c r="G64" s="105">
        <f t="shared" si="29"/>
        <v>1</v>
      </c>
      <c r="H64" s="105">
        <f t="shared" si="29"/>
        <v>1</v>
      </c>
      <c r="I64" s="105">
        <f t="shared" si="29"/>
        <v>1</v>
      </c>
      <c r="J64" s="105">
        <f t="shared" si="29"/>
        <v>1</v>
      </c>
      <c r="K64" s="105">
        <f t="shared" si="29"/>
        <v>1</v>
      </c>
      <c r="L64" s="105">
        <f t="shared" si="29"/>
        <v>1</v>
      </c>
      <c r="M64" s="105">
        <f t="shared" si="29"/>
        <v>1</v>
      </c>
      <c r="N64" s="105">
        <f t="shared" si="29"/>
        <v>1</v>
      </c>
      <c r="O64" s="105">
        <f t="shared" si="29"/>
        <v>1</v>
      </c>
    </row>
    <row r="65" spans="2:15" x14ac:dyDescent="0.25">
      <c r="B65" s="73" t="s">
        <v>174</v>
      </c>
      <c r="C65" s="105">
        <f t="shared" ref="C65:D67" si="30">IF(C19=1,1,C19*1.05)</f>
        <v>1</v>
      </c>
      <c r="D65" s="105">
        <f t="shared" si="3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175</v>
      </c>
      <c r="C66" s="105">
        <f t="shared" si="30"/>
        <v>1</v>
      </c>
      <c r="D66" s="105">
        <f t="shared" si="30"/>
        <v>1</v>
      </c>
      <c r="E66" s="105">
        <f t="shared" ref="E66:O66" si="31">IF(E20=1,1,E20*1.05)</f>
        <v>1.0247999999999999</v>
      </c>
      <c r="F66" s="105">
        <f t="shared" si="31"/>
        <v>1.0247999999999999</v>
      </c>
      <c r="G66" s="105">
        <f t="shared" si="31"/>
        <v>1.0247999999999999</v>
      </c>
      <c r="H66" s="105">
        <f t="shared" si="31"/>
        <v>1.0247999999999999</v>
      </c>
      <c r="I66" s="105">
        <f t="shared" si="31"/>
        <v>1.0247999999999999</v>
      </c>
      <c r="J66" s="105">
        <f t="shared" si="31"/>
        <v>1.0247999999999999</v>
      </c>
      <c r="K66" s="105">
        <f t="shared" si="31"/>
        <v>1.0247999999999999</v>
      </c>
      <c r="L66" s="105">
        <f t="shared" si="31"/>
        <v>1.0247999999999999</v>
      </c>
      <c r="M66" s="105">
        <f t="shared" si="31"/>
        <v>1.0247999999999999</v>
      </c>
      <c r="N66" s="105">
        <f t="shared" si="31"/>
        <v>1.0247999999999999</v>
      </c>
      <c r="O66" s="105">
        <f t="shared" si="31"/>
        <v>1.0247999999999999</v>
      </c>
    </row>
    <row r="67" spans="2:15" x14ac:dyDescent="0.25">
      <c r="B67" s="73" t="s">
        <v>183</v>
      </c>
      <c r="C67" s="105">
        <f t="shared" si="30"/>
        <v>1</v>
      </c>
      <c r="D67" s="105">
        <f t="shared" si="3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kuZaIezXELBj/jTTZIV3sKqcx4zRulDsBxOMgMPlNSAaLHQ6MIfus50nDD/arG2uHBpjSh1To0Hztt0Jg3MbOw==" saltValue="I2uzws5XVz6qVytidrSTMw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109</v>
      </c>
      <c r="D1" s="30" t="s">
        <v>96</v>
      </c>
      <c r="E1" s="30" t="s">
        <v>97</v>
      </c>
      <c r="F1" s="30" t="s">
        <v>98</v>
      </c>
      <c r="G1" s="30" t="s">
        <v>99</v>
      </c>
    </row>
    <row r="2" spans="1:7" ht="13" x14ac:dyDescent="0.3">
      <c r="A2" s="30" t="s">
        <v>325</v>
      </c>
    </row>
    <row r="3" spans="1:7" x14ac:dyDescent="0.25">
      <c r="B3" s="46" t="s">
        <v>161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326</v>
      </c>
      <c r="B4" s="46"/>
      <c r="C4" s="98"/>
      <c r="D4" s="98"/>
      <c r="E4" s="98"/>
      <c r="F4" s="98"/>
      <c r="G4" s="98"/>
    </row>
    <row r="5" spans="1:7" x14ac:dyDescent="0.25">
      <c r="B5" s="73" t="s">
        <v>165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331</v>
      </c>
    </row>
    <row r="8" spans="1:7" ht="13" x14ac:dyDescent="0.3">
      <c r="A8" s="30"/>
      <c r="B8" s="42"/>
      <c r="C8" s="30" t="s">
        <v>109</v>
      </c>
      <c r="D8" s="30" t="s">
        <v>96</v>
      </c>
      <c r="E8" s="30" t="s">
        <v>97</v>
      </c>
      <c r="F8" s="30" t="s">
        <v>98</v>
      </c>
      <c r="G8" s="30" t="s">
        <v>99</v>
      </c>
    </row>
    <row r="9" spans="1:7" ht="13" x14ac:dyDescent="0.3">
      <c r="A9" s="30" t="s">
        <v>327</v>
      </c>
    </row>
    <row r="10" spans="1:7" x14ac:dyDescent="0.25">
      <c r="B10" s="46" t="s">
        <v>161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328</v>
      </c>
      <c r="B11" s="46"/>
      <c r="C11" s="98"/>
      <c r="D11" s="98"/>
      <c r="E11" s="98"/>
      <c r="F11" s="98"/>
      <c r="G11" s="98"/>
    </row>
    <row r="12" spans="1:7" x14ac:dyDescent="0.25">
      <c r="B12" s="73" t="s">
        <v>165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332</v>
      </c>
    </row>
    <row r="15" spans="1:7" ht="13" x14ac:dyDescent="0.3">
      <c r="A15" s="30"/>
      <c r="B15" s="42"/>
      <c r="C15" s="30" t="s">
        <v>109</v>
      </c>
      <c r="D15" s="30" t="s">
        <v>96</v>
      </c>
      <c r="E15" s="30" t="s">
        <v>97</v>
      </c>
      <c r="F15" s="30" t="s">
        <v>98</v>
      </c>
      <c r="G15" s="30" t="s">
        <v>99</v>
      </c>
    </row>
    <row r="16" spans="1:7" ht="13" x14ac:dyDescent="0.3">
      <c r="A16" s="30" t="s">
        <v>329</v>
      </c>
    </row>
    <row r="17" spans="1:7" x14ac:dyDescent="0.25">
      <c r="B17" s="46" t="s">
        <v>161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330</v>
      </c>
      <c r="B18" s="46"/>
      <c r="C18" s="98"/>
      <c r="D18" s="98"/>
      <c r="E18" s="98"/>
      <c r="F18" s="98"/>
      <c r="G18" s="98"/>
    </row>
    <row r="19" spans="1:7" x14ac:dyDescent="0.25">
      <c r="B19" s="73" t="s">
        <v>165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Xcewl5GWQa+qeBGb2gfTiCIi3srZHIRzDja57RYcpFTNYa4HUkR0GGDkdTyy0tjooXy4JwuSkReQtARtgHDSrA==" saltValue="2+2oPbwu75hnwdfbdioh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160</v>
      </c>
      <c r="B1" s="30" t="s">
        <v>333</v>
      </c>
      <c r="C1" s="97" t="s">
        <v>11</v>
      </c>
      <c r="D1" s="30" t="s">
        <v>109</v>
      </c>
      <c r="E1" s="30" t="s">
        <v>96</v>
      </c>
      <c r="F1" s="30" t="s">
        <v>97</v>
      </c>
      <c r="G1" s="30" t="s">
        <v>98</v>
      </c>
      <c r="H1" s="30" t="s">
        <v>99</v>
      </c>
    </row>
    <row r="2" spans="1:8" x14ac:dyDescent="0.25">
      <c r="A2" s="40" t="s">
        <v>193</v>
      </c>
      <c r="B2" s="40" t="s">
        <v>87</v>
      </c>
      <c r="C2" s="40" t="s">
        <v>334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335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336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192</v>
      </c>
      <c r="B5" s="40" t="s">
        <v>208</v>
      </c>
      <c r="C5" s="40" t="s">
        <v>334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336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209</v>
      </c>
      <c r="C7" s="40" t="s">
        <v>334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336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185</v>
      </c>
      <c r="B9" s="40" t="s">
        <v>208</v>
      </c>
      <c r="C9" s="40" t="s">
        <v>334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336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209</v>
      </c>
      <c r="C11" s="40" t="s">
        <v>334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336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205</v>
      </c>
      <c r="B13" s="40" t="s">
        <v>208</v>
      </c>
      <c r="C13" s="40" t="s">
        <v>334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336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209</v>
      </c>
      <c r="C15" s="40" t="s">
        <v>334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336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170</v>
      </c>
      <c r="B17" s="40" t="s">
        <v>208</v>
      </c>
      <c r="C17" s="40" t="s">
        <v>334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336</v>
      </c>
      <c r="D18" s="105">
        <v>0</v>
      </c>
      <c r="E18" s="105">
        <v>0</v>
      </c>
      <c r="F18" s="105">
        <v>0.68</v>
      </c>
      <c r="G18" s="105">
        <v>0.68</v>
      </c>
      <c r="H18" s="105">
        <v>0.68</v>
      </c>
    </row>
    <row r="19" spans="1:8" x14ac:dyDescent="0.25">
      <c r="B19" s="40" t="s">
        <v>209</v>
      </c>
      <c r="C19" s="40" t="s">
        <v>334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336</v>
      </c>
      <c r="D20" s="105">
        <v>0</v>
      </c>
      <c r="E20" s="105">
        <v>0</v>
      </c>
      <c r="F20" s="105">
        <v>0.6</v>
      </c>
      <c r="G20" s="105">
        <v>0.6</v>
      </c>
      <c r="H20" s="105">
        <v>0.6</v>
      </c>
    </row>
    <row r="21" spans="1:8" x14ac:dyDescent="0.25">
      <c r="A21" s="40" t="s">
        <v>175</v>
      </c>
      <c r="B21" s="40" t="s">
        <v>84</v>
      </c>
      <c r="C21" s="40" t="s">
        <v>334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335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173</v>
      </c>
      <c r="B23" s="40" t="s">
        <v>84</v>
      </c>
      <c r="C23" s="40" t="s">
        <v>334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335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174</v>
      </c>
      <c r="B25" s="40" t="s">
        <v>84</v>
      </c>
      <c r="C25" s="40" t="s">
        <v>334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335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197</v>
      </c>
      <c r="B27" s="40" t="s">
        <v>87</v>
      </c>
      <c r="C27" s="40" t="s">
        <v>334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335</v>
      </c>
      <c r="D28" s="105">
        <v>0</v>
      </c>
      <c r="E28" s="105">
        <v>0</v>
      </c>
      <c r="F28" s="105">
        <v>0</v>
      </c>
      <c r="G28" s="105">
        <v>0</v>
      </c>
      <c r="H28" s="105">
        <v>0</v>
      </c>
    </row>
    <row r="29" spans="1:8" x14ac:dyDescent="0.25">
      <c r="C29" s="40" t="s">
        <v>336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198</v>
      </c>
      <c r="B30" s="40" t="s">
        <v>87</v>
      </c>
      <c r="C30" s="40" t="s">
        <v>334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335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336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196</v>
      </c>
      <c r="B33" s="40" t="s">
        <v>87</v>
      </c>
      <c r="C33" s="40" t="s">
        <v>334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335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336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195</v>
      </c>
      <c r="B36" s="40" t="s">
        <v>87</v>
      </c>
      <c r="C36" s="40" t="s">
        <v>334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335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336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194</v>
      </c>
      <c r="B39" s="40" t="s">
        <v>87</v>
      </c>
      <c r="C39" s="40" t="s">
        <v>334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335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336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200</v>
      </c>
      <c r="B42" s="40" t="s">
        <v>87</v>
      </c>
      <c r="C42" s="40" t="s">
        <v>334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335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336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88</v>
      </c>
      <c r="C45" s="40" t="s">
        <v>334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335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336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191</v>
      </c>
      <c r="B48" s="40" t="s">
        <v>87</v>
      </c>
      <c r="C48" s="40" t="s">
        <v>334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335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199</v>
      </c>
      <c r="B50" s="40" t="s">
        <v>87</v>
      </c>
      <c r="C50" s="40" t="s">
        <v>334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335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184</v>
      </c>
      <c r="B52" s="40" t="s">
        <v>82</v>
      </c>
      <c r="C52" s="40" t="s">
        <v>334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335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331</v>
      </c>
      <c r="B55" s="112"/>
      <c r="C55" s="112"/>
    </row>
    <row r="56" spans="1:8" ht="13" x14ac:dyDescent="0.3">
      <c r="A56" s="30" t="s">
        <v>160</v>
      </c>
      <c r="B56" s="30" t="s">
        <v>333</v>
      </c>
      <c r="C56" s="97" t="s">
        <v>11</v>
      </c>
      <c r="D56" s="30" t="s">
        <v>109</v>
      </c>
      <c r="E56" s="30" t="s">
        <v>96</v>
      </c>
      <c r="F56" s="30" t="s">
        <v>97</v>
      </c>
      <c r="G56" s="30" t="s">
        <v>98</v>
      </c>
      <c r="H56" s="30" t="s">
        <v>99</v>
      </c>
    </row>
    <row r="57" spans="1:8" x14ac:dyDescent="0.25">
      <c r="A57" s="40" t="s">
        <v>193</v>
      </c>
      <c r="B57" s="40" t="s">
        <v>87</v>
      </c>
      <c r="C57" s="40" t="s">
        <v>334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335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336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192</v>
      </c>
      <c r="B60" s="40" t="s">
        <v>208</v>
      </c>
      <c r="C60" s="40" t="s">
        <v>334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336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209</v>
      </c>
      <c r="C62" s="40" t="s">
        <v>334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336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185</v>
      </c>
      <c r="B64" s="40" t="s">
        <v>208</v>
      </c>
      <c r="C64" s="40" t="s">
        <v>334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336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209</v>
      </c>
      <c r="C66" s="40" t="s">
        <v>334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336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205</v>
      </c>
      <c r="B68" s="40" t="s">
        <v>208</v>
      </c>
      <c r="C68" s="40" t="s">
        <v>334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336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209</v>
      </c>
      <c r="C70" s="40" t="s">
        <v>334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336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170</v>
      </c>
      <c r="B72" s="40" t="s">
        <v>208</v>
      </c>
      <c r="C72" s="40" t="s">
        <v>334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336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v>0.39</v>
      </c>
      <c r="G73" s="105">
        <v>0.39</v>
      </c>
      <c r="H73" s="105">
        <v>0.39</v>
      </c>
    </row>
    <row r="74" spans="1:8" x14ac:dyDescent="0.25">
      <c r="B74" s="40" t="s">
        <v>209</v>
      </c>
      <c r="C74" s="40" t="s">
        <v>334</v>
      </c>
      <c r="D74" s="105">
        <f t="shared" ref="D74:G74" si="8">IF($C19="Affected fraction",D19,IF(D19=1,1,D19*0.9))</f>
        <v>0</v>
      </c>
      <c r="E74" s="105">
        <f t="shared" si="8"/>
        <v>0</v>
      </c>
      <c r="F74" s="105">
        <f t="shared" si="8"/>
        <v>1</v>
      </c>
      <c r="G74" s="105">
        <f t="shared" si="8"/>
        <v>1</v>
      </c>
      <c r="H74" s="105">
        <f t="shared" ref="H74" si="9">IF($C19="Affected fraction",H19,IF(H19=1,1,H19*0.9))</f>
        <v>1</v>
      </c>
    </row>
    <row r="75" spans="1:8" x14ac:dyDescent="0.25">
      <c r="C75" s="40" t="s">
        <v>336</v>
      </c>
      <c r="D75" s="105">
        <f t="shared" ref="D75:E75" si="10">IF($C20="Affected fraction",D20,IF(D20=1,1,D20*0.9))</f>
        <v>0</v>
      </c>
      <c r="E75" s="105">
        <f t="shared" si="10"/>
        <v>0</v>
      </c>
      <c r="F75" s="105">
        <v>0.32</v>
      </c>
      <c r="G75" s="105">
        <v>0.32</v>
      </c>
      <c r="H75" s="105">
        <v>0.32</v>
      </c>
    </row>
    <row r="76" spans="1:8" x14ac:dyDescent="0.25">
      <c r="A76" s="40" t="s">
        <v>175</v>
      </c>
      <c r="B76" s="40" t="s">
        <v>84</v>
      </c>
      <c r="C76" s="40" t="s">
        <v>334</v>
      </c>
      <c r="D76" s="105">
        <f t="shared" ref="D76:H76" si="11">IF($C21="Affected fraction",D21,IF(D21=1,1,D21*0.9))</f>
        <v>1</v>
      </c>
      <c r="E76" s="105">
        <f t="shared" si="11"/>
        <v>0</v>
      </c>
      <c r="F76" s="105">
        <f t="shared" si="11"/>
        <v>0</v>
      </c>
      <c r="G76" s="105">
        <f t="shared" si="11"/>
        <v>0</v>
      </c>
      <c r="H76" s="105">
        <f t="shared" si="11"/>
        <v>0</v>
      </c>
    </row>
    <row r="77" spans="1:8" x14ac:dyDescent="0.25">
      <c r="C77" s="40" t="s">
        <v>335</v>
      </c>
      <c r="D77" s="105">
        <v>0.11</v>
      </c>
      <c r="E77" s="105">
        <f t="shared" ref="E77:H77" si="12">IF($C22="Affected fraction",E22,IF(E22=1,1,E22*0.9))</f>
        <v>0</v>
      </c>
      <c r="F77" s="105">
        <f t="shared" si="12"/>
        <v>0</v>
      </c>
      <c r="G77" s="105">
        <f t="shared" si="12"/>
        <v>0</v>
      </c>
      <c r="H77" s="105">
        <f t="shared" si="12"/>
        <v>0</v>
      </c>
    </row>
    <row r="78" spans="1:8" x14ac:dyDescent="0.25">
      <c r="A78" s="40" t="s">
        <v>173</v>
      </c>
      <c r="B78" s="40" t="s">
        <v>84</v>
      </c>
      <c r="C78" s="40" t="s">
        <v>334</v>
      </c>
      <c r="D78" s="105">
        <f t="shared" ref="D78:H78" si="13">IF($C23="Affected fraction",D23,IF(D23=1,1,D23*0.9))</f>
        <v>1</v>
      </c>
      <c r="E78" s="105">
        <f t="shared" si="13"/>
        <v>0</v>
      </c>
      <c r="F78" s="105">
        <f t="shared" si="13"/>
        <v>0</v>
      </c>
      <c r="G78" s="105">
        <f t="shared" si="13"/>
        <v>0</v>
      </c>
      <c r="H78" s="105">
        <f t="shared" si="13"/>
        <v>0</v>
      </c>
    </row>
    <row r="79" spans="1:8" x14ac:dyDescent="0.25">
      <c r="C79" s="40" t="s">
        <v>335</v>
      </c>
      <c r="D79" s="105">
        <v>0.11</v>
      </c>
      <c r="E79" s="105">
        <f t="shared" ref="E79:H79" si="14">IF($C24="Affected fraction",E24,IF(E24=1,1,E24*0.9))</f>
        <v>0</v>
      </c>
      <c r="F79" s="105">
        <f t="shared" si="14"/>
        <v>0</v>
      </c>
      <c r="G79" s="105">
        <f t="shared" si="14"/>
        <v>0</v>
      </c>
      <c r="H79" s="105">
        <f t="shared" si="14"/>
        <v>0</v>
      </c>
    </row>
    <row r="80" spans="1:8" x14ac:dyDescent="0.25">
      <c r="A80" s="40" t="s">
        <v>174</v>
      </c>
      <c r="B80" s="40" t="s">
        <v>84</v>
      </c>
      <c r="C80" s="40" t="s">
        <v>334</v>
      </c>
      <c r="D80" s="105">
        <f t="shared" ref="D80:H80" si="15">IF($C25="Affected fraction",D25,IF(D25=1,1,D25*0.9))</f>
        <v>1</v>
      </c>
      <c r="E80" s="105">
        <f t="shared" si="15"/>
        <v>0</v>
      </c>
      <c r="F80" s="105">
        <f t="shared" si="15"/>
        <v>0</v>
      </c>
      <c r="G80" s="105">
        <f t="shared" si="15"/>
        <v>0</v>
      </c>
      <c r="H80" s="105">
        <f t="shared" si="15"/>
        <v>0</v>
      </c>
    </row>
    <row r="81" spans="1:8" x14ac:dyDescent="0.25">
      <c r="C81" s="40" t="s">
        <v>335</v>
      </c>
      <c r="D81" s="105">
        <v>0.11</v>
      </c>
      <c r="E81" s="105">
        <f t="shared" ref="E81:H81" si="16">IF($C26="Affected fraction",E26,IF(E26=1,1,E26*0.9))</f>
        <v>0</v>
      </c>
      <c r="F81" s="105">
        <f t="shared" si="16"/>
        <v>0</v>
      </c>
      <c r="G81" s="105">
        <f t="shared" si="16"/>
        <v>0</v>
      </c>
      <c r="H81" s="105">
        <f t="shared" si="16"/>
        <v>0</v>
      </c>
    </row>
    <row r="82" spans="1:8" x14ac:dyDescent="0.25">
      <c r="A82" s="40" t="s">
        <v>197</v>
      </c>
      <c r="B82" s="40" t="s">
        <v>87</v>
      </c>
      <c r="C82" s="40" t="s">
        <v>334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335</v>
      </c>
      <c r="D83" s="105">
        <v>0</v>
      </c>
      <c r="E83" s="105">
        <v>0</v>
      </c>
      <c r="F83" s="105">
        <v>0</v>
      </c>
      <c r="G83" s="105">
        <v>0</v>
      </c>
      <c r="H83" s="105">
        <v>0</v>
      </c>
    </row>
    <row r="84" spans="1:8" x14ac:dyDescent="0.25">
      <c r="C84" s="40" t="s">
        <v>336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198</v>
      </c>
      <c r="B85" s="40" t="s">
        <v>87</v>
      </c>
      <c r="C85" s="40" t="s">
        <v>334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335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336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196</v>
      </c>
      <c r="B88" s="40" t="s">
        <v>87</v>
      </c>
      <c r="C88" s="40" t="s">
        <v>334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335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336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195</v>
      </c>
      <c r="B91" s="40" t="s">
        <v>87</v>
      </c>
      <c r="C91" s="40" t="s">
        <v>334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335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336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194</v>
      </c>
      <c r="B94" s="40" t="s">
        <v>87</v>
      </c>
      <c r="C94" s="40" t="s">
        <v>334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335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336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200</v>
      </c>
      <c r="B97" s="40" t="s">
        <v>87</v>
      </c>
      <c r="C97" s="40" t="s">
        <v>334</v>
      </c>
      <c r="D97" s="105">
        <f t="shared" ref="D97:H97" si="17">IF($C42="Affected fraction",D42,IF(D42=1,1,D42*0.9))</f>
        <v>0</v>
      </c>
      <c r="E97" s="105">
        <f t="shared" si="17"/>
        <v>1</v>
      </c>
      <c r="F97" s="105">
        <f t="shared" si="17"/>
        <v>1</v>
      </c>
      <c r="G97" s="105">
        <f t="shared" si="17"/>
        <v>1</v>
      </c>
      <c r="H97" s="105">
        <f t="shared" si="17"/>
        <v>1</v>
      </c>
    </row>
    <row r="98" spans="1:8" x14ac:dyDescent="0.25">
      <c r="C98" s="40" t="s">
        <v>335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336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88</v>
      </c>
      <c r="C100" s="40" t="s">
        <v>334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335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336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191</v>
      </c>
      <c r="B103" s="40" t="s">
        <v>87</v>
      </c>
      <c r="C103" s="40" t="s">
        <v>334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335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199</v>
      </c>
      <c r="B105" s="40" t="s">
        <v>87</v>
      </c>
      <c r="C105" s="40" t="s">
        <v>334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335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184</v>
      </c>
      <c r="B107" s="40" t="s">
        <v>82</v>
      </c>
      <c r="C107" s="40" t="s">
        <v>334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335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332</v>
      </c>
      <c r="B110" s="112"/>
      <c r="C110" s="112"/>
    </row>
    <row r="111" spans="1:8" ht="13" x14ac:dyDescent="0.3">
      <c r="A111" s="30" t="s">
        <v>160</v>
      </c>
      <c r="B111" s="30" t="s">
        <v>333</v>
      </c>
      <c r="C111" s="97" t="s">
        <v>11</v>
      </c>
      <c r="D111" s="30" t="s">
        <v>109</v>
      </c>
      <c r="E111" s="30" t="s">
        <v>96</v>
      </c>
      <c r="F111" s="30" t="s">
        <v>97</v>
      </c>
      <c r="G111" s="30" t="s">
        <v>98</v>
      </c>
      <c r="H111" s="30" t="s">
        <v>99</v>
      </c>
    </row>
    <row r="112" spans="1:8" x14ac:dyDescent="0.25">
      <c r="A112" s="40" t="s">
        <v>193</v>
      </c>
      <c r="B112" s="40" t="s">
        <v>87</v>
      </c>
      <c r="C112" s="40" t="s">
        <v>334</v>
      </c>
      <c r="D112" s="105">
        <f>IF($C2="Affected fraction",D2,IF(D2=1,1,D2*1.05))</f>
        <v>0</v>
      </c>
      <c r="E112" s="105">
        <f t="shared" ref="E112" si="18">IF($C2="Affected fraction",E2,IF(E2=1,1,E2*1.05))</f>
        <v>0</v>
      </c>
      <c r="F112" s="105">
        <f t="shared" ref="F112:H112" si="19">IF($C57="Affected fraction",F57,IF(F57=1,1,F57*0.9))</f>
        <v>1</v>
      </c>
      <c r="G112" s="105">
        <f t="shared" si="19"/>
        <v>1</v>
      </c>
      <c r="H112" s="105">
        <f t="shared" si="19"/>
        <v>1</v>
      </c>
    </row>
    <row r="113" spans="1:8" x14ac:dyDescent="0.25">
      <c r="C113" s="40" t="s">
        <v>335</v>
      </c>
      <c r="D113" s="105">
        <f t="shared" ref="D113:E113" si="20">IF($C3="Affected fraction",D3,IF(D3=1,1,D3*1.05))</f>
        <v>0</v>
      </c>
      <c r="E113" s="105">
        <f t="shared" si="20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336</v>
      </c>
      <c r="D114" s="105">
        <f t="shared" ref="D114:E114" si="21">IF($C4="Affected fraction",D4,IF(D4=1,1,D4*1.05))</f>
        <v>0</v>
      </c>
      <c r="E114" s="105">
        <f t="shared" si="21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192</v>
      </c>
      <c r="B115" s="40" t="s">
        <v>208</v>
      </c>
      <c r="C115" s="40" t="s">
        <v>334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336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209</v>
      </c>
      <c r="C117" s="40" t="s">
        <v>334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336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185</v>
      </c>
      <c r="B119" s="40" t="s">
        <v>208</v>
      </c>
      <c r="C119" s="40" t="s">
        <v>334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336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209</v>
      </c>
      <c r="C121" s="40" t="s">
        <v>334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336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205</v>
      </c>
      <c r="B123" s="40" t="s">
        <v>208</v>
      </c>
      <c r="C123" s="40" t="s">
        <v>334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336</v>
      </c>
      <c r="D124" s="105">
        <f t="shared" ref="D124:H124" si="22">IF($C14="Affected fraction",D14,IF(D14=1,1,D14*1.05))</f>
        <v>0</v>
      </c>
      <c r="E124" s="105">
        <f t="shared" si="22"/>
        <v>0</v>
      </c>
      <c r="F124" s="105">
        <v>0.45</v>
      </c>
      <c r="G124" s="105">
        <v>0.45</v>
      </c>
      <c r="H124" s="105">
        <f t="shared" si="22"/>
        <v>0</v>
      </c>
    </row>
    <row r="125" spans="1:8" x14ac:dyDescent="0.25">
      <c r="B125" s="40" t="s">
        <v>209</v>
      </c>
      <c r="C125" s="40" t="s">
        <v>334</v>
      </c>
      <c r="D125" s="105">
        <f t="shared" ref="D125:H125" si="23">IF($C15="Affected fraction",D15,IF(D15=1,1,D15*1.05))</f>
        <v>0</v>
      </c>
      <c r="E125" s="105">
        <f t="shared" si="23"/>
        <v>0</v>
      </c>
      <c r="F125" s="105">
        <f t="shared" si="23"/>
        <v>1</v>
      </c>
      <c r="G125" s="105">
        <f t="shared" si="23"/>
        <v>1</v>
      </c>
      <c r="H125" s="105">
        <f t="shared" si="23"/>
        <v>0</v>
      </c>
    </row>
    <row r="126" spans="1:8" x14ac:dyDescent="0.25">
      <c r="C126" s="40" t="s">
        <v>336</v>
      </c>
      <c r="D126" s="105">
        <f t="shared" ref="D126:H126" si="24">IF($C16="Affected fraction",D16,IF(D16=1,1,D16*1.05))</f>
        <v>0</v>
      </c>
      <c r="E126" s="105">
        <f t="shared" si="24"/>
        <v>0</v>
      </c>
      <c r="F126" s="105">
        <v>0.2</v>
      </c>
      <c r="G126" s="105">
        <v>0.2</v>
      </c>
      <c r="H126" s="105">
        <f t="shared" si="24"/>
        <v>0</v>
      </c>
    </row>
    <row r="127" spans="1:8" x14ac:dyDescent="0.25">
      <c r="A127" s="40" t="s">
        <v>170</v>
      </c>
      <c r="B127" s="40" t="s">
        <v>208</v>
      </c>
      <c r="C127" s="40" t="s">
        <v>334</v>
      </c>
      <c r="D127" s="105">
        <f t="shared" ref="D127:H127" si="25">IF($C17="Affected fraction",D17,IF(D17=1,1,D17*1.05))</f>
        <v>0</v>
      </c>
      <c r="E127" s="105">
        <f t="shared" si="25"/>
        <v>0</v>
      </c>
      <c r="F127" s="105">
        <f t="shared" si="25"/>
        <v>1</v>
      </c>
      <c r="G127" s="105">
        <f t="shared" si="25"/>
        <v>1</v>
      </c>
      <c r="H127" s="105">
        <f t="shared" si="25"/>
        <v>1</v>
      </c>
    </row>
    <row r="128" spans="1:8" x14ac:dyDescent="0.25">
      <c r="C128" s="40" t="s">
        <v>336</v>
      </c>
      <c r="D128" s="105">
        <f t="shared" ref="D128:E128" si="26">IF($C18="Affected fraction",D18,IF(D18=1,1,D18*1.05))</f>
        <v>0</v>
      </c>
      <c r="E128" s="105">
        <f t="shared" si="26"/>
        <v>0</v>
      </c>
      <c r="F128" s="105">
        <v>0.84</v>
      </c>
      <c r="G128" s="105">
        <v>0.84</v>
      </c>
      <c r="H128" s="105">
        <v>0.84</v>
      </c>
    </row>
    <row r="129" spans="1:8" x14ac:dyDescent="0.25">
      <c r="B129" s="40" t="s">
        <v>209</v>
      </c>
      <c r="C129" s="40" t="s">
        <v>334</v>
      </c>
      <c r="D129" s="105">
        <f t="shared" ref="D129:E129" si="27">IF($C19="Affected fraction",D19,IF(D19=1,1,D19*1.05))</f>
        <v>0</v>
      </c>
      <c r="E129" s="105">
        <f t="shared" si="27"/>
        <v>0</v>
      </c>
      <c r="F129" s="105">
        <f t="shared" ref="F129:H129" si="28">IF($C74="Affected fraction",F74,IF(F74=1,1,F74*0.9))</f>
        <v>1</v>
      </c>
      <c r="G129" s="105">
        <f t="shared" si="28"/>
        <v>1</v>
      </c>
      <c r="H129" s="105">
        <f t="shared" si="28"/>
        <v>1</v>
      </c>
    </row>
    <row r="130" spans="1:8" x14ac:dyDescent="0.25">
      <c r="C130" s="40" t="s">
        <v>336</v>
      </c>
      <c r="D130" s="105">
        <f t="shared" ref="D130:E130" si="29">IF($C20="Affected fraction",D20,IF(D20=1,1,D20*1.05))</f>
        <v>0</v>
      </c>
      <c r="E130" s="105">
        <f t="shared" si="29"/>
        <v>0</v>
      </c>
      <c r="F130" s="105">
        <v>0.77</v>
      </c>
      <c r="G130" s="105">
        <v>0.77</v>
      </c>
      <c r="H130" s="105">
        <v>0.77</v>
      </c>
    </row>
    <row r="131" spans="1:8" x14ac:dyDescent="0.25">
      <c r="A131" s="40" t="s">
        <v>175</v>
      </c>
      <c r="B131" s="40" t="s">
        <v>84</v>
      </c>
      <c r="C131" s="40" t="s">
        <v>334</v>
      </c>
      <c r="D131" s="105">
        <f t="shared" ref="D131" si="30">IF($C76="Affected fraction",D76,IF(D76=1,1,D76*0.9))</f>
        <v>1</v>
      </c>
      <c r="E131" s="105">
        <f t="shared" ref="E131:H131" si="31">IF($C21="Affected fraction",E21,IF(E21=1,1,E21*1.05))</f>
        <v>0</v>
      </c>
      <c r="F131" s="105">
        <f t="shared" si="31"/>
        <v>0</v>
      </c>
      <c r="G131" s="105">
        <f t="shared" si="31"/>
        <v>0</v>
      </c>
      <c r="H131" s="105">
        <f t="shared" si="31"/>
        <v>0</v>
      </c>
    </row>
    <row r="132" spans="1:8" x14ac:dyDescent="0.25">
      <c r="C132" s="40" t="s">
        <v>335</v>
      </c>
      <c r="D132" s="105">
        <v>0.16</v>
      </c>
      <c r="E132" s="105">
        <f t="shared" ref="E132:H132" si="32">IF($C22="Affected fraction",E22,IF(E22=1,1,E22*1.05))</f>
        <v>0</v>
      </c>
      <c r="F132" s="105">
        <f t="shared" si="32"/>
        <v>0</v>
      </c>
      <c r="G132" s="105">
        <f t="shared" si="32"/>
        <v>0</v>
      </c>
      <c r="H132" s="105">
        <f t="shared" si="32"/>
        <v>0</v>
      </c>
    </row>
    <row r="133" spans="1:8" x14ac:dyDescent="0.25">
      <c r="A133" s="40" t="s">
        <v>173</v>
      </c>
      <c r="B133" s="40" t="s">
        <v>84</v>
      </c>
      <c r="C133" s="40" t="s">
        <v>334</v>
      </c>
      <c r="D133" s="105">
        <f t="shared" ref="D133" si="33">IF($C78="Affected fraction",D78,IF(D78=1,1,D78*0.9))</f>
        <v>1</v>
      </c>
      <c r="E133" s="105">
        <f t="shared" ref="E133:H133" si="34">IF($C23="Affected fraction",E23,IF(E23=1,1,E23*1.05))</f>
        <v>0</v>
      </c>
      <c r="F133" s="105">
        <f t="shared" si="34"/>
        <v>0</v>
      </c>
      <c r="G133" s="105">
        <f t="shared" si="34"/>
        <v>0</v>
      </c>
      <c r="H133" s="105">
        <f t="shared" si="34"/>
        <v>0</v>
      </c>
    </row>
    <row r="134" spans="1:8" x14ac:dyDescent="0.25">
      <c r="C134" s="40" t="s">
        <v>335</v>
      </c>
      <c r="D134" s="105">
        <v>0.16</v>
      </c>
      <c r="E134" s="105">
        <f t="shared" ref="E134:H134" si="35">IF($C24="Affected fraction",E24,IF(E24=1,1,E24*1.05))</f>
        <v>0</v>
      </c>
      <c r="F134" s="105">
        <f t="shared" si="35"/>
        <v>0</v>
      </c>
      <c r="G134" s="105">
        <f t="shared" si="35"/>
        <v>0</v>
      </c>
      <c r="H134" s="105">
        <f t="shared" si="35"/>
        <v>0</v>
      </c>
    </row>
    <row r="135" spans="1:8" x14ac:dyDescent="0.25">
      <c r="A135" s="40" t="s">
        <v>174</v>
      </c>
      <c r="B135" s="40" t="s">
        <v>84</v>
      </c>
      <c r="C135" s="40" t="s">
        <v>334</v>
      </c>
      <c r="D135" s="105">
        <f t="shared" ref="D135" si="36">IF($C80="Affected fraction",D80,IF(D80=1,1,D80*0.9))</f>
        <v>1</v>
      </c>
      <c r="E135" s="105">
        <f t="shared" ref="E135:H135" si="37">IF($C25="Affected fraction",E25,IF(E25=1,1,E25*1.05))</f>
        <v>0</v>
      </c>
      <c r="F135" s="105">
        <f t="shared" si="37"/>
        <v>0</v>
      </c>
      <c r="G135" s="105">
        <f t="shared" si="37"/>
        <v>0</v>
      </c>
      <c r="H135" s="105">
        <f t="shared" si="37"/>
        <v>0</v>
      </c>
    </row>
    <row r="136" spans="1:8" x14ac:dyDescent="0.25">
      <c r="C136" s="40" t="s">
        <v>335</v>
      </c>
      <c r="D136" s="105">
        <v>0.16</v>
      </c>
      <c r="E136" s="105">
        <f t="shared" ref="E136:H136" si="38">IF($C26="Affected fraction",E26,IF(E26=1,1,E26*1.05))</f>
        <v>0</v>
      </c>
      <c r="F136" s="105">
        <f t="shared" si="38"/>
        <v>0</v>
      </c>
      <c r="G136" s="105">
        <f t="shared" si="38"/>
        <v>0</v>
      </c>
      <c r="H136" s="105">
        <f t="shared" si="38"/>
        <v>0</v>
      </c>
    </row>
    <row r="137" spans="1:8" x14ac:dyDescent="0.25">
      <c r="A137" s="40" t="s">
        <v>197</v>
      </c>
      <c r="B137" s="40" t="s">
        <v>87</v>
      </c>
      <c r="C137" s="40" t="s">
        <v>334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335</v>
      </c>
      <c r="D138" s="105">
        <v>0</v>
      </c>
      <c r="E138" s="105">
        <v>0</v>
      </c>
      <c r="F138" s="105">
        <v>0</v>
      </c>
      <c r="G138" s="105">
        <v>0</v>
      </c>
      <c r="H138" s="105">
        <v>0</v>
      </c>
    </row>
    <row r="139" spans="1:8" x14ac:dyDescent="0.25">
      <c r="C139" s="40" t="s">
        <v>336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198</v>
      </c>
      <c r="B140" s="40" t="s">
        <v>87</v>
      </c>
      <c r="C140" s="40" t="s">
        <v>334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335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336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196</v>
      </c>
      <c r="B143" s="40" t="s">
        <v>87</v>
      </c>
      <c r="C143" s="40" t="s">
        <v>334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335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336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195</v>
      </c>
      <c r="B146" s="40" t="s">
        <v>87</v>
      </c>
      <c r="C146" s="40" t="s">
        <v>334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335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336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194</v>
      </c>
      <c r="B149" s="40" t="s">
        <v>87</v>
      </c>
      <c r="C149" s="40" t="s">
        <v>334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335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336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200</v>
      </c>
      <c r="B152" s="40" t="s">
        <v>87</v>
      </c>
      <c r="C152" s="40" t="s">
        <v>334</v>
      </c>
      <c r="D152" s="105">
        <f t="shared" ref="D152:H152" si="39">IF($C97="Affected fraction",D97,IF(D97=1,1,D97*0.9))</f>
        <v>0</v>
      </c>
      <c r="E152" s="105">
        <f t="shared" si="39"/>
        <v>1</v>
      </c>
      <c r="F152" s="105">
        <f t="shared" si="39"/>
        <v>1</v>
      </c>
      <c r="G152" s="105">
        <f t="shared" si="39"/>
        <v>1</v>
      </c>
      <c r="H152" s="105">
        <f t="shared" si="39"/>
        <v>1</v>
      </c>
    </row>
    <row r="153" spans="1:8" x14ac:dyDescent="0.25">
      <c r="C153" s="40" t="s">
        <v>335</v>
      </c>
      <c r="D153" s="105">
        <f t="shared" ref="D153:H153" si="40">IF($C98="Affected fraction",D98,IF(D98=1,1,D98*0.9))</f>
        <v>0</v>
      </c>
      <c r="E153" s="105">
        <f t="shared" si="40"/>
        <v>0</v>
      </c>
      <c r="F153" s="105">
        <f t="shared" si="40"/>
        <v>0</v>
      </c>
      <c r="G153" s="105">
        <f t="shared" si="40"/>
        <v>0</v>
      </c>
      <c r="H153" s="105">
        <f t="shared" si="40"/>
        <v>0</v>
      </c>
    </row>
    <row r="154" spans="1:8" x14ac:dyDescent="0.25">
      <c r="C154" s="40" t="s">
        <v>336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88</v>
      </c>
      <c r="C155" s="40" t="s">
        <v>334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335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336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191</v>
      </c>
      <c r="B158" s="40" t="s">
        <v>87</v>
      </c>
      <c r="C158" s="40" t="s">
        <v>334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335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199</v>
      </c>
      <c r="B160" s="40" t="s">
        <v>87</v>
      </c>
      <c r="C160" s="40" t="s">
        <v>334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335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184</v>
      </c>
      <c r="B162" s="40" t="s">
        <v>82</v>
      </c>
      <c r="C162" s="40" t="s">
        <v>334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335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O0N8Qec+YmBr7SaDJ7B16xLR3H7l96B2Bw/O1yhjNWcurQoyHGg15J5/T4uiKQWMmvKSIS6RNhY0DcA9l5TFxQ==" saltValue="pyYnOug56Nm5sDLzDp8f4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G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160</v>
      </c>
      <c r="B1" s="42" t="s">
        <v>333</v>
      </c>
      <c r="C1" s="42"/>
      <c r="D1" s="30" t="s">
        <v>122</v>
      </c>
      <c r="E1" s="30" t="s">
        <v>123</v>
      </c>
      <c r="F1" s="30" t="s">
        <v>124</v>
      </c>
      <c r="G1" s="30" t="s">
        <v>125</v>
      </c>
      <c r="H1" s="30"/>
    </row>
    <row r="2" spans="1:8" x14ac:dyDescent="0.25">
      <c r="A2" s="32" t="s">
        <v>169</v>
      </c>
      <c r="B2" s="28" t="s">
        <v>104</v>
      </c>
      <c r="C2" s="32" t="s">
        <v>334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335</v>
      </c>
      <c r="D3" s="105">
        <v>0.83</v>
      </c>
      <c r="E3" s="105">
        <v>0.83</v>
      </c>
      <c r="F3" s="105">
        <v>0.83</v>
      </c>
      <c r="G3" s="105">
        <v>0.83</v>
      </c>
      <c r="H3" s="32"/>
    </row>
    <row r="4" spans="1:8" x14ac:dyDescent="0.25">
      <c r="A4" s="32" t="s">
        <v>188</v>
      </c>
      <c r="B4" s="28" t="s">
        <v>104</v>
      </c>
      <c r="C4" s="32" t="s">
        <v>334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335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187</v>
      </c>
      <c r="B6" s="28" t="s">
        <v>104</v>
      </c>
      <c r="C6" s="32" t="s">
        <v>334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335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331</v>
      </c>
    </row>
    <row r="10" spans="1:8" ht="13" x14ac:dyDescent="0.3">
      <c r="A10" s="42" t="s">
        <v>160</v>
      </c>
      <c r="B10" s="42" t="s">
        <v>333</v>
      </c>
      <c r="C10" s="42"/>
      <c r="D10" s="30" t="s">
        <v>122</v>
      </c>
      <c r="E10" s="30" t="s">
        <v>123</v>
      </c>
      <c r="F10" s="30" t="s">
        <v>124</v>
      </c>
      <c r="G10" s="30" t="s">
        <v>125</v>
      </c>
    </row>
    <row r="11" spans="1:8" x14ac:dyDescent="0.25">
      <c r="A11" s="32" t="s">
        <v>169</v>
      </c>
      <c r="B11" s="28" t="s">
        <v>104</v>
      </c>
      <c r="C11" s="32" t="s">
        <v>334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335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188</v>
      </c>
      <c r="B13" s="28" t="s">
        <v>104</v>
      </c>
      <c r="C13" s="32" t="s">
        <v>334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335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187</v>
      </c>
      <c r="B15" s="28" t="s">
        <v>104</v>
      </c>
      <c r="C15" s="32" t="s">
        <v>334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335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332</v>
      </c>
    </row>
    <row r="19" spans="1:7" ht="13" x14ac:dyDescent="0.3">
      <c r="A19" s="42" t="s">
        <v>160</v>
      </c>
      <c r="B19" s="42" t="s">
        <v>333</v>
      </c>
      <c r="C19" s="42"/>
      <c r="D19" s="30" t="s">
        <v>122</v>
      </c>
      <c r="E19" s="30" t="s">
        <v>123</v>
      </c>
      <c r="F19" s="30" t="s">
        <v>124</v>
      </c>
      <c r="G19" s="30" t="s">
        <v>125</v>
      </c>
    </row>
    <row r="20" spans="1:7" x14ac:dyDescent="0.25">
      <c r="A20" s="32" t="s">
        <v>169</v>
      </c>
      <c r="B20" s="28" t="s">
        <v>104</v>
      </c>
      <c r="C20" s="32" t="s">
        <v>334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335</v>
      </c>
      <c r="D21" s="105">
        <v>0.98</v>
      </c>
      <c r="E21" s="105">
        <v>0.98</v>
      </c>
      <c r="F21" s="105">
        <v>0.98</v>
      </c>
      <c r="G21" s="105">
        <v>0.98</v>
      </c>
    </row>
    <row r="22" spans="1:7" x14ac:dyDescent="0.25">
      <c r="A22" s="32" t="s">
        <v>188</v>
      </c>
      <c r="B22" s="28" t="s">
        <v>104</v>
      </c>
      <c r="C22" s="32" t="s">
        <v>334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335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187</v>
      </c>
      <c r="B24" s="28" t="s">
        <v>104</v>
      </c>
      <c r="C24" s="32" t="s">
        <v>334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335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ez4IiSH7EeEIMOE8z4U3eT1PCkErF9YQZ6Hrc+tDj3Y8BPyFTiue5lnBuIdF4QFzLJqkkfTUpx4Kk0JvROsPBQ==" saltValue="DYZjL/mKtjur6GG1Z2wa6w==" spinCount="100000" sheet="1" objects="1" scenarios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F27224-E052-49D0-B72B-C9073A8D27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