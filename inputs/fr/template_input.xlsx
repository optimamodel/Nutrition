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"/>
    </mc:Choice>
  </mc:AlternateContent>
  <xr:revisionPtr revIDLastSave="0" documentId="8_{7D95955E-CB0C-4BB9-965D-F5811F2169F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1" i="2"/>
  <c r="A26" i="2"/>
  <c r="A25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40" i="2" l="1"/>
  <c r="A35" i="2"/>
  <c r="A22" i="2"/>
  <c r="A36" i="2"/>
  <c r="A34" i="2"/>
  <c r="A19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<sst xmlns="http://schemas.openxmlformats.org/spreadsheetml/2006/main" count="2159" uniqueCount="368">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</sst>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/>
    </row>
    <row r="8" spans="1:3" ht="15" customHeight="1" x14ac:dyDescent="0.25">
      <c r="B8" s="5" t="s">
        <v>37</v>
      </c>
      <c r="C8" s="44"/>
    </row>
    <row r="9" spans="1:3" ht="15" customHeight="1" x14ac:dyDescent="0.25">
      <c r="B9" s="5" t="s">
        <v>38</v>
      </c>
      <c r="C9" s="45"/>
    </row>
    <row r="10" spans="1:3" ht="15" customHeight="1" x14ac:dyDescent="0.25">
      <c r="B10" s="5" t="s">
        <v>39</v>
      </c>
      <c r="C10" s="45"/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/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/>
    </row>
    <row r="17" spans="1:3" ht="15" customHeight="1" x14ac:dyDescent="0.25">
      <c r="B17" s="5" t="s">
        <v>45</v>
      </c>
      <c r="C17" s="45"/>
    </row>
    <row r="18" spans="1:3" ht="15" customHeight="1" x14ac:dyDescent="0.25">
      <c r="B18" s="5" t="s">
        <v>46</v>
      </c>
      <c r="C18" s="45"/>
    </row>
    <row r="19" spans="1:3" ht="15" customHeight="1" x14ac:dyDescent="0.25">
      <c r="B19" s="5" t="s">
        <v>47</v>
      </c>
      <c r="C19" s="45"/>
    </row>
    <row r="20" spans="1:3" ht="15" customHeight="1" x14ac:dyDescent="0.25">
      <c r="B20" s="5" t="s">
        <v>48</v>
      </c>
      <c r="C20" s="46">
        <f>1-frac_rice-frac_wheat-frac_maize</f>
        <v>1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/>
    </row>
    <row r="24" spans="1:3" ht="15" customHeight="1" x14ac:dyDescent="0.25">
      <c r="B24" s="15" t="s">
        <v>51</v>
      </c>
      <c r="C24" s="45"/>
    </row>
    <row r="25" spans="1:3" ht="15" customHeight="1" x14ac:dyDescent="0.25">
      <c r="B25" s="15" t="s">
        <v>52</v>
      </c>
      <c r="C25" s="45"/>
    </row>
    <row r="26" spans="1:3" ht="15" customHeight="1" x14ac:dyDescent="0.25">
      <c r="B26" s="15" t="s">
        <v>53</v>
      </c>
      <c r="C26" s="45"/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/>
    </row>
    <row r="30" spans="1:3" ht="14.25" customHeight="1" x14ac:dyDescent="0.25">
      <c r="B30" s="25" t="s">
        <v>56</v>
      </c>
      <c r="C30" s="99"/>
    </row>
    <row r="31" spans="1:3" ht="14.25" customHeight="1" x14ac:dyDescent="0.25">
      <c r="B31" s="25" t="s">
        <v>57</v>
      </c>
      <c r="C31" s="99"/>
    </row>
    <row r="32" spans="1:3" ht="14.25" customHeight="1" x14ac:dyDescent="0.25">
      <c r="B32" s="25" t="s">
        <v>58</v>
      </c>
      <c r="C32" s="99"/>
    </row>
    <row r="33" spans="1:5" ht="13.25" customHeight="1" x14ac:dyDescent="0.25">
      <c r="B33" s="27" t="s">
        <v>59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/>
    </row>
    <row r="38" spans="1:5" ht="15" customHeight="1" x14ac:dyDescent="0.25">
      <c r="B38" s="11" t="s">
        <v>63</v>
      </c>
      <c r="C38" s="43"/>
      <c r="D38" s="12"/>
      <c r="E38" s="13"/>
    </row>
    <row r="39" spans="1:5" ht="15" customHeight="1" x14ac:dyDescent="0.25">
      <c r="B39" s="11" t="s">
        <v>64</v>
      </c>
      <c r="C39" s="43"/>
      <c r="D39" s="12"/>
      <c r="E39" s="12"/>
    </row>
    <row r="40" spans="1:5" ht="15" customHeight="1" x14ac:dyDescent="0.25">
      <c r="B40" s="11" t="s">
        <v>65</v>
      </c>
      <c r="C40" s="100"/>
    </row>
    <row r="41" spans="1:5" ht="15" customHeight="1" x14ac:dyDescent="0.25">
      <c r="B41" s="11" t="s">
        <v>66</v>
      </c>
      <c r="C41" s="45"/>
    </row>
    <row r="42" spans="1:5" ht="15" customHeight="1" x14ac:dyDescent="0.25">
      <c r="B42" s="11" t="s">
        <v>67</v>
      </c>
      <c r="C42" s="43"/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/>
      <c r="D45" s="12"/>
    </row>
    <row r="46" spans="1:5" ht="15.75" customHeight="1" x14ac:dyDescent="0.25">
      <c r="B46" s="11" t="s">
        <v>70</v>
      </c>
      <c r="C46" s="45"/>
      <c r="D46" s="12"/>
    </row>
    <row r="47" spans="1:5" ht="15.75" customHeight="1" x14ac:dyDescent="0.25">
      <c r="B47" s="11" t="s">
        <v>71</v>
      </c>
      <c r="C47" s="45"/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/>
      <c r="D51" s="12"/>
    </row>
    <row r="52" spans="1:4" ht="15" customHeight="1" x14ac:dyDescent="0.25">
      <c r="B52" s="11" t="s">
        <v>75</v>
      </c>
      <c r="C52" s="100"/>
    </row>
    <row r="53" spans="1:4" ht="15.75" customHeight="1" x14ac:dyDescent="0.25">
      <c r="B53" s="11" t="s">
        <v>76</v>
      </c>
      <c r="C53" s="100"/>
    </row>
    <row r="54" spans="1:4" ht="15.75" customHeight="1" x14ac:dyDescent="0.25">
      <c r="B54" s="11" t="s">
        <v>77</v>
      </c>
      <c r="C54" s="100"/>
    </row>
    <row r="55" spans="1:4" ht="15.75" customHeight="1" x14ac:dyDescent="0.25">
      <c r="B55" s="11" t="s">
        <v>78</v>
      </c>
      <c r="C55" s="100"/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/>
    </row>
    <row r="59" spans="1:4" ht="15.75" customHeight="1" x14ac:dyDescent="0.25">
      <c r="B59" s="11" t="s">
        <v>81</v>
      </c>
      <c r="C59" s="45"/>
    </row>
    <row r="60" spans="1:4" ht="15.75" customHeight="1" x14ac:dyDescent="0.25">
      <c r="B60" s="11" t="s">
        <v>82</v>
      </c>
      <c r="C60" s="45"/>
    </row>
    <row r="61" spans="1:4" ht="15.75" customHeight="1" x14ac:dyDescent="0.25">
      <c r="B61" s="11" t="s">
        <v>83</v>
      </c>
      <c r="C61" s="45"/>
    </row>
    <row r="62" spans="1:4" ht="15.75" customHeight="1" x14ac:dyDescent="0.25">
      <c r="B62" s="11" t="s">
        <v>85</v>
      </c>
      <c r="C62" s="44"/>
    </row>
    <row r="63" spans="1:4" ht="15.75" customHeight="1" x14ac:dyDescent="0.3">
      <c r="A63" s="4"/>
    </row>
  </sheetData>
  <sheetProtection algorithmName="SHA-512" hashValue="F4MGF1mMc/IYqyTizR9Mo5+L+Lg8RwtAZGBvA8AsYhJz7myNme+xUKyhaX/CpA7caDKox4MNLbjXdP54n68BCg==" saltValue="x6UjXg/yh8Qd/8rvREnB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/>
      <c r="C2" s="49"/>
      <c r="D2" s="49"/>
      <c r="E2" s="49"/>
      <c r="F2" s="49"/>
      <c r="G2" s="17">
        <f t="shared" ref="G2:G13" si="0">C2+D2+E2+F2</f>
        <v>0</v>
      </c>
      <c r="H2" s="17">
        <f t="shared" ref="H2:H13" si="1">(B2 + stillbirth*B2/(1000-stillbirth))/(1-abortion)</f>
        <v>0</v>
      </c>
      <c r="I2" s="17">
        <f t="shared" ref="I2:I13" si="2">G2-H2</f>
        <v>0</v>
      </c>
    </row>
    <row r="3" spans="1:9" ht="15.75" customHeight="1" x14ac:dyDescent="0.25">
      <c r="A3" s="5">
        <f t="shared" ref="A3:A40" si="3">IF($A$2+ROW(A3)-2&lt;=end_year,A2+1,"")</f>
        <v>2025</v>
      </c>
      <c r="B3" s="49"/>
      <c r="C3" s="50"/>
      <c r="D3" s="50"/>
      <c r="E3" s="50"/>
      <c r="F3" s="50"/>
      <c r="G3" s="17">
        <f t="shared" si="0"/>
        <v>0</v>
      </c>
      <c r="H3" s="17">
        <f t="shared" si="1"/>
        <v>0</v>
      </c>
      <c r="I3" s="17">
        <f t="shared" si="2"/>
        <v>0</v>
      </c>
    </row>
    <row r="4" spans="1:9" ht="15.75" customHeight="1" x14ac:dyDescent="0.25">
      <c r="A4" s="5">
        <f t="shared" si="3"/>
        <v>2026</v>
      </c>
      <c r="B4" s="49"/>
      <c r="C4" s="50"/>
      <c r="D4" s="50"/>
      <c r="E4" s="50"/>
      <c r="F4" s="50"/>
      <c r="G4" s="17">
        <f t="shared" si="0"/>
        <v>0</v>
      </c>
      <c r="H4" s="17">
        <f t="shared" si="1"/>
        <v>0</v>
      </c>
      <c r="I4" s="17">
        <f t="shared" si="2"/>
        <v>0</v>
      </c>
    </row>
    <row r="5" spans="1:9" ht="15.75" customHeight="1" x14ac:dyDescent="0.25">
      <c r="A5" s="5">
        <f t="shared" si="3"/>
        <v>2027</v>
      </c>
      <c r="B5" s="49"/>
      <c r="C5" s="50"/>
      <c r="D5" s="50"/>
      <c r="E5" s="50"/>
      <c r="F5" s="50"/>
      <c r="G5" s="17">
        <f t="shared" si="0"/>
        <v>0</v>
      </c>
      <c r="H5" s="17">
        <f t="shared" si="1"/>
        <v>0</v>
      </c>
      <c r="I5" s="17">
        <f t="shared" si="2"/>
        <v>0</v>
      </c>
    </row>
    <row r="6" spans="1:9" ht="15.75" customHeight="1" x14ac:dyDescent="0.25">
      <c r="A6" s="5">
        <f t="shared" si="3"/>
        <v>2028</v>
      </c>
      <c r="B6" s="49"/>
      <c r="C6" s="50"/>
      <c r="D6" s="50"/>
      <c r="E6" s="50"/>
      <c r="F6" s="50"/>
      <c r="G6" s="17">
        <f t="shared" si="0"/>
        <v>0</v>
      </c>
      <c r="H6" s="17">
        <f t="shared" si="1"/>
        <v>0</v>
      </c>
      <c r="I6" s="17">
        <f t="shared" si="2"/>
        <v>0</v>
      </c>
    </row>
    <row r="7" spans="1:9" ht="15.75" customHeight="1" x14ac:dyDescent="0.25">
      <c r="A7" s="5">
        <f t="shared" si="3"/>
        <v>2029</v>
      </c>
      <c r="B7" s="49"/>
      <c r="C7" s="50"/>
      <c r="D7" s="50"/>
      <c r="E7" s="50"/>
      <c r="F7" s="50"/>
      <c r="G7" s="17">
        <f t="shared" si="0"/>
        <v>0</v>
      </c>
      <c r="H7" s="17">
        <f t="shared" si="1"/>
        <v>0</v>
      </c>
      <c r="I7" s="17">
        <f t="shared" si="2"/>
        <v>0</v>
      </c>
    </row>
    <row r="8" spans="1:9" ht="15.75" customHeight="1" x14ac:dyDescent="0.25">
      <c r="A8" s="5">
        <f t="shared" si="3"/>
        <v>2030</v>
      </c>
      <c r="B8" s="49"/>
      <c r="C8" s="50"/>
      <c r="D8" s="50"/>
      <c r="E8" s="50"/>
      <c r="F8" s="50"/>
      <c r="G8" s="17">
        <f t="shared" si="0"/>
        <v>0</v>
      </c>
      <c r="H8" s="17">
        <f t="shared" si="1"/>
        <v>0</v>
      </c>
      <c r="I8" s="17">
        <f t="shared" si="2"/>
        <v>0</v>
      </c>
    </row>
    <row r="9" spans="1:9" ht="15.75" customHeight="1" x14ac:dyDescent="0.25">
      <c r="A9" s="5">
        <f t="shared" si="3"/>
        <v>2031</v>
      </c>
      <c r="B9" s="49"/>
      <c r="C9" s="50"/>
      <c r="D9" s="50"/>
      <c r="E9" s="50"/>
      <c r="F9" s="50"/>
      <c r="G9" s="17">
        <f t="shared" si="0"/>
        <v>0</v>
      </c>
      <c r="H9" s="17">
        <f t="shared" si="1"/>
        <v>0</v>
      </c>
      <c r="I9" s="17">
        <f t="shared" si="2"/>
        <v>0</v>
      </c>
    </row>
    <row r="10" spans="1:9" ht="15.75" customHeight="1" x14ac:dyDescent="0.25">
      <c r="A10" s="5">
        <f t="shared" si="3"/>
        <v>2032</v>
      </c>
      <c r="B10" s="49"/>
      <c r="C10" s="50"/>
      <c r="D10" s="50"/>
      <c r="E10" s="50"/>
      <c r="F10" s="50"/>
      <c r="G10" s="17">
        <f t="shared" si="0"/>
        <v>0</v>
      </c>
      <c r="H10" s="17">
        <f t="shared" si="1"/>
        <v>0</v>
      </c>
      <c r="I10" s="17">
        <f t="shared" si="2"/>
        <v>0</v>
      </c>
    </row>
    <row r="11" spans="1:9" ht="15.75" customHeight="1" x14ac:dyDescent="0.25">
      <c r="A11" s="5">
        <f t="shared" si="3"/>
        <v>2033</v>
      </c>
      <c r="B11" s="49"/>
      <c r="C11" s="50"/>
      <c r="D11" s="50"/>
      <c r="E11" s="50"/>
      <c r="F11" s="50"/>
      <c r="G11" s="17">
        <f t="shared" si="0"/>
        <v>0</v>
      </c>
      <c r="H11" s="17">
        <f t="shared" si="1"/>
        <v>0</v>
      </c>
      <c r="I11" s="17">
        <f t="shared" si="2"/>
        <v>0</v>
      </c>
    </row>
    <row r="12" spans="1:9" ht="15.75" customHeight="1" x14ac:dyDescent="0.25">
      <c r="A12" s="5">
        <f t="shared" si="3"/>
        <v>2034</v>
      </c>
      <c r="B12" s="49"/>
      <c r="C12" s="50"/>
      <c r="D12" s="50"/>
      <c r="E12" s="50"/>
      <c r="F12" s="50"/>
      <c r="G12" s="17">
        <f t="shared" si="0"/>
        <v>0</v>
      </c>
      <c r="H12" s="17">
        <f t="shared" si="1"/>
        <v>0</v>
      </c>
      <c r="I12" s="17">
        <f t="shared" si="2"/>
        <v>0</v>
      </c>
    </row>
    <row r="13" spans="1:9" ht="15.75" customHeight="1" x14ac:dyDescent="0.25">
      <c r="A13" s="5">
        <f t="shared" si="3"/>
        <v>2035</v>
      </c>
      <c r="B13" s="49"/>
      <c r="C13" s="50"/>
      <c r="D13" s="50"/>
      <c r="E13" s="50"/>
      <c r="F13" s="50"/>
      <c r="G13" s="17">
        <f t="shared" si="0"/>
        <v>0</v>
      </c>
      <c r="H13" s="17">
        <f t="shared" si="1"/>
        <v>0</v>
      </c>
      <c r="I13" s="17">
        <f t="shared" si="2"/>
        <v>0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HazZSSAf0F4MBMoVBUJ84eW2rAxe0sfkmHkpUJiUunP6rVeiAbt2dUk38D1pK02JhkuFm0Hru32/vBsesggDA==" saltValue="64qMGMrXBUK7l4TKdBNw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/>
    </row>
    <row r="4" spans="1:8" ht="15.75" customHeight="1" x14ac:dyDescent="0.25">
      <c r="B4" s="19" t="s">
        <v>97</v>
      </c>
      <c r="C4" s="101"/>
    </row>
    <row r="5" spans="1:8" ht="15.75" customHeight="1" x14ac:dyDescent="0.25">
      <c r="B5" s="19" t="s">
        <v>98</v>
      </c>
      <c r="C5" s="101"/>
    </row>
    <row r="6" spans="1:8" ht="15.75" customHeight="1" x14ac:dyDescent="0.25">
      <c r="B6" s="19" t="s">
        <v>99</v>
      </c>
      <c r="C6" s="101"/>
    </row>
    <row r="7" spans="1:8" ht="15.75" customHeight="1" x14ac:dyDescent="0.25">
      <c r="B7" s="19" t="s">
        <v>100</v>
      </c>
      <c r="C7" s="101"/>
    </row>
    <row r="8" spans="1:8" ht="15.75" customHeight="1" x14ac:dyDescent="0.25">
      <c r="B8" s="19" t="s">
        <v>101</v>
      </c>
      <c r="C8" s="101"/>
    </row>
    <row r="9" spans="1:8" ht="15.75" customHeight="1" x14ac:dyDescent="0.25">
      <c r="B9" s="19" t="s">
        <v>102</v>
      </c>
      <c r="C9" s="101"/>
    </row>
    <row r="10" spans="1:8" ht="15.75" customHeight="1" x14ac:dyDescent="0.25">
      <c r="B10" s="19" t="s">
        <v>103</v>
      </c>
      <c r="C10" s="101"/>
    </row>
    <row r="11" spans="1:8" ht="15.75" customHeight="1" x14ac:dyDescent="0.25">
      <c r="B11" s="27" t="s">
        <v>59</v>
      </c>
      <c r="C11" s="48">
        <f>SUM(C3:C10)</f>
        <v>0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/>
      <c r="D14" s="55"/>
      <c r="E14" s="55"/>
      <c r="F14" s="55"/>
    </row>
    <row r="15" spans="1:8" ht="15.75" customHeight="1" x14ac:dyDescent="0.25">
      <c r="B15" s="19" t="s">
        <v>106</v>
      </c>
      <c r="C15" s="101"/>
      <c r="D15" s="101"/>
      <c r="E15" s="101"/>
      <c r="F15" s="101"/>
    </row>
    <row r="16" spans="1:8" ht="15.75" customHeight="1" x14ac:dyDescent="0.25">
      <c r="B16" s="19" t="s">
        <v>107</v>
      </c>
      <c r="C16" s="101"/>
      <c r="D16" s="101"/>
      <c r="E16" s="101"/>
      <c r="F16" s="101"/>
    </row>
    <row r="17" spans="1:8" ht="15.75" customHeight="1" x14ac:dyDescent="0.25">
      <c r="B17" s="19" t="s">
        <v>108</v>
      </c>
      <c r="C17" s="101"/>
      <c r="D17" s="101"/>
      <c r="E17" s="101"/>
      <c r="F17" s="101"/>
    </row>
    <row r="18" spans="1:8" ht="15.75" customHeight="1" x14ac:dyDescent="0.25">
      <c r="B18" s="19" t="s">
        <v>109</v>
      </c>
      <c r="C18" s="101"/>
      <c r="D18" s="101"/>
      <c r="E18" s="101"/>
      <c r="F18" s="101"/>
    </row>
    <row r="19" spans="1:8" ht="15.75" customHeight="1" x14ac:dyDescent="0.25">
      <c r="B19" s="19" t="s">
        <v>110</v>
      </c>
      <c r="C19" s="101"/>
      <c r="D19" s="101"/>
      <c r="E19" s="101"/>
      <c r="F19" s="101"/>
    </row>
    <row r="20" spans="1:8" ht="15.75" customHeight="1" x14ac:dyDescent="0.25">
      <c r="B20" s="19" t="s">
        <v>111</v>
      </c>
      <c r="C20" s="101"/>
      <c r="D20" s="101"/>
      <c r="E20" s="101"/>
      <c r="F20" s="101"/>
    </row>
    <row r="21" spans="1:8" ht="15.75" customHeight="1" x14ac:dyDescent="0.25">
      <c r="B21" s="19" t="s">
        <v>112</v>
      </c>
      <c r="C21" s="101"/>
      <c r="D21" s="101"/>
      <c r="E21" s="101"/>
      <c r="F21" s="101"/>
    </row>
    <row r="22" spans="1:8" ht="15.75" customHeight="1" x14ac:dyDescent="0.25">
      <c r="B22" s="19" t="s">
        <v>113</v>
      </c>
      <c r="C22" s="101"/>
      <c r="D22" s="101"/>
      <c r="E22" s="101"/>
      <c r="F22" s="101"/>
    </row>
    <row r="23" spans="1:8" ht="15.75" customHeight="1" x14ac:dyDescent="0.25">
      <c r="B23" s="27" t="s">
        <v>59</v>
      </c>
      <c r="C23" s="48">
        <f>SUM(C14:C22)</f>
        <v>0</v>
      </c>
      <c r="D23" s="48">
        <f>SUM(D14:D22)</f>
        <v>0</v>
      </c>
      <c r="E23" s="48">
        <f>SUM(E14:E22)</f>
        <v>0</v>
      </c>
      <c r="F23" s="48">
        <f>SUM(F14:F22)</f>
        <v>0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/>
    </row>
    <row r="27" spans="1:8" ht="15.75" customHeight="1" x14ac:dyDescent="0.25">
      <c r="B27" s="19" t="s">
        <v>120</v>
      </c>
      <c r="C27" s="101"/>
    </row>
    <row r="28" spans="1:8" ht="15.75" customHeight="1" x14ac:dyDescent="0.25">
      <c r="B28" s="19" t="s">
        <v>121</v>
      </c>
      <c r="C28" s="101"/>
    </row>
    <row r="29" spans="1:8" ht="15.75" customHeight="1" x14ac:dyDescent="0.25">
      <c r="B29" s="19" t="s">
        <v>122</v>
      </c>
      <c r="C29" s="101"/>
    </row>
    <row r="30" spans="1:8" ht="15.75" customHeight="1" x14ac:dyDescent="0.25">
      <c r="B30" s="19" t="s">
        <v>2</v>
      </c>
      <c r="C30" s="101"/>
    </row>
    <row r="31" spans="1:8" ht="15.75" customHeight="1" x14ac:dyDescent="0.25">
      <c r="B31" s="19" t="s">
        <v>123</v>
      </c>
      <c r="C31" s="101"/>
    </row>
    <row r="32" spans="1:8" ht="15.75" customHeight="1" x14ac:dyDescent="0.25">
      <c r="B32" s="19" t="s">
        <v>124</v>
      </c>
      <c r="C32" s="101"/>
    </row>
    <row r="33" spans="2:3" ht="15.75" customHeight="1" x14ac:dyDescent="0.25">
      <c r="B33" s="19" t="s">
        <v>125</v>
      </c>
      <c r="C33" s="101"/>
    </row>
    <row r="34" spans="2:3" ht="15.75" customHeight="1" x14ac:dyDescent="0.25">
      <c r="B34" s="19" t="s">
        <v>126</v>
      </c>
      <c r="C34" s="101"/>
    </row>
    <row r="35" spans="2:3" ht="15.75" customHeight="1" x14ac:dyDescent="0.25">
      <c r="B35" s="27" t="s">
        <v>59</v>
      </c>
      <c r="C35" s="48">
        <f>SUM(C26:C34)</f>
        <v>0</v>
      </c>
    </row>
  </sheetData>
  <sheetProtection algorithmName="SHA-512" hashValue="gRhbyRwkQF4cxehTJhcrGSpnNYvkSpYGlLGP8maHY4DeJVbN0I77IozaOgWj6cvxSAh2N1MkNwXTiQQrW31EKA==" saltValue="mLO+SqkA4j0IMb+XGuItd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 t="str">
        <f>IFERROR(1-_xlfn.NORM.DIST(_xlfn.NORM.INV(SUM(C4:C5), 0, 1) + 1, 0, 1, TRUE), "")</f>
        <v/>
      </c>
      <c r="D2" s="52" t="str">
        <f>IFERROR(1-_xlfn.NORM.DIST(_xlfn.NORM.INV(SUM(D4:D5), 0, 1) + 1, 0, 1, TRUE), "")</f>
        <v/>
      </c>
      <c r="E2" s="52" t="str">
        <f>IFERROR(1-_xlfn.NORM.DIST(_xlfn.NORM.INV(SUM(E4:E5), 0, 1) + 1, 0, 1, TRUE), "")</f>
        <v/>
      </c>
      <c r="F2" s="52" t="str">
        <f>IFERROR(1-_xlfn.NORM.DIST(_xlfn.NORM.INV(SUM(F4:F5), 0, 1) + 1, 0, 1, TRUE), "")</f>
        <v/>
      </c>
      <c r="G2" s="52" t="str">
        <f>IFERROR(1-_xlfn.NORM.DIST(_xlfn.NORM.INV(SUM(G4:G5), 0, 1) + 1, 0, 1, TRUE), "")</f>
        <v/>
      </c>
    </row>
    <row r="3" spans="1:15" ht="15.75" customHeight="1" x14ac:dyDescent="0.25">
      <c r="B3" s="5" t="s">
        <v>131</v>
      </c>
      <c r="C3" s="52" t="str">
        <f>IFERROR(_xlfn.NORM.DIST(_xlfn.NORM.INV(SUM(C4:C5), 0, 1) + 1, 0, 1, TRUE) - SUM(C4:C5), "")</f>
        <v/>
      </c>
      <c r="D3" s="52" t="str">
        <f>IFERROR(_xlfn.NORM.DIST(_xlfn.NORM.INV(SUM(D4:D5), 0, 1) + 1, 0, 1, TRUE) - SUM(D4:D5), "")</f>
        <v/>
      </c>
      <c r="E3" s="52" t="str">
        <f>IFERROR(_xlfn.NORM.DIST(_xlfn.NORM.INV(SUM(E4:E5), 0, 1) + 1, 0, 1, TRUE) - SUM(E4:E5), "")</f>
        <v/>
      </c>
      <c r="F3" s="52" t="str">
        <f>IFERROR(_xlfn.NORM.DIST(_xlfn.NORM.INV(SUM(F4:F5), 0, 1) + 1, 0, 1, TRUE) - SUM(F4:F5), "")</f>
        <v/>
      </c>
      <c r="G3" s="52" t="str">
        <f>IFERROR(_xlfn.NORM.DIST(_xlfn.NORM.INV(SUM(G4:G5), 0, 1) + 1, 0, 1, TRUE) - SUM(G4:G5), "")</f>
        <v/>
      </c>
    </row>
    <row r="4" spans="1:15" ht="15.75" customHeight="1" x14ac:dyDescent="0.25">
      <c r="B4" s="5" t="s">
        <v>132</v>
      </c>
      <c r="C4" s="45"/>
      <c r="D4" s="53"/>
      <c r="E4" s="53"/>
      <c r="F4" s="53"/>
      <c r="G4" s="53"/>
    </row>
    <row r="5" spans="1:15" ht="15.75" customHeight="1" x14ac:dyDescent="0.25">
      <c r="B5" s="5" t="s">
        <v>133</v>
      </c>
      <c r="C5" s="45"/>
      <c r="D5" s="53"/>
      <c r="E5" s="53"/>
      <c r="F5" s="53"/>
      <c r="G5" s="53"/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 t="str">
        <f>IFERROR(1-_xlfn.NORM.DIST(_xlfn.NORM.INV(SUM(C10:C11), 0, 1) + 1, 0, 1, TRUE), "")</f>
        <v/>
      </c>
      <c r="D8" s="52" t="str">
        <f>IFERROR(1-_xlfn.NORM.DIST(_xlfn.NORM.INV(SUM(D10:D11), 0, 1) + 1, 0, 1, TRUE), "")</f>
        <v/>
      </c>
      <c r="E8" s="52" t="str">
        <f>IFERROR(1-_xlfn.NORM.DIST(_xlfn.NORM.INV(SUM(E10:E11), 0, 1) + 1, 0, 1, TRUE), "")</f>
        <v/>
      </c>
      <c r="F8" s="52" t="str">
        <f>IFERROR(1-_xlfn.NORM.DIST(_xlfn.NORM.INV(SUM(F10:F11), 0, 1) + 1, 0, 1, TRUE), "")</f>
        <v/>
      </c>
      <c r="G8" s="52" t="str">
        <f>IFERROR(1-_xlfn.NORM.DIST(_xlfn.NORM.INV(SUM(G10:G11), 0, 1) + 1, 0, 1, TRUE), "")</f>
        <v/>
      </c>
    </row>
    <row r="9" spans="1:15" ht="15.75" customHeight="1" x14ac:dyDescent="0.25">
      <c r="B9" s="5" t="s">
        <v>136</v>
      </c>
      <c r="C9" s="52" t="str">
        <f>IFERROR(_xlfn.NORM.DIST(_xlfn.NORM.INV(SUM(C10:C11), 0, 1) + 1, 0, 1, TRUE) - SUM(C10:C11), "")</f>
        <v/>
      </c>
      <c r="D9" s="52" t="str">
        <f>IFERROR(_xlfn.NORM.DIST(_xlfn.NORM.INV(SUM(D10:D11), 0, 1) + 1, 0, 1, TRUE) - SUM(D10:D11), "")</f>
        <v/>
      </c>
      <c r="E9" s="52" t="str">
        <f>IFERROR(_xlfn.NORM.DIST(_xlfn.NORM.INV(SUM(E10:E11), 0, 1) + 1, 0, 1, TRUE) - SUM(E10:E11), "")</f>
        <v/>
      </c>
      <c r="F9" s="52" t="str">
        <f>IFERROR(_xlfn.NORM.DIST(_xlfn.NORM.INV(SUM(F10:F11), 0, 1) + 1, 0, 1, TRUE) - SUM(F10:F11), "")</f>
        <v/>
      </c>
      <c r="G9" s="52" t="str">
        <f>IFERROR(_xlfn.NORM.DIST(_xlfn.NORM.INV(SUM(G10:G11), 0, 1) + 1, 0, 1, TRUE) - SUM(G10:G11), "")</f>
        <v/>
      </c>
    </row>
    <row r="10" spans="1:15" ht="15.75" customHeight="1" x14ac:dyDescent="0.25">
      <c r="B10" s="5" t="s">
        <v>137</v>
      </c>
      <c r="C10" s="45"/>
      <c r="D10" s="53"/>
      <c r="E10" s="53"/>
      <c r="F10" s="53"/>
      <c r="G10" s="53"/>
    </row>
    <row r="11" spans="1:15" ht="15.75" customHeight="1" x14ac:dyDescent="0.25">
      <c r="B11" s="5" t="s">
        <v>138</v>
      </c>
      <c r="C11" s="45"/>
      <c r="D11" s="53"/>
      <c r="E11" s="53"/>
      <c r="F11" s="53"/>
      <c r="G11" s="53"/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/>
      <c r="D14" s="54"/>
      <c r="E14" s="54"/>
      <c r="F14" s="54"/>
      <c r="G14" s="54"/>
      <c r="H14" s="45"/>
      <c r="I14" s="55"/>
      <c r="J14" s="55"/>
      <c r="K14" s="55"/>
      <c r="L14" s="45"/>
      <c r="M14" s="55"/>
      <c r="N14" s="55"/>
      <c r="O14" s="55"/>
    </row>
    <row r="15" spans="1:15" ht="15.75" customHeight="1" x14ac:dyDescent="0.25">
      <c r="B15" s="11" t="s">
        <v>145</v>
      </c>
      <c r="C15" s="52">
        <f t="shared" ref="C15:O15" si="0">iron_deficiency_anaemia*C14</f>
        <v>0</v>
      </c>
      <c r="D15" s="52">
        <f t="shared" si="0"/>
        <v>0</v>
      </c>
      <c r="E15" s="52">
        <f t="shared" si="0"/>
        <v>0</v>
      </c>
      <c r="F15" s="52">
        <f t="shared" si="0"/>
        <v>0</v>
      </c>
      <c r="G15" s="52">
        <f t="shared" si="0"/>
        <v>0</v>
      </c>
      <c r="H15" s="52">
        <f t="shared" si="0"/>
        <v>0</v>
      </c>
      <c r="I15" s="52">
        <f t="shared" si="0"/>
        <v>0</v>
      </c>
      <c r="J15" s="52">
        <f t="shared" si="0"/>
        <v>0</v>
      </c>
      <c r="K15" s="52">
        <f t="shared" si="0"/>
        <v>0</v>
      </c>
      <c r="L15" s="52">
        <f t="shared" si="0"/>
        <v>0</v>
      </c>
      <c r="M15" s="52">
        <f t="shared" si="0"/>
        <v>0</v>
      </c>
      <c r="N15" s="52">
        <f t="shared" si="0"/>
        <v>0</v>
      </c>
      <c r="O15" s="52">
        <f t="shared" si="0"/>
        <v>0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/DPtKne9htSC2FsP7Yu51mfBxHJ4e+xevta/CmJZ8ZZkaOSiLkRLx8HO16PnrMESi/ufR30wyG6heJwiZtYfQ==" saltValue="fk07/pPFDpb8FrsnNPjO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/>
      <c r="D2" s="53"/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/>
      <c r="D3" s="53"/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/>
      <c r="D4" s="53"/>
      <c r="E4" s="53"/>
      <c r="F4" s="53"/>
      <c r="G4" s="53">
        <v>0</v>
      </c>
    </row>
    <row r="5" spans="1:7" x14ac:dyDescent="0.25">
      <c r="B5" s="3" t="s">
        <v>150</v>
      </c>
      <c r="C5" s="52">
        <f t="shared" ref="C5:D5" si="0">1-SUM(C2:C4)</f>
        <v>1</v>
      </c>
      <c r="D5" s="52">
        <f t="shared" si="0"/>
        <v>1</v>
      </c>
      <c r="E5" s="52">
        <f>1-SUM(E2:E4)</f>
        <v>1</v>
      </c>
      <c r="F5" s="52">
        <f>1-SUM(F2:F4)</f>
        <v>1</v>
      </c>
      <c r="G5" s="52">
        <f>1-SUM(G2:G4)</f>
        <v>1</v>
      </c>
    </row>
  </sheetData>
  <sheetProtection algorithmName="SHA-512" hashValue="rXj1RV6ZJVd1msqnWi3ZX9wW7HHDcwxIM6kgybgrhRDxXXCfpOSsZLc5MW8gW2+n36UMn6hyGbo/ck8VsU6KHQ==" saltValue="yvb5yiJOcH20x8uSPR4NC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O7x2Wzc9UzJpT6K/rAdR7mZac9zqWFxrtWQM5wCmwusZwlT3TlskViiEcMOphM4fc0GCwNUTUy/pcI6v4uMfg==" saltValue="FAnWG/G4B+rVZQ3r0Dv5X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</sheetData>
  <sheetProtection algorithmName="SHA-512" hashValue="h59qGzHhLmUgNPnl5pJ/cjCXgxEzwK0ATtVD51qFKk+CVpJHJugAAJgQzaRd2899mQZfl+kNDExUmQnnA7BsEg==" saltValue="JsfLxHkdkhwyLE4bcydv3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e0hRG5JtFahfVM4dsXYrsZbefq98yGX6J0XbdETnIF5ieOx7WXgLNB19ogxpA1hROq46XimWowp/oObPGJgthQ==" saltValue="VhzFQTyf9KPTi6F9cYF1h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DvtjKowl+m8Qo/z8GfXYCboExYPHlgpOe/QLSWJ3pq1NqyTUwEnd0liBIw40/vU9kEyfrlU97feEnvCHdsprOg==" saltValue="QYMzxvSWK4o7RbtNuxjxy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99.99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99.99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99.99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99.99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99.99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99.99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99.99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99.99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99.99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99.99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99.99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99.99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99.99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3.8198900000000001E-2</v>
      </c>
      <c r="C16" s="98">
        <v>0.95</v>
      </c>
      <c r="D16" s="56">
        <v>99.99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6.5675947999999998E-2</v>
      </c>
      <c r="C17" s="98">
        <v>0.95</v>
      </c>
      <c r="D17" s="56">
        <v>99.99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</v>
      </c>
      <c r="C18" s="98">
        <v>0.95</v>
      </c>
      <c r="D18" s="56">
        <v>99.99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</v>
      </c>
      <c r="C19" s="98">
        <v>0.95</v>
      </c>
      <c r="D19" s="56">
        <v>99.99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99.99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99.99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99.99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99.99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99.99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</v>
      </c>
      <c r="C29" s="98">
        <v>0.95</v>
      </c>
      <c r="D29" s="56">
        <v>99.99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99.99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99.99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99.99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99.99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99.99</v>
      </c>
      <c r="E39" s="56" t="s">
        <v>230</v>
      </c>
      <c r="F39" s="98">
        <v>1</v>
      </c>
      <c r="G39" s="98">
        <v>1</v>
      </c>
    </row>
  </sheetData>
  <sheetProtection algorithmName="SHA-512" hashValue="6w3nfnI09D53tDDXMWjxQNRlyyjmZQ+NkxdTrXnPvjwm5CZUrJipfL5ImwR9G5t9YNNuSZNvN+lXy74Gt7foWg==" saltValue="bqZIvwJ6T8RejsCBEtnA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30MmuZG7FT87dsBaY6IMSVy1MdqDtl03P5Tpe0VfnHy1BI4OLPLEqe8w2N0A5Iw+DzlPGqjtyxcS9FNTQpInA==" saltValue="oz/Kc3c9lMcHjeXjhXZ/S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w7yc2i9YWnqsOoWr2VP22l05joTq2d8i+Y6vFu/bMl9ZpzXd7CRCoSa7YSDUhOxb0HsSgLw4sW1caPc5vKA/Q==" saltValue="LiLq5DcjvacpTxU1jE1sP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0</v>
      </c>
      <c r="C2" s="21">
        <f>'Données pop de l''année de ref'!C52</f>
        <v>0</v>
      </c>
      <c r="D2" s="21">
        <f>'Données pop de l''année de ref'!C53</f>
        <v>0</v>
      </c>
      <c r="E2" s="21">
        <f>'Données pop de l''année de ref'!C54</f>
        <v>0</v>
      </c>
      <c r="F2" s="21">
        <f>'Données pop de l''année de ref'!C55</f>
        <v>0</v>
      </c>
    </row>
    <row r="3" spans="1:6" ht="15.75" customHeight="1" x14ac:dyDescent="0.25">
      <c r="A3" s="3" t="s">
        <v>238</v>
      </c>
      <c r="B3" s="21">
        <f>frac_mam_1month * 2.6</f>
        <v>0</v>
      </c>
      <c r="C3" s="21">
        <f>frac_mam_1_5months * 2.6</f>
        <v>0</v>
      </c>
      <c r="D3" s="21">
        <f>frac_mam_6_11months * 2.6</f>
        <v>0</v>
      </c>
      <c r="E3" s="21">
        <f>frac_mam_12_23months * 2.6</f>
        <v>0</v>
      </c>
      <c r="F3" s="21">
        <f>frac_mam_24_59months * 2.6</f>
        <v>0</v>
      </c>
    </row>
    <row r="4" spans="1:6" ht="15.75" customHeight="1" x14ac:dyDescent="0.25">
      <c r="A4" s="3" t="s">
        <v>237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0</v>
      </c>
    </row>
  </sheetData>
  <sheetProtection algorithmName="SHA-512" hashValue="BYZk883ymUk6ZLDHtP0amvCRTiyEu45kpBtpPqCJK+vOstMSzg4C/wmQHzTeMyz0e/mMUt+IhhI+OGunVT/RTg==" saltValue="FNzR/zWCnAvUFpxhTFoG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</v>
      </c>
      <c r="F2" s="60">
        <f>food_insecure</f>
        <v>0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0</v>
      </c>
      <c r="D7" s="60">
        <f>diarrhoea_1_5mo*frac_diarrhea_severe</f>
        <v>0</v>
      </c>
      <c r="E7" s="60">
        <f>diarrhoea_6_11mo*frac_diarrhea_severe</f>
        <v>0</v>
      </c>
      <c r="F7" s="60">
        <f>diarrhoea_12_23mo*frac_diarrhea_severe</f>
        <v>0</v>
      </c>
      <c r="G7" s="60">
        <f>diarrhoea_24_59mo*frac_diarrhea_severe</f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0</v>
      </c>
      <c r="D12" s="60">
        <f>diarrhoea_1_5mo*frac_diarrhea_severe</f>
        <v>0</v>
      </c>
      <c r="E12" s="60">
        <f>diarrhoea_6_11mo*frac_diarrhea_severe</f>
        <v>0</v>
      </c>
      <c r="F12" s="60">
        <f>diarrhoea_12_23mo*frac_diarrhea_severe</f>
        <v>0</v>
      </c>
      <c r="G12" s="60">
        <f>diarrhoea_24_59mo*frac_diarrhea_severe</f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</v>
      </c>
      <c r="I15" s="60">
        <f t="shared" si="0"/>
        <v>0</v>
      </c>
      <c r="J15" s="60">
        <f t="shared" si="0"/>
        <v>0</v>
      </c>
      <c r="K15" s="60">
        <f t="shared" si="0"/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</v>
      </c>
      <c r="I16" s="60">
        <f t="shared" si="0"/>
        <v>0</v>
      </c>
      <c r="J16" s="60">
        <f t="shared" si="0"/>
        <v>0</v>
      </c>
      <c r="K16" s="60">
        <f t="shared" si="0"/>
        <v>0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</v>
      </c>
      <c r="I19" s="60">
        <f>frac_malaria_risk</f>
        <v>0</v>
      </c>
      <c r="J19" s="60">
        <f>frac_malaria_risk</f>
        <v>0</v>
      </c>
      <c r="K19" s="60">
        <f>frac_malaria_risk</f>
        <v>0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</v>
      </c>
      <c r="M24" s="60">
        <f>famplan_unmet_need</f>
        <v>0</v>
      </c>
      <c r="N24" s="60">
        <f>famplan_unmet_need</f>
        <v>0</v>
      </c>
      <c r="O24" s="60">
        <f>famplan_unmet_need</f>
        <v>0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0.49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0.21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0.3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</v>
      </c>
      <c r="F30" s="60">
        <f t="shared" si="1"/>
        <v>0</v>
      </c>
      <c r="G30" s="60">
        <f t="shared" si="1"/>
        <v>0</v>
      </c>
      <c r="H30" s="60">
        <f t="shared" si="1"/>
        <v>0</v>
      </c>
      <c r="I30" s="60">
        <f t="shared" si="1"/>
        <v>0</v>
      </c>
      <c r="J30" s="60">
        <f t="shared" si="1"/>
        <v>0</v>
      </c>
      <c r="K30" s="60">
        <f t="shared" si="1"/>
        <v>0</v>
      </c>
      <c r="L30" s="60">
        <f t="shared" si="1"/>
        <v>0</v>
      </c>
      <c r="M30" s="60">
        <f t="shared" si="1"/>
        <v>0</v>
      </c>
      <c r="N30" s="60">
        <f t="shared" si="1"/>
        <v>0</v>
      </c>
      <c r="O30" s="60">
        <f t="shared" si="1"/>
        <v>0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</v>
      </c>
      <c r="F31" s="60">
        <f t="shared" si="2"/>
        <v>0</v>
      </c>
      <c r="G31" s="60">
        <f t="shared" si="2"/>
        <v>0</v>
      </c>
      <c r="H31" s="60">
        <f t="shared" si="2"/>
        <v>0</v>
      </c>
      <c r="I31" s="60">
        <f t="shared" si="2"/>
        <v>0</v>
      </c>
      <c r="J31" s="60">
        <f t="shared" si="2"/>
        <v>0</v>
      </c>
      <c r="K31" s="60">
        <f t="shared" si="2"/>
        <v>0</v>
      </c>
      <c r="L31" s="60">
        <f t="shared" si="2"/>
        <v>0</v>
      </c>
      <c r="M31" s="60">
        <f t="shared" si="2"/>
        <v>0</v>
      </c>
      <c r="N31" s="60">
        <f t="shared" si="2"/>
        <v>0</v>
      </c>
      <c r="O31" s="60">
        <f t="shared" si="2"/>
        <v>0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</v>
      </c>
      <c r="F32" s="60">
        <f t="shared" si="3"/>
        <v>0</v>
      </c>
      <c r="G32" s="60">
        <f t="shared" si="3"/>
        <v>0</v>
      </c>
      <c r="H32" s="60">
        <f t="shared" si="3"/>
        <v>0</v>
      </c>
      <c r="I32" s="60">
        <f t="shared" si="3"/>
        <v>0</v>
      </c>
      <c r="J32" s="60">
        <f t="shared" si="3"/>
        <v>0</v>
      </c>
      <c r="K32" s="60">
        <f t="shared" si="3"/>
        <v>0</v>
      </c>
      <c r="L32" s="60">
        <f t="shared" si="3"/>
        <v>0</v>
      </c>
      <c r="M32" s="60">
        <f t="shared" si="3"/>
        <v>0</v>
      </c>
      <c r="N32" s="60">
        <f t="shared" si="3"/>
        <v>0</v>
      </c>
      <c r="O32" s="60">
        <f t="shared" si="3"/>
        <v>0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</v>
      </c>
      <c r="D34" s="60">
        <f t="shared" si="4"/>
        <v>0</v>
      </c>
      <c r="E34" s="60">
        <f t="shared" si="4"/>
        <v>0</v>
      </c>
      <c r="F34" s="60">
        <f t="shared" si="4"/>
        <v>0</v>
      </c>
      <c r="G34" s="60">
        <f t="shared" si="4"/>
        <v>0</v>
      </c>
      <c r="H34" s="60">
        <f t="shared" si="4"/>
        <v>0</v>
      </c>
      <c r="I34" s="60">
        <f t="shared" si="4"/>
        <v>0</v>
      </c>
      <c r="J34" s="60">
        <f t="shared" si="4"/>
        <v>0</v>
      </c>
      <c r="K34" s="60">
        <f t="shared" si="4"/>
        <v>0</v>
      </c>
      <c r="L34" s="60">
        <f t="shared" si="4"/>
        <v>0</v>
      </c>
      <c r="M34" s="60">
        <f t="shared" si="4"/>
        <v>0</v>
      </c>
      <c r="N34" s="60">
        <f t="shared" si="4"/>
        <v>0</v>
      </c>
      <c r="O34" s="60">
        <f t="shared" si="4"/>
        <v>0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QvCDX+7VZM4vOPoF/2CUf9w6IDzWqEUr7BjsuZ1MC9ZGVYGD55hL5MGsSj+/Rlzc5KYrqHVPtgtN/rquCFTaw==" saltValue="fiZ1Q/WBEQFO8kIywj8pL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1LvBYsCyz83DXQLRqqnb5jIPtVNz2oNhxKjEc4WrXH+UkjvZ7/KFL7dwpsFxg+QC4cPHEOxl62cpcFI2NRmHew==" saltValue="PikTzocw6VExhnt2iEb2b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sJxCnxYXtztHEY2N84RTu8mraQGH/S4EG+9B8ysZpEDVSFbwj7UGQ7Q9GsoBjZLazbG2rvHKZqM+AXgKz5UnQ==" saltValue="Hj2s3X+yUSL20/FC1D22i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TI1XVQepEex+qlHW9gbQ/aY96TMNE8oi0S1YCwoEjRUKtaF4+elVR2cQqxcx84GDwl8IXvK1k0rV1bGf7c1lWw==" saltValue="nLPdqFwiPy1jUOh1shKfp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B20" workbookViewId="0">
      <selection activeCell="B2" sqref="B2:L39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FTNAQaO5zcYQWlKtKyK0w/HPkMtRSShGKA5/38lE6AH+OAwzJZa9wFlOvVw82bj87fxYzvoSuCaFydC0GyxQ/Q==" saltValue="70SAjKfEogWu7z/b1WrA9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SJA41oRhWwVO0Yd5q9vfPI+gQYUX5zXG6PgkagB2k+4RqSKOwb8WM2v4MESYWMm/LLmvSHJ20CNpfITaS2JDuA==" saltValue="QnVNwvgS/uFLzG2qJaBGk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METjxsmK6Cq9vnkgOipDlqtUTcpIjopEVqrrya/M4lf8AkIhC7oZhA5sqOY/wJ9TVcoFc/kkr9XnC/J9hCHZQ==" saltValue="5Rl5DZK+lqYUddKX1BHXr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AsoF2+Lz4LnRiSMeepMPjWOeE57d4skL8wl+nINOtb90kh41/cU2+edWf1CKrOoycpgblFGVUG+zQ1z3BWd3Ag==" saltValue="4eHFgjJRIWZukXL8v2xd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ez5EbloqdAd8/a1riZp96GchkbltzxjSMc0VT6N6e9Pz7P1DGJS6AWJmvIJu2dH4wXDvpGQZECNhreTplSWMAw==" saltValue="sAA9GHkoLTRzhDmzz3VO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eCcqqad5Hmbm/8vQBLozi4Ouqd9HdugRJjECoH/a2vG80Vlfh534NUkds71dWQhqXheA+AWrXxLHgwBaXkhfQ==" saltValue="fUr+vNFgN5IQ77thomKT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CEs7+rIP7X38/pMVwygFgXdPwMqG8elhoKgSVKFIc9h1O6Mv4Plcm3kOiUwEUMpBvX3QyooOST1vSu6v8alXQ==" saltValue="avb1tYj0dNpqbYDTbR5Y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A3" zoomScale="70" zoomScaleNormal="70" workbookViewId="0">
      <selection activeCell="C3" sqref="C3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1WMLq2EABQjLgoe3l/eW8x5TI+gtCqRLV84ormGigwpI29AMR8njsUeig/z8r0n1xDMP3Km7TfVygodZoTJ8A==" saltValue="N79cN5RV6DLiz9FZWoeF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SczPABGHqMlbU0toFfiNaPR5ydLEP95jPhEG21KNE2/Ru/Ry/3oskYgbV8JUKblNXniuVCPHJZr3q8t8Yhg7HQ==" saltValue="qyrv39+46kfN+dnSGC2GY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zoomScale="70" zoomScaleNormal="70" workbookViewId="0">
      <selection activeCell="D2" sqref="D2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QTJj2lQK4wxja03Ch3VMMEf2hnKgFrkuQ2OkOcWtBbsoIMk44AAg2/BPp5ncO4sUHA+raa3QWR6xJ49Z0yUDXA==" saltValue="KdA0lvVo7fEL4gzhrSDt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SuwFvgYfFjnYsPqxBTl4oMMQr03QrR+kI+7qm3XV60iyQR9ZtnFm1eWhS3hyNXvaPi5N8GJuGTzxN6h0Bx/smA==" saltValue="IFmx3/ki/vdd+fUBNZ/1D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